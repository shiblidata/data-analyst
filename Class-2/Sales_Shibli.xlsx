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shibli/Documents/Data Analytics/Class-2/"/>
    </mc:Choice>
  </mc:AlternateContent>
  <xr:revisionPtr revIDLastSave="0" documentId="8_{89DDE54A-D902-E846-88CF-D442285B8A02}" xr6:coauthVersionLast="47" xr6:coauthVersionMax="47" xr10:uidLastSave="{00000000-0000-0000-0000-000000000000}"/>
  <bookViews>
    <workbookView xWindow="0" yWindow="660" windowWidth="28720" windowHeight="18460" tabRatio="500" activeTab="3" xr2:uid="{00000000-000D-0000-FFFF-FFFF00000000}"/>
  </bookViews>
  <sheets>
    <sheet name="sales_2014" sheetId="1" r:id="rId1"/>
    <sheet name="Sheet2" sheetId="2" r:id="rId2"/>
    <sheet name="Sheet1" sheetId="3" r:id="rId3"/>
    <sheet name="Formula Practice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3" i="4" l="1"/>
  <c r="C43" i="4"/>
  <c r="D42" i="4"/>
  <c r="C42" i="4"/>
  <c r="D41" i="4"/>
  <c r="C41" i="4"/>
  <c r="D38" i="4"/>
  <c r="C38" i="4"/>
  <c r="D37" i="4"/>
  <c r="C37" i="4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D29" i="4"/>
  <c r="C29" i="4"/>
  <c r="D28" i="4"/>
  <c r="C28" i="4"/>
  <c r="D22" i="4"/>
  <c r="C22" i="4"/>
  <c r="D21" i="4"/>
  <c r="C21" i="4"/>
  <c r="D20" i="4"/>
  <c r="C20" i="4"/>
  <c r="D19" i="4"/>
  <c r="C19" i="4"/>
  <c r="D17" i="4"/>
  <c r="C17" i="4"/>
  <c r="D16" i="4"/>
  <c r="C16" i="4"/>
  <c r="D15" i="4"/>
  <c r="C15" i="4"/>
  <c r="D7" i="4"/>
  <c r="C7" i="4"/>
  <c r="D6" i="4"/>
  <c r="C6" i="4"/>
  <c r="D5" i="4"/>
  <c r="C5" i="4"/>
  <c r="Q2154" i="1"/>
  <c r="I2154" i="1"/>
  <c r="J2154" i="1" s="1"/>
  <c r="Q2153" i="1"/>
  <c r="I2153" i="1"/>
  <c r="J2153" i="1" s="1"/>
  <c r="Q2152" i="1"/>
  <c r="I2152" i="1"/>
  <c r="J2152" i="1" s="1"/>
  <c r="Q2151" i="1"/>
  <c r="I2151" i="1"/>
  <c r="J2151" i="1" s="1"/>
  <c r="Q2150" i="1"/>
  <c r="I2150" i="1"/>
  <c r="J2150" i="1" s="1"/>
  <c r="Q2149" i="1"/>
  <c r="I2149" i="1"/>
  <c r="J2149" i="1" s="1"/>
  <c r="Q2148" i="1"/>
  <c r="I2148" i="1"/>
  <c r="J2148" i="1" s="1"/>
  <c r="Q2147" i="1"/>
  <c r="I2147" i="1"/>
  <c r="J2147" i="1" s="1"/>
  <c r="Q2146" i="1"/>
  <c r="I2146" i="1"/>
  <c r="J2146" i="1" s="1"/>
  <c r="Q2145" i="1"/>
  <c r="I2145" i="1"/>
  <c r="J2145" i="1" s="1"/>
  <c r="Q2144" i="1"/>
  <c r="I2144" i="1"/>
  <c r="J2144" i="1" s="1"/>
  <c r="Q2143" i="1"/>
  <c r="I2143" i="1"/>
  <c r="J2143" i="1" s="1"/>
  <c r="Q2142" i="1"/>
  <c r="I2142" i="1"/>
  <c r="J2142" i="1" s="1"/>
  <c r="Q2141" i="1"/>
  <c r="I2141" i="1"/>
  <c r="J2141" i="1" s="1"/>
  <c r="Q2140" i="1"/>
  <c r="I2140" i="1"/>
  <c r="J2140" i="1" s="1"/>
  <c r="Q2139" i="1"/>
  <c r="I2139" i="1"/>
  <c r="J2139" i="1" s="1"/>
  <c r="Q2138" i="1"/>
  <c r="I2138" i="1"/>
  <c r="J2138" i="1" s="1"/>
  <c r="Q2137" i="1"/>
  <c r="I2137" i="1"/>
  <c r="J2137" i="1" s="1"/>
  <c r="Q2136" i="1"/>
  <c r="I2136" i="1"/>
  <c r="J2136" i="1" s="1"/>
  <c r="Q2135" i="1"/>
  <c r="I2135" i="1"/>
  <c r="J2135" i="1" s="1"/>
  <c r="Q2134" i="1"/>
  <c r="I2134" i="1"/>
  <c r="J2134" i="1" s="1"/>
  <c r="Q2133" i="1"/>
  <c r="I2133" i="1"/>
  <c r="J2133" i="1" s="1"/>
  <c r="Q2132" i="1"/>
  <c r="I2132" i="1"/>
  <c r="J2132" i="1" s="1"/>
  <c r="Q2131" i="1"/>
  <c r="I2131" i="1"/>
  <c r="J2131" i="1" s="1"/>
  <c r="Q2130" i="1"/>
  <c r="I2130" i="1"/>
  <c r="J2130" i="1" s="1"/>
  <c r="Q2129" i="1"/>
  <c r="I2129" i="1"/>
  <c r="J2129" i="1" s="1"/>
  <c r="Q2128" i="1"/>
  <c r="I2128" i="1"/>
  <c r="J2128" i="1" s="1"/>
  <c r="Q2127" i="1"/>
  <c r="I2127" i="1"/>
  <c r="J2127" i="1" s="1"/>
  <c r="Q2126" i="1"/>
  <c r="I2126" i="1"/>
  <c r="J2126" i="1" s="1"/>
  <c r="Q2125" i="1"/>
  <c r="I2125" i="1"/>
  <c r="J2125" i="1" s="1"/>
  <c r="Q2124" i="1"/>
  <c r="I2124" i="1"/>
  <c r="J2124" i="1" s="1"/>
  <c r="Q2123" i="1"/>
  <c r="I2123" i="1"/>
  <c r="J2123" i="1" s="1"/>
  <c r="Q2122" i="1"/>
  <c r="I2122" i="1"/>
  <c r="J2122" i="1" s="1"/>
  <c r="Q2121" i="1"/>
  <c r="I2121" i="1"/>
  <c r="J2121" i="1" s="1"/>
  <c r="Q2120" i="1"/>
  <c r="I2120" i="1"/>
  <c r="J2120" i="1" s="1"/>
  <c r="Q2119" i="1"/>
  <c r="I2119" i="1"/>
  <c r="J2119" i="1" s="1"/>
  <c r="Q2118" i="1"/>
  <c r="I2118" i="1"/>
  <c r="J2118" i="1" s="1"/>
  <c r="Q2117" i="1"/>
  <c r="I2117" i="1"/>
  <c r="J2117" i="1" s="1"/>
  <c r="Q2116" i="1"/>
  <c r="I2116" i="1"/>
  <c r="J2116" i="1" s="1"/>
  <c r="Q2115" i="1"/>
  <c r="I2115" i="1"/>
  <c r="J2115" i="1" s="1"/>
  <c r="Q2114" i="1"/>
  <c r="I2114" i="1"/>
  <c r="J2114" i="1" s="1"/>
  <c r="Q2113" i="1"/>
  <c r="I2113" i="1"/>
  <c r="J2113" i="1" s="1"/>
  <c r="Q2112" i="1"/>
  <c r="I2112" i="1"/>
  <c r="J2112" i="1" s="1"/>
  <c r="Q2111" i="1"/>
  <c r="I2111" i="1"/>
  <c r="J2111" i="1" s="1"/>
  <c r="Q2110" i="1"/>
  <c r="I2110" i="1"/>
  <c r="J2110" i="1" s="1"/>
  <c r="Q2109" i="1"/>
  <c r="I2109" i="1"/>
  <c r="J2109" i="1" s="1"/>
  <c r="Q2108" i="1"/>
  <c r="I2108" i="1"/>
  <c r="J2108" i="1" s="1"/>
  <c r="Q2107" i="1"/>
  <c r="I2107" i="1"/>
  <c r="J2107" i="1" s="1"/>
  <c r="Q2106" i="1"/>
  <c r="I2106" i="1"/>
  <c r="J2106" i="1" s="1"/>
  <c r="Q2105" i="1"/>
  <c r="I2105" i="1"/>
  <c r="J2105" i="1" s="1"/>
  <c r="Q2104" i="1"/>
  <c r="I2104" i="1"/>
  <c r="J2104" i="1" s="1"/>
  <c r="Q2103" i="1"/>
  <c r="I2103" i="1"/>
  <c r="J2103" i="1" s="1"/>
  <c r="Q2102" i="1"/>
  <c r="I2102" i="1"/>
  <c r="J2102" i="1" s="1"/>
  <c r="Q2101" i="1"/>
  <c r="I2101" i="1"/>
  <c r="J2101" i="1" s="1"/>
  <c r="Q2100" i="1"/>
  <c r="I2100" i="1"/>
  <c r="J2100" i="1" s="1"/>
  <c r="Q2099" i="1"/>
  <c r="I2099" i="1"/>
  <c r="J2099" i="1" s="1"/>
  <c r="Q2098" i="1"/>
  <c r="I2098" i="1"/>
  <c r="J2098" i="1" s="1"/>
  <c r="Q2097" i="1"/>
  <c r="I2097" i="1"/>
  <c r="J2097" i="1" s="1"/>
  <c r="Q2096" i="1"/>
  <c r="J2096" i="1"/>
  <c r="I2096" i="1"/>
  <c r="Q2095" i="1"/>
  <c r="I2095" i="1"/>
  <c r="J2095" i="1" s="1"/>
  <c r="Q2094" i="1"/>
  <c r="I2094" i="1"/>
  <c r="J2094" i="1" s="1"/>
  <c r="Q2093" i="1"/>
  <c r="I2093" i="1"/>
  <c r="J2093" i="1" s="1"/>
  <c r="Q2092" i="1"/>
  <c r="I2092" i="1"/>
  <c r="J2092" i="1" s="1"/>
  <c r="Q2091" i="1"/>
  <c r="I2091" i="1"/>
  <c r="J2091" i="1" s="1"/>
  <c r="Q2090" i="1"/>
  <c r="I2090" i="1"/>
  <c r="J2090" i="1" s="1"/>
  <c r="Q2089" i="1"/>
  <c r="I2089" i="1"/>
  <c r="J2089" i="1" s="1"/>
  <c r="Q2088" i="1"/>
  <c r="I2088" i="1"/>
  <c r="J2088" i="1" s="1"/>
  <c r="Q2087" i="1"/>
  <c r="I2087" i="1"/>
  <c r="J2087" i="1" s="1"/>
  <c r="Q2086" i="1"/>
  <c r="I2086" i="1"/>
  <c r="J2086" i="1" s="1"/>
  <c r="Q2085" i="1"/>
  <c r="I2085" i="1"/>
  <c r="J2085" i="1" s="1"/>
  <c r="Q2084" i="1"/>
  <c r="I2084" i="1"/>
  <c r="J2084" i="1" s="1"/>
  <c r="Q2083" i="1"/>
  <c r="I2083" i="1"/>
  <c r="J2083" i="1" s="1"/>
  <c r="Q2082" i="1"/>
  <c r="I2082" i="1"/>
  <c r="J2082" i="1" s="1"/>
  <c r="Q2081" i="1"/>
  <c r="I2081" i="1"/>
  <c r="J2081" i="1" s="1"/>
  <c r="Q2080" i="1"/>
  <c r="I2080" i="1"/>
  <c r="J2080" i="1" s="1"/>
  <c r="Q2079" i="1"/>
  <c r="I2079" i="1"/>
  <c r="J2079" i="1" s="1"/>
  <c r="Q2078" i="1"/>
  <c r="I2078" i="1"/>
  <c r="J2078" i="1" s="1"/>
  <c r="Q2077" i="1"/>
  <c r="I2077" i="1"/>
  <c r="J2077" i="1" s="1"/>
  <c r="Q2076" i="1"/>
  <c r="I2076" i="1"/>
  <c r="J2076" i="1" s="1"/>
  <c r="Q2075" i="1"/>
  <c r="I2075" i="1"/>
  <c r="J2075" i="1" s="1"/>
  <c r="Q2074" i="1"/>
  <c r="I2074" i="1"/>
  <c r="J2074" i="1" s="1"/>
  <c r="Q2073" i="1"/>
  <c r="J2073" i="1"/>
  <c r="I2073" i="1"/>
  <c r="Q2072" i="1"/>
  <c r="I2072" i="1"/>
  <c r="J2072" i="1" s="1"/>
  <c r="Q2071" i="1"/>
  <c r="I2071" i="1"/>
  <c r="J2071" i="1" s="1"/>
  <c r="Q2070" i="1"/>
  <c r="I2070" i="1"/>
  <c r="J2070" i="1" s="1"/>
  <c r="Q2069" i="1"/>
  <c r="I2069" i="1"/>
  <c r="J2069" i="1" s="1"/>
  <c r="Q2068" i="1"/>
  <c r="I2068" i="1"/>
  <c r="J2068" i="1" s="1"/>
  <c r="Q2067" i="1"/>
  <c r="I2067" i="1"/>
  <c r="J2067" i="1" s="1"/>
  <c r="Q2066" i="1"/>
  <c r="I2066" i="1"/>
  <c r="J2066" i="1" s="1"/>
  <c r="Q2065" i="1"/>
  <c r="I2065" i="1"/>
  <c r="J2065" i="1" s="1"/>
  <c r="Q2064" i="1"/>
  <c r="I2064" i="1"/>
  <c r="J2064" i="1" s="1"/>
  <c r="Q2063" i="1"/>
  <c r="I2063" i="1"/>
  <c r="J2063" i="1" s="1"/>
  <c r="Q2062" i="1"/>
  <c r="I2062" i="1"/>
  <c r="J2062" i="1" s="1"/>
  <c r="Q2061" i="1"/>
  <c r="I2061" i="1"/>
  <c r="J2061" i="1" s="1"/>
  <c r="Q2060" i="1"/>
  <c r="I2060" i="1"/>
  <c r="J2060" i="1" s="1"/>
  <c r="Q2059" i="1"/>
  <c r="I2059" i="1"/>
  <c r="J2059" i="1" s="1"/>
  <c r="Q2058" i="1"/>
  <c r="I2058" i="1"/>
  <c r="J2058" i="1" s="1"/>
  <c r="Q2057" i="1"/>
  <c r="I2057" i="1"/>
  <c r="J2057" i="1" s="1"/>
  <c r="Q2056" i="1"/>
  <c r="I2056" i="1"/>
  <c r="J2056" i="1" s="1"/>
  <c r="Q2055" i="1"/>
  <c r="I2055" i="1"/>
  <c r="J2055" i="1" s="1"/>
  <c r="Q2054" i="1"/>
  <c r="I2054" i="1"/>
  <c r="J2054" i="1" s="1"/>
  <c r="Q2053" i="1"/>
  <c r="I2053" i="1"/>
  <c r="J2053" i="1" s="1"/>
  <c r="Q2052" i="1"/>
  <c r="I2052" i="1"/>
  <c r="J2052" i="1" s="1"/>
  <c r="Q2051" i="1"/>
  <c r="I2051" i="1"/>
  <c r="J2051" i="1" s="1"/>
  <c r="Q2050" i="1"/>
  <c r="I2050" i="1"/>
  <c r="J2050" i="1" s="1"/>
  <c r="Q2049" i="1"/>
  <c r="I2049" i="1"/>
  <c r="J2049" i="1" s="1"/>
  <c r="Q2048" i="1"/>
  <c r="I2048" i="1"/>
  <c r="J2048" i="1" s="1"/>
  <c r="Q2047" i="1"/>
  <c r="I2047" i="1"/>
  <c r="J2047" i="1" s="1"/>
  <c r="Q2046" i="1"/>
  <c r="I2046" i="1"/>
  <c r="J2046" i="1" s="1"/>
  <c r="Q2045" i="1"/>
  <c r="I2045" i="1"/>
  <c r="J2045" i="1" s="1"/>
  <c r="Q2044" i="1"/>
  <c r="I2044" i="1"/>
  <c r="J2044" i="1" s="1"/>
  <c r="Q2043" i="1"/>
  <c r="I2043" i="1"/>
  <c r="J2043" i="1" s="1"/>
  <c r="Q2042" i="1"/>
  <c r="I2042" i="1"/>
  <c r="J2042" i="1" s="1"/>
  <c r="Q2041" i="1"/>
  <c r="I2041" i="1"/>
  <c r="J2041" i="1" s="1"/>
  <c r="Q2040" i="1"/>
  <c r="I2040" i="1"/>
  <c r="J2040" i="1" s="1"/>
  <c r="Q2039" i="1"/>
  <c r="I2039" i="1"/>
  <c r="J2039" i="1" s="1"/>
  <c r="Q2038" i="1"/>
  <c r="I2038" i="1"/>
  <c r="J2038" i="1" s="1"/>
  <c r="Q2037" i="1"/>
  <c r="I2037" i="1"/>
  <c r="J2037" i="1" s="1"/>
  <c r="Q2036" i="1"/>
  <c r="I2036" i="1"/>
  <c r="J2036" i="1" s="1"/>
  <c r="Q2035" i="1"/>
  <c r="I2035" i="1"/>
  <c r="J2035" i="1" s="1"/>
  <c r="Q2034" i="1"/>
  <c r="I2034" i="1"/>
  <c r="J2034" i="1" s="1"/>
  <c r="Q2033" i="1"/>
  <c r="I2033" i="1"/>
  <c r="J2033" i="1" s="1"/>
  <c r="Q2032" i="1"/>
  <c r="I2032" i="1"/>
  <c r="J2032" i="1" s="1"/>
  <c r="Q2031" i="1"/>
  <c r="I2031" i="1"/>
  <c r="J2031" i="1" s="1"/>
  <c r="Q2030" i="1"/>
  <c r="I2030" i="1"/>
  <c r="J2030" i="1" s="1"/>
  <c r="Q2029" i="1"/>
  <c r="I2029" i="1"/>
  <c r="J2029" i="1" s="1"/>
  <c r="Q2028" i="1"/>
  <c r="I2028" i="1"/>
  <c r="J2028" i="1" s="1"/>
  <c r="Q2027" i="1"/>
  <c r="I2027" i="1"/>
  <c r="J2027" i="1" s="1"/>
  <c r="Q2026" i="1"/>
  <c r="I2026" i="1"/>
  <c r="J2026" i="1" s="1"/>
  <c r="Q2025" i="1"/>
  <c r="I2025" i="1"/>
  <c r="J2025" i="1" s="1"/>
  <c r="Q2024" i="1"/>
  <c r="I2024" i="1"/>
  <c r="J2024" i="1" s="1"/>
  <c r="Q2023" i="1"/>
  <c r="I2023" i="1"/>
  <c r="J2023" i="1" s="1"/>
  <c r="Q2022" i="1"/>
  <c r="I2022" i="1"/>
  <c r="J2022" i="1" s="1"/>
  <c r="Q2021" i="1"/>
  <c r="I2021" i="1"/>
  <c r="J2021" i="1" s="1"/>
  <c r="Q2020" i="1"/>
  <c r="I2020" i="1"/>
  <c r="J2020" i="1" s="1"/>
  <c r="Q2019" i="1"/>
  <c r="I2019" i="1"/>
  <c r="J2019" i="1" s="1"/>
  <c r="Q2018" i="1"/>
  <c r="I2018" i="1"/>
  <c r="J2018" i="1" s="1"/>
  <c r="Q2017" i="1"/>
  <c r="I2017" i="1"/>
  <c r="J2017" i="1" s="1"/>
  <c r="Q2016" i="1"/>
  <c r="I2016" i="1"/>
  <c r="J2016" i="1" s="1"/>
  <c r="Q2015" i="1"/>
  <c r="I2015" i="1"/>
  <c r="J2015" i="1" s="1"/>
  <c r="Q2014" i="1"/>
  <c r="I2014" i="1"/>
  <c r="J2014" i="1" s="1"/>
  <c r="Q2013" i="1"/>
  <c r="I2013" i="1"/>
  <c r="J2013" i="1" s="1"/>
  <c r="Q2012" i="1"/>
  <c r="I2012" i="1"/>
  <c r="J2012" i="1" s="1"/>
  <c r="Q2011" i="1"/>
  <c r="I2011" i="1"/>
  <c r="J2011" i="1" s="1"/>
  <c r="Q2010" i="1"/>
  <c r="I2010" i="1"/>
  <c r="J2010" i="1" s="1"/>
  <c r="Q2009" i="1"/>
  <c r="I2009" i="1"/>
  <c r="J2009" i="1" s="1"/>
  <c r="Q2008" i="1"/>
  <c r="I2008" i="1"/>
  <c r="J2008" i="1" s="1"/>
  <c r="Q2007" i="1"/>
  <c r="I2007" i="1"/>
  <c r="J2007" i="1" s="1"/>
  <c r="Q2006" i="1"/>
  <c r="J2006" i="1"/>
  <c r="I2006" i="1"/>
  <c r="Q2005" i="1"/>
  <c r="I2005" i="1"/>
  <c r="J2005" i="1" s="1"/>
  <c r="Q2004" i="1"/>
  <c r="I2004" i="1"/>
  <c r="J2004" i="1" s="1"/>
  <c r="Q2003" i="1"/>
  <c r="I2003" i="1"/>
  <c r="J2003" i="1" s="1"/>
  <c r="Q2002" i="1"/>
  <c r="I2002" i="1"/>
  <c r="J2002" i="1" s="1"/>
  <c r="Q2001" i="1"/>
  <c r="I2001" i="1"/>
  <c r="J2001" i="1" s="1"/>
  <c r="Q2000" i="1"/>
  <c r="I2000" i="1"/>
  <c r="J2000" i="1" s="1"/>
  <c r="Q1999" i="1"/>
  <c r="I1999" i="1"/>
  <c r="J1999" i="1" s="1"/>
  <c r="Q1998" i="1"/>
  <c r="I1998" i="1"/>
  <c r="J1998" i="1" s="1"/>
  <c r="Q1997" i="1"/>
  <c r="I1997" i="1"/>
  <c r="J1997" i="1" s="1"/>
  <c r="Q1996" i="1"/>
  <c r="I1996" i="1"/>
  <c r="J1996" i="1" s="1"/>
  <c r="Q1995" i="1"/>
  <c r="I1995" i="1"/>
  <c r="J1995" i="1" s="1"/>
  <c r="Q1994" i="1"/>
  <c r="I1994" i="1"/>
  <c r="J1994" i="1" s="1"/>
  <c r="Q1993" i="1"/>
  <c r="J1993" i="1"/>
  <c r="I1993" i="1"/>
  <c r="Q1992" i="1"/>
  <c r="I1992" i="1"/>
  <c r="J1992" i="1" s="1"/>
  <c r="Q1991" i="1"/>
  <c r="I1991" i="1"/>
  <c r="J1991" i="1" s="1"/>
  <c r="Q1990" i="1"/>
  <c r="I1990" i="1"/>
  <c r="J1990" i="1" s="1"/>
  <c r="Q1989" i="1"/>
  <c r="I1989" i="1"/>
  <c r="J1989" i="1" s="1"/>
  <c r="Q1988" i="1"/>
  <c r="I1988" i="1"/>
  <c r="J1988" i="1" s="1"/>
  <c r="Q1987" i="1"/>
  <c r="I1987" i="1"/>
  <c r="J1987" i="1" s="1"/>
  <c r="Q1986" i="1"/>
  <c r="I1986" i="1"/>
  <c r="J1986" i="1" s="1"/>
  <c r="Q1985" i="1"/>
  <c r="I1985" i="1"/>
  <c r="J1985" i="1" s="1"/>
  <c r="Q1984" i="1"/>
  <c r="I1984" i="1"/>
  <c r="J1984" i="1" s="1"/>
  <c r="Q1983" i="1"/>
  <c r="I1983" i="1"/>
  <c r="Q1982" i="1"/>
  <c r="I1982" i="1"/>
  <c r="J1982" i="1" s="1"/>
  <c r="Q1981" i="1"/>
  <c r="I1981" i="1"/>
  <c r="J1981" i="1" s="1"/>
  <c r="Q1980" i="1"/>
  <c r="I1980" i="1"/>
  <c r="J1980" i="1" s="1"/>
  <c r="Q1979" i="1"/>
  <c r="I1979" i="1"/>
  <c r="J1979" i="1" s="1"/>
  <c r="Q1978" i="1"/>
  <c r="I1978" i="1"/>
  <c r="J1978" i="1" s="1"/>
  <c r="Q1977" i="1"/>
  <c r="I1977" i="1"/>
  <c r="J1977" i="1" s="1"/>
  <c r="Q1976" i="1"/>
  <c r="I1976" i="1"/>
  <c r="J1976" i="1" s="1"/>
  <c r="Q1975" i="1"/>
  <c r="I1975" i="1"/>
  <c r="J1975" i="1" s="1"/>
  <c r="Q1974" i="1"/>
  <c r="I1974" i="1"/>
  <c r="J1974" i="1" s="1"/>
  <c r="Q1973" i="1"/>
  <c r="I1973" i="1"/>
  <c r="J1973" i="1" s="1"/>
  <c r="Q1972" i="1"/>
  <c r="I1972" i="1"/>
  <c r="J1972" i="1" s="1"/>
  <c r="Q1971" i="1"/>
  <c r="I1971" i="1"/>
  <c r="J1971" i="1" s="1"/>
  <c r="Q1970" i="1"/>
  <c r="J1970" i="1"/>
  <c r="I1970" i="1"/>
  <c r="Q1969" i="1"/>
  <c r="I1969" i="1"/>
  <c r="J1969" i="1" s="1"/>
  <c r="Q1968" i="1"/>
  <c r="I1968" i="1"/>
  <c r="J1968" i="1" s="1"/>
  <c r="Q1967" i="1"/>
  <c r="I1967" i="1"/>
  <c r="J1967" i="1" s="1"/>
  <c r="Q1966" i="1"/>
  <c r="I1966" i="1"/>
  <c r="J1966" i="1" s="1"/>
  <c r="Q1965" i="1"/>
  <c r="I1965" i="1"/>
  <c r="J1965" i="1" s="1"/>
  <c r="Q1964" i="1"/>
  <c r="J1964" i="1"/>
  <c r="I1964" i="1"/>
  <c r="Q1963" i="1"/>
  <c r="I1963" i="1"/>
  <c r="J1963" i="1" s="1"/>
  <c r="Q1962" i="1"/>
  <c r="I1962" i="1"/>
  <c r="J1962" i="1" s="1"/>
  <c r="Q1961" i="1"/>
  <c r="I1961" i="1"/>
  <c r="J1961" i="1" s="1"/>
  <c r="Q1960" i="1"/>
  <c r="I1960" i="1"/>
  <c r="J1960" i="1" s="1"/>
  <c r="Q1959" i="1"/>
  <c r="I1959" i="1"/>
  <c r="J1959" i="1" s="1"/>
  <c r="Q1958" i="1"/>
  <c r="I1958" i="1"/>
  <c r="J1958" i="1" s="1"/>
  <c r="Q1957" i="1"/>
  <c r="I1957" i="1"/>
  <c r="J1957" i="1" s="1"/>
  <c r="Q1956" i="1"/>
  <c r="I1956" i="1"/>
  <c r="J1956" i="1" s="1"/>
  <c r="Q1955" i="1"/>
  <c r="I1955" i="1"/>
  <c r="J1955" i="1" s="1"/>
  <c r="Q1954" i="1"/>
  <c r="I1954" i="1"/>
  <c r="J1954" i="1" s="1"/>
  <c r="Q1953" i="1"/>
  <c r="I1953" i="1"/>
  <c r="J1953" i="1" s="1"/>
  <c r="Q1952" i="1"/>
  <c r="I1952" i="1"/>
  <c r="J1952" i="1" s="1"/>
  <c r="Q1951" i="1"/>
  <c r="I1951" i="1"/>
  <c r="J1951" i="1" s="1"/>
  <c r="Q1950" i="1"/>
  <c r="I1950" i="1"/>
  <c r="J1950" i="1" s="1"/>
  <c r="Q1949" i="1"/>
  <c r="I1949" i="1"/>
  <c r="J1949" i="1" s="1"/>
  <c r="Q1948" i="1"/>
  <c r="I1948" i="1"/>
  <c r="J1948" i="1" s="1"/>
  <c r="Q1947" i="1"/>
  <c r="I1947" i="1"/>
  <c r="J1947" i="1" s="1"/>
  <c r="Q1946" i="1"/>
  <c r="I1946" i="1"/>
  <c r="J1946" i="1" s="1"/>
  <c r="Q1945" i="1"/>
  <c r="I1945" i="1"/>
  <c r="J1945" i="1" s="1"/>
  <c r="Q1944" i="1"/>
  <c r="I1944" i="1"/>
  <c r="J1944" i="1" s="1"/>
  <c r="Q1943" i="1"/>
  <c r="I1943" i="1"/>
  <c r="J1943" i="1" s="1"/>
  <c r="Q1942" i="1"/>
  <c r="I1942" i="1"/>
  <c r="J1942" i="1" s="1"/>
  <c r="Q1941" i="1"/>
  <c r="I1941" i="1"/>
  <c r="J1941" i="1" s="1"/>
  <c r="Q1940" i="1"/>
  <c r="I1940" i="1"/>
  <c r="J1940" i="1" s="1"/>
  <c r="Q1939" i="1"/>
  <c r="I1939" i="1"/>
  <c r="J1939" i="1" s="1"/>
  <c r="Q1938" i="1"/>
  <c r="I1938" i="1"/>
  <c r="J1938" i="1" s="1"/>
  <c r="Q1937" i="1"/>
  <c r="I1937" i="1"/>
  <c r="J1937" i="1" s="1"/>
  <c r="Q1936" i="1"/>
  <c r="I1936" i="1"/>
  <c r="Q1935" i="1"/>
  <c r="I1935" i="1"/>
  <c r="J1935" i="1" s="1"/>
  <c r="Q1934" i="1"/>
  <c r="I1934" i="1"/>
  <c r="J1934" i="1" s="1"/>
  <c r="Q1933" i="1"/>
  <c r="I1933" i="1"/>
  <c r="J1933" i="1" s="1"/>
  <c r="Q1932" i="1"/>
  <c r="I1932" i="1"/>
  <c r="J1932" i="1" s="1"/>
  <c r="Q1931" i="1"/>
  <c r="I1931" i="1"/>
  <c r="J1931" i="1" s="1"/>
  <c r="Q1930" i="1"/>
  <c r="I1930" i="1"/>
  <c r="J1930" i="1" s="1"/>
  <c r="Q1929" i="1"/>
  <c r="I1929" i="1"/>
  <c r="J1929" i="1" s="1"/>
  <c r="Q1928" i="1"/>
  <c r="I1928" i="1"/>
  <c r="J1928" i="1" s="1"/>
  <c r="Q1927" i="1"/>
  <c r="I1927" i="1"/>
  <c r="J1927" i="1" s="1"/>
  <c r="Q1926" i="1"/>
  <c r="I1926" i="1"/>
  <c r="J1926" i="1" s="1"/>
  <c r="Q1925" i="1"/>
  <c r="I1925" i="1"/>
  <c r="J1925" i="1" s="1"/>
  <c r="Q1924" i="1"/>
  <c r="I1924" i="1"/>
  <c r="J1924" i="1" s="1"/>
  <c r="Q1923" i="1"/>
  <c r="I1923" i="1"/>
  <c r="J1923" i="1" s="1"/>
  <c r="Q1922" i="1"/>
  <c r="I1922" i="1"/>
  <c r="J1922" i="1" s="1"/>
  <c r="Q1921" i="1"/>
  <c r="I1921" i="1"/>
  <c r="J1921" i="1" s="1"/>
  <c r="Q1920" i="1"/>
  <c r="I1920" i="1"/>
  <c r="J1920" i="1" s="1"/>
  <c r="Q1919" i="1"/>
  <c r="I1919" i="1"/>
  <c r="J1919" i="1" s="1"/>
  <c r="Q1918" i="1"/>
  <c r="I1918" i="1"/>
  <c r="J1918" i="1" s="1"/>
  <c r="Q1917" i="1"/>
  <c r="J1917" i="1"/>
  <c r="I1917" i="1"/>
  <c r="Q1916" i="1"/>
  <c r="I1916" i="1"/>
  <c r="J1916" i="1" s="1"/>
  <c r="Q1915" i="1"/>
  <c r="I1915" i="1"/>
  <c r="J1915" i="1" s="1"/>
  <c r="Q1914" i="1"/>
  <c r="J1914" i="1"/>
  <c r="I1914" i="1"/>
  <c r="Q1913" i="1"/>
  <c r="I1913" i="1"/>
  <c r="J1913" i="1" s="1"/>
  <c r="Q1912" i="1"/>
  <c r="I1912" i="1"/>
  <c r="J1912" i="1" s="1"/>
  <c r="Q1911" i="1"/>
  <c r="I1911" i="1"/>
  <c r="J1911" i="1" s="1"/>
  <c r="Q1910" i="1"/>
  <c r="I1910" i="1"/>
  <c r="J1910" i="1" s="1"/>
  <c r="Q1909" i="1"/>
  <c r="I1909" i="1"/>
  <c r="J1909" i="1" s="1"/>
  <c r="Q1908" i="1"/>
  <c r="I1908" i="1"/>
  <c r="J1908" i="1" s="1"/>
  <c r="Q1907" i="1"/>
  <c r="I1907" i="1"/>
  <c r="J1907" i="1" s="1"/>
  <c r="Q1906" i="1"/>
  <c r="I1906" i="1"/>
  <c r="Q1905" i="1"/>
  <c r="I1905" i="1"/>
  <c r="J1905" i="1" s="1"/>
  <c r="Q1904" i="1"/>
  <c r="I1904" i="1"/>
  <c r="J1904" i="1" s="1"/>
  <c r="Q1903" i="1"/>
  <c r="I1903" i="1"/>
  <c r="J1903" i="1" s="1"/>
  <c r="Q1902" i="1"/>
  <c r="I1902" i="1"/>
  <c r="J1902" i="1" s="1"/>
  <c r="Q1901" i="1"/>
  <c r="I1901" i="1"/>
  <c r="J1901" i="1" s="1"/>
  <c r="Q1900" i="1"/>
  <c r="I1900" i="1"/>
  <c r="J1900" i="1" s="1"/>
  <c r="Q1899" i="1"/>
  <c r="I1899" i="1"/>
  <c r="J1899" i="1" s="1"/>
  <c r="Q1898" i="1"/>
  <c r="I1898" i="1"/>
  <c r="J1898" i="1" s="1"/>
  <c r="Q1897" i="1"/>
  <c r="I1897" i="1"/>
  <c r="J1897" i="1" s="1"/>
  <c r="Q1896" i="1"/>
  <c r="I1896" i="1"/>
  <c r="J1896" i="1" s="1"/>
  <c r="Q1895" i="1"/>
  <c r="I1895" i="1"/>
  <c r="J1895" i="1" s="1"/>
  <c r="Q1894" i="1"/>
  <c r="I1894" i="1"/>
  <c r="J1894" i="1" s="1"/>
  <c r="Q1893" i="1"/>
  <c r="I1893" i="1"/>
  <c r="J1893" i="1" s="1"/>
  <c r="Q1892" i="1"/>
  <c r="I1892" i="1"/>
  <c r="J1892" i="1" s="1"/>
  <c r="Q1891" i="1"/>
  <c r="I1891" i="1"/>
  <c r="J1891" i="1" s="1"/>
  <c r="Q1890" i="1"/>
  <c r="I1890" i="1"/>
  <c r="J1890" i="1" s="1"/>
  <c r="Q1889" i="1"/>
  <c r="I1889" i="1"/>
  <c r="J1889" i="1" s="1"/>
  <c r="Q1888" i="1"/>
  <c r="I1888" i="1"/>
  <c r="J1888" i="1" s="1"/>
  <c r="Q1887" i="1"/>
  <c r="I1887" i="1"/>
  <c r="J1887" i="1" s="1"/>
  <c r="Q1886" i="1"/>
  <c r="I1886" i="1"/>
  <c r="J1886" i="1" s="1"/>
  <c r="Q1885" i="1"/>
  <c r="I1885" i="1"/>
  <c r="J1885" i="1" s="1"/>
  <c r="Q1884" i="1"/>
  <c r="I1884" i="1"/>
  <c r="J1884" i="1" s="1"/>
  <c r="Q1883" i="1"/>
  <c r="I1883" i="1"/>
  <c r="J1883" i="1" s="1"/>
  <c r="Q1882" i="1"/>
  <c r="I1882" i="1"/>
  <c r="J1882" i="1" s="1"/>
  <c r="Q1881" i="1"/>
  <c r="I1881" i="1"/>
  <c r="J1881" i="1" s="1"/>
  <c r="Q1880" i="1"/>
  <c r="I1880" i="1"/>
  <c r="J1880" i="1" s="1"/>
  <c r="Q1879" i="1"/>
  <c r="I1879" i="1"/>
  <c r="J1879" i="1" s="1"/>
  <c r="Q1878" i="1"/>
  <c r="I1878" i="1"/>
  <c r="J1878" i="1" s="1"/>
  <c r="Q1877" i="1"/>
  <c r="I1877" i="1"/>
  <c r="J1877" i="1" s="1"/>
  <c r="Q1876" i="1"/>
  <c r="I1876" i="1"/>
  <c r="J1876" i="1" s="1"/>
  <c r="Q1875" i="1"/>
  <c r="I1875" i="1"/>
  <c r="J1875" i="1" s="1"/>
  <c r="Q1874" i="1"/>
  <c r="I1874" i="1"/>
  <c r="J1874" i="1" s="1"/>
  <c r="Q1873" i="1"/>
  <c r="I1873" i="1"/>
  <c r="J1873" i="1" s="1"/>
  <c r="Q1872" i="1"/>
  <c r="I1872" i="1"/>
  <c r="J1872" i="1" s="1"/>
  <c r="Q1871" i="1"/>
  <c r="I1871" i="1"/>
  <c r="J1871" i="1" s="1"/>
  <c r="Q1870" i="1"/>
  <c r="I1870" i="1"/>
  <c r="J1870" i="1" s="1"/>
  <c r="Q1869" i="1"/>
  <c r="I1869" i="1"/>
  <c r="J1869" i="1" s="1"/>
  <c r="Q1868" i="1"/>
  <c r="I1868" i="1"/>
  <c r="J1868" i="1" s="1"/>
  <c r="Q1867" i="1"/>
  <c r="I1867" i="1"/>
  <c r="J1867" i="1" s="1"/>
  <c r="Q1866" i="1"/>
  <c r="I1866" i="1"/>
  <c r="J1866" i="1" s="1"/>
  <c r="Q1865" i="1"/>
  <c r="I1865" i="1"/>
  <c r="J1865" i="1" s="1"/>
  <c r="Q1864" i="1"/>
  <c r="I1864" i="1"/>
  <c r="J1864" i="1" s="1"/>
  <c r="Q1863" i="1"/>
  <c r="I1863" i="1"/>
  <c r="J1863" i="1" s="1"/>
  <c r="Q1862" i="1"/>
  <c r="I1862" i="1"/>
  <c r="J1862" i="1" s="1"/>
  <c r="Q1861" i="1"/>
  <c r="I1861" i="1"/>
  <c r="J1861" i="1" s="1"/>
  <c r="Q1860" i="1"/>
  <c r="I1860" i="1"/>
  <c r="J1860" i="1" s="1"/>
  <c r="Q1859" i="1"/>
  <c r="I1859" i="1"/>
  <c r="J1859" i="1" s="1"/>
  <c r="Q1858" i="1"/>
  <c r="I1858" i="1"/>
  <c r="J1858" i="1" s="1"/>
  <c r="Q1857" i="1"/>
  <c r="I1857" i="1"/>
  <c r="J1857" i="1" s="1"/>
  <c r="Q1856" i="1"/>
  <c r="I1856" i="1"/>
  <c r="J1856" i="1" s="1"/>
  <c r="Q1855" i="1"/>
  <c r="I1855" i="1"/>
  <c r="J1855" i="1" s="1"/>
  <c r="Q1854" i="1"/>
  <c r="I1854" i="1"/>
  <c r="J1854" i="1" s="1"/>
  <c r="Q1853" i="1"/>
  <c r="I1853" i="1"/>
  <c r="J1853" i="1" s="1"/>
  <c r="Q1852" i="1"/>
  <c r="I1852" i="1"/>
  <c r="J1852" i="1" s="1"/>
  <c r="Q1851" i="1"/>
  <c r="I1851" i="1"/>
  <c r="J1851" i="1" s="1"/>
  <c r="Q1850" i="1"/>
  <c r="I1850" i="1"/>
  <c r="J1850" i="1" s="1"/>
  <c r="Q1849" i="1"/>
  <c r="I1849" i="1"/>
  <c r="J1849" i="1" s="1"/>
  <c r="Q1848" i="1"/>
  <c r="I1848" i="1"/>
  <c r="J1848" i="1" s="1"/>
  <c r="Q1847" i="1"/>
  <c r="I1847" i="1"/>
  <c r="J1847" i="1" s="1"/>
  <c r="Q1846" i="1"/>
  <c r="I1846" i="1"/>
  <c r="J1846" i="1" s="1"/>
  <c r="Q1845" i="1"/>
  <c r="I1845" i="1"/>
  <c r="J1845" i="1" s="1"/>
  <c r="Q1844" i="1"/>
  <c r="I1844" i="1"/>
  <c r="J1844" i="1" s="1"/>
  <c r="Q1843" i="1"/>
  <c r="I1843" i="1"/>
  <c r="J1843" i="1" s="1"/>
  <c r="Q1842" i="1"/>
  <c r="I1842" i="1"/>
  <c r="J1842" i="1" s="1"/>
  <c r="Q1841" i="1"/>
  <c r="I1841" i="1"/>
  <c r="J1841" i="1" s="1"/>
  <c r="Q1840" i="1"/>
  <c r="I1840" i="1"/>
  <c r="J1840" i="1" s="1"/>
  <c r="Q1839" i="1"/>
  <c r="I1839" i="1"/>
  <c r="J1839" i="1" s="1"/>
  <c r="Q1838" i="1"/>
  <c r="I1838" i="1"/>
  <c r="J1838" i="1" s="1"/>
  <c r="Q1837" i="1"/>
  <c r="I1837" i="1"/>
  <c r="J1837" i="1" s="1"/>
  <c r="Q1836" i="1"/>
  <c r="I1836" i="1"/>
  <c r="J1836" i="1" s="1"/>
  <c r="Q1835" i="1"/>
  <c r="I1835" i="1"/>
  <c r="J1835" i="1" s="1"/>
  <c r="Q1834" i="1"/>
  <c r="I1834" i="1"/>
  <c r="J1834" i="1" s="1"/>
  <c r="Q1833" i="1"/>
  <c r="I1833" i="1"/>
  <c r="J1833" i="1" s="1"/>
  <c r="Q1832" i="1"/>
  <c r="I1832" i="1"/>
  <c r="J1832" i="1" s="1"/>
  <c r="Q1831" i="1"/>
  <c r="I1831" i="1"/>
  <c r="J1831" i="1" s="1"/>
  <c r="Q1830" i="1"/>
  <c r="I1830" i="1"/>
  <c r="J1830" i="1" s="1"/>
  <c r="Q1829" i="1"/>
  <c r="I1829" i="1"/>
  <c r="J1829" i="1" s="1"/>
  <c r="Q1828" i="1"/>
  <c r="I1828" i="1"/>
  <c r="J1828" i="1" s="1"/>
  <c r="Q1827" i="1"/>
  <c r="I1827" i="1"/>
  <c r="J1827" i="1" s="1"/>
  <c r="Q1826" i="1"/>
  <c r="I1826" i="1"/>
  <c r="J1826" i="1" s="1"/>
  <c r="Q1825" i="1"/>
  <c r="I1825" i="1"/>
  <c r="J1825" i="1" s="1"/>
  <c r="Q1824" i="1"/>
  <c r="I1824" i="1"/>
  <c r="J1824" i="1" s="1"/>
  <c r="Q1823" i="1"/>
  <c r="I1823" i="1"/>
  <c r="J1823" i="1" s="1"/>
  <c r="Q1822" i="1"/>
  <c r="I1822" i="1"/>
  <c r="J1822" i="1" s="1"/>
  <c r="Q1821" i="1"/>
  <c r="I1821" i="1"/>
  <c r="J1821" i="1" s="1"/>
  <c r="Q1820" i="1"/>
  <c r="I1820" i="1"/>
  <c r="J1820" i="1" s="1"/>
  <c r="Q1819" i="1"/>
  <c r="I1819" i="1"/>
  <c r="J1819" i="1" s="1"/>
  <c r="Q1818" i="1"/>
  <c r="I1818" i="1"/>
  <c r="J1818" i="1" s="1"/>
  <c r="Q1817" i="1"/>
  <c r="I1817" i="1"/>
  <c r="J1817" i="1" s="1"/>
  <c r="Q1816" i="1"/>
  <c r="I1816" i="1"/>
  <c r="J1816" i="1" s="1"/>
  <c r="Q1815" i="1"/>
  <c r="I1815" i="1"/>
  <c r="J1815" i="1" s="1"/>
  <c r="Q1814" i="1"/>
  <c r="I1814" i="1"/>
  <c r="J1814" i="1" s="1"/>
  <c r="Q1813" i="1"/>
  <c r="I1813" i="1"/>
  <c r="J1813" i="1" s="1"/>
  <c r="Q1812" i="1"/>
  <c r="I1812" i="1"/>
  <c r="J1812" i="1" s="1"/>
  <c r="Q1811" i="1"/>
  <c r="I1811" i="1"/>
  <c r="J1811" i="1" s="1"/>
  <c r="Q1810" i="1"/>
  <c r="I1810" i="1"/>
  <c r="J1810" i="1" s="1"/>
  <c r="Q1809" i="1"/>
  <c r="I1809" i="1"/>
  <c r="J1809" i="1" s="1"/>
  <c r="Q1808" i="1"/>
  <c r="I1808" i="1"/>
  <c r="J1808" i="1" s="1"/>
  <c r="Q1807" i="1"/>
  <c r="I1807" i="1"/>
  <c r="J1807" i="1" s="1"/>
  <c r="Q1806" i="1"/>
  <c r="I1806" i="1"/>
  <c r="J1806" i="1" s="1"/>
  <c r="Q1805" i="1"/>
  <c r="I1805" i="1"/>
  <c r="J1805" i="1" s="1"/>
  <c r="Q1804" i="1"/>
  <c r="I1804" i="1"/>
  <c r="J1804" i="1" s="1"/>
  <c r="Q1803" i="1"/>
  <c r="I1803" i="1"/>
  <c r="J1803" i="1" s="1"/>
  <c r="Q1802" i="1"/>
  <c r="I1802" i="1"/>
  <c r="J1802" i="1" s="1"/>
  <c r="Q1801" i="1"/>
  <c r="I1801" i="1"/>
  <c r="J1801" i="1" s="1"/>
  <c r="Q1800" i="1"/>
  <c r="I1800" i="1"/>
  <c r="J1800" i="1" s="1"/>
  <c r="Q1799" i="1"/>
  <c r="I1799" i="1"/>
  <c r="J1799" i="1" s="1"/>
  <c r="Q1798" i="1"/>
  <c r="I1798" i="1"/>
  <c r="J1798" i="1" s="1"/>
  <c r="Q1797" i="1"/>
  <c r="I1797" i="1"/>
  <c r="J1797" i="1" s="1"/>
  <c r="Q1796" i="1"/>
  <c r="I1796" i="1"/>
  <c r="J1796" i="1" s="1"/>
  <c r="Q1795" i="1"/>
  <c r="I1795" i="1"/>
  <c r="J1795" i="1" s="1"/>
  <c r="Q1794" i="1"/>
  <c r="I1794" i="1"/>
  <c r="J1794" i="1" s="1"/>
  <c r="Q1793" i="1"/>
  <c r="I1793" i="1"/>
  <c r="J1793" i="1" s="1"/>
  <c r="Q1792" i="1"/>
  <c r="I1792" i="1"/>
  <c r="J1792" i="1" s="1"/>
  <c r="Q1791" i="1"/>
  <c r="I1791" i="1"/>
  <c r="J1791" i="1" s="1"/>
  <c r="Q1790" i="1"/>
  <c r="I1790" i="1"/>
  <c r="J1790" i="1" s="1"/>
  <c r="Q1789" i="1"/>
  <c r="I1789" i="1"/>
  <c r="J1789" i="1" s="1"/>
  <c r="Q1788" i="1"/>
  <c r="I1788" i="1"/>
  <c r="J1788" i="1" s="1"/>
  <c r="Q1787" i="1"/>
  <c r="I1787" i="1"/>
  <c r="J1787" i="1" s="1"/>
  <c r="Q1786" i="1"/>
  <c r="I1786" i="1"/>
  <c r="J1786" i="1" s="1"/>
  <c r="Q1785" i="1"/>
  <c r="I1785" i="1"/>
  <c r="J1785" i="1" s="1"/>
  <c r="Q1784" i="1"/>
  <c r="I1784" i="1"/>
  <c r="J1784" i="1" s="1"/>
  <c r="Q1783" i="1"/>
  <c r="I1783" i="1"/>
  <c r="J1783" i="1" s="1"/>
  <c r="Q1782" i="1"/>
  <c r="I1782" i="1"/>
  <c r="J1782" i="1" s="1"/>
  <c r="Q1781" i="1"/>
  <c r="I1781" i="1"/>
  <c r="J1781" i="1" s="1"/>
  <c r="Q1780" i="1"/>
  <c r="I1780" i="1"/>
  <c r="J1780" i="1" s="1"/>
  <c r="Q1779" i="1"/>
  <c r="I1779" i="1"/>
  <c r="J1779" i="1" s="1"/>
  <c r="Q1778" i="1"/>
  <c r="I1778" i="1"/>
  <c r="J1778" i="1" s="1"/>
  <c r="Q1777" i="1"/>
  <c r="I1777" i="1"/>
  <c r="J1777" i="1" s="1"/>
  <c r="Q1776" i="1"/>
  <c r="I1776" i="1"/>
  <c r="J1776" i="1" s="1"/>
  <c r="Q1775" i="1"/>
  <c r="I1775" i="1"/>
  <c r="J1775" i="1" s="1"/>
  <c r="Q1774" i="1"/>
  <c r="I1774" i="1"/>
  <c r="J1774" i="1" s="1"/>
  <c r="Q1773" i="1"/>
  <c r="I1773" i="1"/>
  <c r="J1773" i="1" s="1"/>
  <c r="Q1772" i="1"/>
  <c r="I1772" i="1"/>
  <c r="J1772" i="1" s="1"/>
  <c r="Q1771" i="1"/>
  <c r="I1771" i="1"/>
  <c r="J1771" i="1" s="1"/>
  <c r="Q1770" i="1"/>
  <c r="I1770" i="1"/>
  <c r="J1770" i="1" s="1"/>
  <c r="Q1769" i="1"/>
  <c r="I1769" i="1"/>
  <c r="J1769" i="1" s="1"/>
  <c r="Q1768" i="1"/>
  <c r="I1768" i="1"/>
  <c r="J1768" i="1" s="1"/>
  <c r="Q1767" i="1"/>
  <c r="I1767" i="1"/>
  <c r="J1767" i="1" s="1"/>
  <c r="Q1766" i="1"/>
  <c r="I1766" i="1"/>
  <c r="J1766" i="1" s="1"/>
  <c r="Q1765" i="1"/>
  <c r="I1765" i="1"/>
  <c r="J1765" i="1" s="1"/>
  <c r="Q1764" i="1"/>
  <c r="I1764" i="1"/>
  <c r="J1764" i="1" s="1"/>
  <c r="Q1763" i="1"/>
  <c r="I1763" i="1"/>
  <c r="J1763" i="1" s="1"/>
  <c r="Q1762" i="1"/>
  <c r="I1762" i="1"/>
  <c r="J1762" i="1" s="1"/>
  <c r="Q1761" i="1"/>
  <c r="I1761" i="1"/>
  <c r="J1761" i="1" s="1"/>
  <c r="Q1760" i="1"/>
  <c r="I1760" i="1"/>
  <c r="J1760" i="1" s="1"/>
  <c r="Q1759" i="1"/>
  <c r="I1759" i="1"/>
  <c r="J1759" i="1" s="1"/>
  <c r="Q1758" i="1"/>
  <c r="I1758" i="1"/>
  <c r="J1758" i="1" s="1"/>
  <c r="Q1757" i="1"/>
  <c r="I1757" i="1"/>
  <c r="J1757" i="1" s="1"/>
  <c r="Q1756" i="1"/>
  <c r="I1756" i="1"/>
  <c r="J1756" i="1" s="1"/>
  <c r="Q1755" i="1"/>
  <c r="I1755" i="1"/>
  <c r="J1755" i="1" s="1"/>
  <c r="Q1754" i="1"/>
  <c r="I1754" i="1"/>
  <c r="J1754" i="1" s="1"/>
  <c r="Q1753" i="1"/>
  <c r="I1753" i="1"/>
  <c r="J1753" i="1" s="1"/>
  <c r="Q1752" i="1"/>
  <c r="I1752" i="1"/>
  <c r="J1752" i="1" s="1"/>
  <c r="Q1751" i="1"/>
  <c r="I1751" i="1"/>
  <c r="J1751" i="1" s="1"/>
  <c r="Q1750" i="1"/>
  <c r="I1750" i="1"/>
  <c r="J1750" i="1" s="1"/>
  <c r="Q1749" i="1"/>
  <c r="I1749" i="1"/>
  <c r="J1749" i="1" s="1"/>
  <c r="Q1748" i="1"/>
  <c r="I1748" i="1"/>
  <c r="J1748" i="1" s="1"/>
  <c r="Q1747" i="1"/>
  <c r="I1747" i="1"/>
  <c r="J1747" i="1" s="1"/>
  <c r="Q1746" i="1"/>
  <c r="I1746" i="1"/>
  <c r="J1746" i="1" s="1"/>
  <c r="Q1745" i="1"/>
  <c r="I1745" i="1"/>
  <c r="J1745" i="1" s="1"/>
  <c r="Q1744" i="1"/>
  <c r="I1744" i="1"/>
  <c r="J1744" i="1" s="1"/>
  <c r="Q1743" i="1"/>
  <c r="I1743" i="1"/>
  <c r="J1743" i="1" s="1"/>
  <c r="Q1742" i="1"/>
  <c r="I1742" i="1"/>
  <c r="J1742" i="1" s="1"/>
  <c r="Q1741" i="1"/>
  <c r="I1741" i="1"/>
  <c r="J1741" i="1" s="1"/>
  <c r="Q1740" i="1"/>
  <c r="I1740" i="1"/>
  <c r="J1740" i="1" s="1"/>
  <c r="Q1739" i="1"/>
  <c r="I1739" i="1"/>
  <c r="J1739" i="1" s="1"/>
  <c r="Q1738" i="1"/>
  <c r="I1738" i="1"/>
  <c r="J1738" i="1" s="1"/>
  <c r="Q1737" i="1"/>
  <c r="I1737" i="1"/>
  <c r="J1737" i="1" s="1"/>
  <c r="Q1736" i="1"/>
  <c r="I1736" i="1"/>
  <c r="J1736" i="1" s="1"/>
  <c r="Q1735" i="1"/>
  <c r="I1735" i="1"/>
  <c r="J1735" i="1" s="1"/>
  <c r="Q1734" i="1"/>
  <c r="I1734" i="1"/>
  <c r="J1734" i="1" s="1"/>
  <c r="Q1733" i="1"/>
  <c r="I1733" i="1"/>
  <c r="J1733" i="1" s="1"/>
  <c r="Q1732" i="1"/>
  <c r="I1732" i="1"/>
  <c r="J1732" i="1" s="1"/>
  <c r="Q1731" i="1"/>
  <c r="I1731" i="1"/>
  <c r="J1731" i="1" s="1"/>
  <c r="Q1730" i="1"/>
  <c r="I1730" i="1"/>
  <c r="J1730" i="1" s="1"/>
  <c r="Q1729" i="1"/>
  <c r="I1729" i="1"/>
  <c r="J1729" i="1" s="1"/>
  <c r="Q1728" i="1"/>
  <c r="I1728" i="1"/>
  <c r="J1728" i="1" s="1"/>
  <c r="Q1727" i="1"/>
  <c r="I1727" i="1"/>
  <c r="J1727" i="1" s="1"/>
  <c r="Q1726" i="1"/>
  <c r="I1726" i="1"/>
  <c r="J1726" i="1" s="1"/>
  <c r="Q1725" i="1"/>
  <c r="I1725" i="1"/>
  <c r="J1725" i="1" s="1"/>
  <c r="Q1724" i="1"/>
  <c r="I1724" i="1"/>
  <c r="J1724" i="1" s="1"/>
  <c r="Q1723" i="1"/>
  <c r="I1723" i="1"/>
  <c r="J1723" i="1" s="1"/>
  <c r="Q1722" i="1"/>
  <c r="I1722" i="1"/>
  <c r="J1722" i="1" s="1"/>
  <c r="Q1721" i="1"/>
  <c r="I1721" i="1"/>
  <c r="J1721" i="1" s="1"/>
  <c r="Q1720" i="1"/>
  <c r="I1720" i="1"/>
  <c r="J1720" i="1" s="1"/>
  <c r="Q1719" i="1"/>
  <c r="I1719" i="1"/>
  <c r="J1719" i="1" s="1"/>
  <c r="Q1718" i="1"/>
  <c r="I1718" i="1"/>
  <c r="J1718" i="1" s="1"/>
  <c r="Q1717" i="1"/>
  <c r="I1717" i="1"/>
  <c r="J1717" i="1" s="1"/>
  <c r="Q1716" i="1"/>
  <c r="I1716" i="1"/>
  <c r="J1716" i="1" s="1"/>
  <c r="Q1715" i="1"/>
  <c r="I1715" i="1"/>
  <c r="J1715" i="1" s="1"/>
  <c r="Q1714" i="1"/>
  <c r="I1714" i="1"/>
  <c r="J1714" i="1" s="1"/>
  <c r="Q1713" i="1"/>
  <c r="I1713" i="1"/>
  <c r="J1713" i="1" s="1"/>
  <c r="Q1712" i="1"/>
  <c r="I1712" i="1"/>
  <c r="J1712" i="1" s="1"/>
  <c r="Q1711" i="1"/>
  <c r="I1711" i="1"/>
  <c r="J1711" i="1" s="1"/>
  <c r="Q1710" i="1"/>
  <c r="I1710" i="1"/>
  <c r="J1710" i="1" s="1"/>
  <c r="Q1709" i="1"/>
  <c r="I1709" i="1"/>
  <c r="J1709" i="1" s="1"/>
  <c r="Q1708" i="1"/>
  <c r="I1708" i="1"/>
  <c r="J1708" i="1" s="1"/>
  <c r="Q1707" i="1"/>
  <c r="I1707" i="1"/>
  <c r="J1707" i="1" s="1"/>
  <c r="Q1706" i="1"/>
  <c r="I1706" i="1"/>
  <c r="J1706" i="1" s="1"/>
  <c r="Q1705" i="1"/>
  <c r="I1705" i="1"/>
  <c r="J1705" i="1" s="1"/>
  <c r="Q1704" i="1"/>
  <c r="I1704" i="1"/>
  <c r="J1704" i="1" s="1"/>
  <c r="Q1703" i="1"/>
  <c r="I1703" i="1"/>
  <c r="J1703" i="1" s="1"/>
  <c r="Q1702" i="1"/>
  <c r="I1702" i="1"/>
  <c r="J1702" i="1" s="1"/>
  <c r="Q1701" i="1"/>
  <c r="I1701" i="1"/>
  <c r="J1701" i="1" s="1"/>
  <c r="Q1700" i="1"/>
  <c r="I1700" i="1"/>
  <c r="J1700" i="1" s="1"/>
  <c r="Q1699" i="1"/>
  <c r="I1699" i="1"/>
  <c r="J1699" i="1" s="1"/>
  <c r="Q1698" i="1"/>
  <c r="I1698" i="1"/>
  <c r="J1698" i="1" s="1"/>
  <c r="Q1697" i="1"/>
  <c r="I1697" i="1"/>
  <c r="J1697" i="1" s="1"/>
  <c r="Q1696" i="1"/>
  <c r="I1696" i="1"/>
  <c r="J1696" i="1" s="1"/>
  <c r="Q1695" i="1"/>
  <c r="I1695" i="1"/>
  <c r="J1695" i="1" s="1"/>
  <c r="Q1694" i="1"/>
  <c r="I1694" i="1"/>
  <c r="J1694" i="1" s="1"/>
  <c r="Q1693" i="1"/>
  <c r="I1693" i="1"/>
  <c r="J1693" i="1" s="1"/>
  <c r="Q1692" i="1"/>
  <c r="I1692" i="1"/>
  <c r="J1692" i="1" s="1"/>
  <c r="Q1691" i="1"/>
  <c r="I1691" i="1"/>
  <c r="J1691" i="1" s="1"/>
  <c r="Q1690" i="1"/>
  <c r="I1690" i="1"/>
  <c r="J1690" i="1" s="1"/>
  <c r="Q1689" i="1"/>
  <c r="I1689" i="1"/>
  <c r="J1689" i="1" s="1"/>
  <c r="Q1688" i="1"/>
  <c r="I1688" i="1"/>
  <c r="J1688" i="1" s="1"/>
  <c r="Q1687" i="1"/>
  <c r="I1687" i="1"/>
  <c r="J1687" i="1" s="1"/>
  <c r="Q1686" i="1"/>
  <c r="I1686" i="1"/>
  <c r="J1686" i="1" s="1"/>
  <c r="Q1685" i="1"/>
  <c r="I1685" i="1"/>
  <c r="J1685" i="1" s="1"/>
  <c r="Q1684" i="1"/>
  <c r="I1684" i="1"/>
  <c r="J1684" i="1" s="1"/>
  <c r="Q1683" i="1"/>
  <c r="I1683" i="1"/>
  <c r="J1683" i="1" s="1"/>
  <c r="Q1682" i="1"/>
  <c r="I1682" i="1"/>
  <c r="J1682" i="1" s="1"/>
  <c r="Q1681" i="1"/>
  <c r="I1681" i="1"/>
  <c r="J1681" i="1" s="1"/>
  <c r="Q1680" i="1"/>
  <c r="I1680" i="1"/>
  <c r="J1680" i="1" s="1"/>
  <c r="Q1679" i="1"/>
  <c r="I1679" i="1"/>
  <c r="J1679" i="1" s="1"/>
  <c r="Q1678" i="1"/>
  <c r="I1678" i="1"/>
  <c r="J1678" i="1" s="1"/>
  <c r="Q1677" i="1"/>
  <c r="I1677" i="1"/>
  <c r="J1677" i="1" s="1"/>
  <c r="Q1676" i="1"/>
  <c r="I1676" i="1"/>
  <c r="J1676" i="1" s="1"/>
  <c r="Q1675" i="1"/>
  <c r="I1675" i="1"/>
  <c r="J1675" i="1" s="1"/>
  <c r="Q1674" i="1"/>
  <c r="I1674" i="1"/>
  <c r="J1674" i="1" s="1"/>
  <c r="Q1673" i="1"/>
  <c r="I1673" i="1"/>
  <c r="J1673" i="1" s="1"/>
  <c r="Q1672" i="1"/>
  <c r="I1672" i="1"/>
  <c r="J1672" i="1" s="1"/>
  <c r="Q1671" i="1"/>
  <c r="I1671" i="1"/>
  <c r="J1671" i="1" s="1"/>
  <c r="Q1670" i="1"/>
  <c r="I1670" i="1"/>
  <c r="J1670" i="1" s="1"/>
  <c r="Q1669" i="1"/>
  <c r="I1669" i="1"/>
  <c r="J1669" i="1" s="1"/>
  <c r="Q1668" i="1"/>
  <c r="I1668" i="1"/>
  <c r="J1668" i="1" s="1"/>
  <c r="Q1667" i="1"/>
  <c r="I1667" i="1"/>
  <c r="J1667" i="1" s="1"/>
  <c r="Q1666" i="1"/>
  <c r="I1666" i="1"/>
  <c r="J1666" i="1" s="1"/>
  <c r="Q1665" i="1"/>
  <c r="I1665" i="1"/>
  <c r="J1665" i="1" s="1"/>
  <c r="Q1664" i="1"/>
  <c r="I1664" i="1"/>
  <c r="J1664" i="1" s="1"/>
  <c r="Q1663" i="1"/>
  <c r="I1663" i="1"/>
  <c r="J1663" i="1" s="1"/>
  <c r="Q1662" i="1"/>
  <c r="I1662" i="1"/>
  <c r="J1662" i="1" s="1"/>
  <c r="Q1661" i="1"/>
  <c r="I1661" i="1"/>
  <c r="J1661" i="1" s="1"/>
  <c r="Q1660" i="1"/>
  <c r="I1660" i="1"/>
  <c r="J1660" i="1" s="1"/>
  <c r="Q1659" i="1"/>
  <c r="I1659" i="1"/>
  <c r="J1659" i="1" s="1"/>
  <c r="Q1658" i="1"/>
  <c r="I1658" i="1"/>
  <c r="J1658" i="1" s="1"/>
  <c r="Q1657" i="1"/>
  <c r="I1657" i="1"/>
  <c r="J1657" i="1" s="1"/>
  <c r="Q1656" i="1"/>
  <c r="I1656" i="1"/>
  <c r="J1656" i="1" s="1"/>
  <c r="Q1655" i="1"/>
  <c r="I1655" i="1"/>
  <c r="J1655" i="1" s="1"/>
  <c r="Q1654" i="1"/>
  <c r="I1654" i="1"/>
  <c r="J1654" i="1" s="1"/>
  <c r="Q1653" i="1"/>
  <c r="I1653" i="1"/>
  <c r="J1653" i="1" s="1"/>
  <c r="Q1652" i="1"/>
  <c r="I1652" i="1"/>
  <c r="J1652" i="1" s="1"/>
  <c r="Q1651" i="1"/>
  <c r="I1651" i="1"/>
  <c r="J1651" i="1" s="1"/>
  <c r="Q1650" i="1"/>
  <c r="I1650" i="1"/>
  <c r="J1650" i="1" s="1"/>
  <c r="Q1649" i="1"/>
  <c r="I1649" i="1"/>
  <c r="J1649" i="1" s="1"/>
  <c r="Q1648" i="1"/>
  <c r="I1648" i="1"/>
  <c r="J1648" i="1" s="1"/>
  <c r="Q1647" i="1"/>
  <c r="I1647" i="1"/>
  <c r="J1647" i="1" s="1"/>
  <c r="Q1646" i="1"/>
  <c r="I1646" i="1"/>
  <c r="J1646" i="1" s="1"/>
  <c r="Q1645" i="1"/>
  <c r="I1645" i="1"/>
  <c r="J1645" i="1" s="1"/>
  <c r="Q1644" i="1"/>
  <c r="I1644" i="1"/>
  <c r="J1644" i="1" s="1"/>
  <c r="Q1643" i="1"/>
  <c r="I1643" i="1"/>
  <c r="J1643" i="1" s="1"/>
  <c r="Q1642" i="1"/>
  <c r="I1642" i="1"/>
  <c r="J1642" i="1" s="1"/>
  <c r="Q1641" i="1"/>
  <c r="I1641" i="1"/>
  <c r="J1641" i="1" s="1"/>
  <c r="Q1640" i="1"/>
  <c r="I1640" i="1"/>
  <c r="J1640" i="1" s="1"/>
  <c r="Q1639" i="1"/>
  <c r="I1639" i="1"/>
  <c r="J1639" i="1" s="1"/>
  <c r="Q1638" i="1"/>
  <c r="I1638" i="1"/>
  <c r="J1638" i="1" s="1"/>
  <c r="Q1637" i="1"/>
  <c r="I1637" i="1"/>
  <c r="J1637" i="1" s="1"/>
  <c r="Q1636" i="1"/>
  <c r="I1636" i="1"/>
  <c r="J1636" i="1" s="1"/>
  <c r="Q1635" i="1"/>
  <c r="I1635" i="1"/>
  <c r="J1635" i="1" s="1"/>
  <c r="Q1634" i="1"/>
  <c r="I1634" i="1"/>
  <c r="J1634" i="1" s="1"/>
  <c r="Q1633" i="1"/>
  <c r="J1633" i="1"/>
  <c r="I1633" i="1"/>
  <c r="Q1632" i="1"/>
  <c r="I1632" i="1"/>
  <c r="J1632" i="1" s="1"/>
  <c r="Q1631" i="1"/>
  <c r="I1631" i="1"/>
  <c r="J1631" i="1" s="1"/>
  <c r="Q1630" i="1"/>
  <c r="I1630" i="1"/>
  <c r="J1630" i="1" s="1"/>
  <c r="Q1629" i="1"/>
  <c r="I1629" i="1"/>
  <c r="J1629" i="1" s="1"/>
  <c r="Q1628" i="1"/>
  <c r="I1628" i="1"/>
  <c r="J1628" i="1" s="1"/>
  <c r="Q1627" i="1"/>
  <c r="I1627" i="1"/>
  <c r="J1627" i="1" s="1"/>
  <c r="Q1626" i="1"/>
  <c r="I1626" i="1"/>
  <c r="J1626" i="1" s="1"/>
  <c r="Q1625" i="1"/>
  <c r="I1625" i="1"/>
  <c r="J1625" i="1" s="1"/>
  <c r="Q1624" i="1"/>
  <c r="I1624" i="1"/>
  <c r="J1624" i="1" s="1"/>
  <c r="Q1623" i="1"/>
  <c r="I1623" i="1"/>
  <c r="J1623" i="1" s="1"/>
  <c r="Q1622" i="1"/>
  <c r="I1622" i="1"/>
  <c r="J1622" i="1" s="1"/>
  <c r="Q1621" i="1"/>
  <c r="I1621" i="1"/>
  <c r="J1621" i="1" s="1"/>
  <c r="Q1620" i="1"/>
  <c r="I1620" i="1"/>
  <c r="J1620" i="1" s="1"/>
  <c r="Q1619" i="1"/>
  <c r="I1619" i="1"/>
  <c r="J1619" i="1" s="1"/>
  <c r="Q1618" i="1"/>
  <c r="I1618" i="1"/>
  <c r="J1618" i="1" s="1"/>
  <c r="Q1617" i="1"/>
  <c r="I1617" i="1"/>
  <c r="J1617" i="1" s="1"/>
  <c r="Q1616" i="1"/>
  <c r="I1616" i="1"/>
  <c r="J1616" i="1" s="1"/>
  <c r="Q1615" i="1"/>
  <c r="I1615" i="1"/>
  <c r="J1615" i="1" s="1"/>
  <c r="Q1614" i="1"/>
  <c r="I1614" i="1"/>
  <c r="J1614" i="1" s="1"/>
  <c r="Q1613" i="1"/>
  <c r="I1613" i="1"/>
  <c r="J1613" i="1" s="1"/>
  <c r="Q1612" i="1"/>
  <c r="I1612" i="1"/>
  <c r="J1612" i="1" s="1"/>
  <c r="Q1611" i="1"/>
  <c r="I1611" i="1"/>
  <c r="J1611" i="1" s="1"/>
  <c r="Q1610" i="1"/>
  <c r="I1610" i="1"/>
  <c r="J1610" i="1" s="1"/>
  <c r="Q1609" i="1"/>
  <c r="I1609" i="1"/>
  <c r="J1609" i="1" s="1"/>
  <c r="Q1608" i="1"/>
  <c r="I1608" i="1"/>
  <c r="J1608" i="1" s="1"/>
  <c r="Q1607" i="1"/>
  <c r="I1607" i="1"/>
  <c r="J1607" i="1" s="1"/>
  <c r="Q1606" i="1"/>
  <c r="I1606" i="1"/>
  <c r="J1606" i="1" s="1"/>
  <c r="Q1605" i="1"/>
  <c r="I1605" i="1"/>
  <c r="J1605" i="1" s="1"/>
  <c r="Q1604" i="1"/>
  <c r="I1604" i="1"/>
  <c r="J1604" i="1" s="1"/>
  <c r="Q1603" i="1"/>
  <c r="I1603" i="1"/>
  <c r="J1603" i="1" s="1"/>
  <c r="Q1602" i="1"/>
  <c r="I1602" i="1"/>
  <c r="J1602" i="1" s="1"/>
  <c r="Q1601" i="1"/>
  <c r="I1601" i="1"/>
  <c r="J1601" i="1" s="1"/>
  <c r="Q1600" i="1"/>
  <c r="I1600" i="1"/>
  <c r="J1600" i="1" s="1"/>
  <c r="Q1599" i="1"/>
  <c r="I1599" i="1"/>
  <c r="J1599" i="1" s="1"/>
  <c r="Q1598" i="1"/>
  <c r="I1598" i="1"/>
  <c r="J1598" i="1" s="1"/>
  <c r="Q1597" i="1"/>
  <c r="I1597" i="1"/>
  <c r="J1597" i="1" s="1"/>
  <c r="Q1596" i="1"/>
  <c r="I1596" i="1"/>
  <c r="J1596" i="1" s="1"/>
  <c r="Q1595" i="1"/>
  <c r="I1595" i="1"/>
  <c r="J1595" i="1" s="1"/>
  <c r="Q1594" i="1"/>
  <c r="I1594" i="1"/>
  <c r="J1594" i="1" s="1"/>
  <c r="Q1593" i="1"/>
  <c r="I1593" i="1"/>
  <c r="J1593" i="1" s="1"/>
  <c r="Q1592" i="1"/>
  <c r="I1592" i="1"/>
  <c r="J1592" i="1" s="1"/>
  <c r="Q1591" i="1"/>
  <c r="I1591" i="1"/>
  <c r="J1591" i="1" s="1"/>
  <c r="Q1590" i="1"/>
  <c r="I1590" i="1"/>
  <c r="J1590" i="1" s="1"/>
  <c r="Q1589" i="1"/>
  <c r="I1589" i="1"/>
  <c r="J1589" i="1" s="1"/>
  <c r="Q1588" i="1"/>
  <c r="I1588" i="1"/>
  <c r="J1588" i="1" s="1"/>
  <c r="Q1587" i="1"/>
  <c r="I1587" i="1"/>
  <c r="J1587" i="1" s="1"/>
  <c r="Q1586" i="1"/>
  <c r="I1586" i="1"/>
  <c r="J1586" i="1" s="1"/>
  <c r="Q1585" i="1"/>
  <c r="I1585" i="1"/>
  <c r="J1585" i="1" s="1"/>
  <c r="Q1584" i="1"/>
  <c r="I1584" i="1"/>
  <c r="J1584" i="1" s="1"/>
  <c r="Q1583" i="1"/>
  <c r="I1583" i="1"/>
  <c r="J1583" i="1" s="1"/>
  <c r="Q1582" i="1"/>
  <c r="I1582" i="1"/>
  <c r="J1582" i="1" s="1"/>
  <c r="Q1581" i="1"/>
  <c r="I1581" i="1"/>
  <c r="J1581" i="1" s="1"/>
  <c r="Q1580" i="1"/>
  <c r="I1580" i="1"/>
  <c r="J1580" i="1" s="1"/>
  <c r="Q1579" i="1"/>
  <c r="I1579" i="1"/>
  <c r="J1579" i="1" s="1"/>
  <c r="Q1578" i="1"/>
  <c r="I1578" i="1"/>
  <c r="J1578" i="1" s="1"/>
  <c r="Q1577" i="1"/>
  <c r="I1577" i="1"/>
  <c r="J1577" i="1" s="1"/>
  <c r="Q1576" i="1"/>
  <c r="I1576" i="1"/>
  <c r="J1576" i="1" s="1"/>
  <c r="Q1575" i="1"/>
  <c r="I1575" i="1"/>
  <c r="J1575" i="1" s="1"/>
  <c r="Q1574" i="1"/>
  <c r="I1574" i="1"/>
  <c r="J1574" i="1" s="1"/>
  <c r="Q1573" i="1"/>
  <c r="I1573" i="1"/>
  <c r="J1573" i="1" s="1"/>
  <c r="Q1572" i="1"/>
  <c r="I1572" i="1"/>
  <c r="J1572" i="1" s="1"/>
  <c r="Q1571" i="1"/>
  <c r="I1571" i="1"/>
  <c r="J1571" i="1" s="1"/>
  <c r="Q1570" i="1"/>
  <c r="I1570" i="1"/>
  <c r="J1570" i="1" s="1"/>
  <c r="Q1569" i="1"/>
  <c r="I1569" i="1"/>
  <c r="J1569" i="1" s="1"/>
  <c r="Q1568" i="1"/>
  <c r="I1568" i="1"/>
  <c r="J1568" i="1" s="1"/>
  <c r="Q1567" i="1"/>
  <c r="I1567" i="1"/>
  <c r="J1567" i="1" s="1"/>
  <c r="Q1566" i="1"/>
  <c r="I1566" i="1"/>
  <c r="J1566" i="1" s="1"/>
  <c r="Q1565" i="1"/>
  <c r="I1565" i="1"/>
  <c r="J1565" i="1" s="1"/>
  <c r="Q1564" i="1"/>
  <c r="I1564" i="1"/>
  <c r="J1564" i="1" s="1"/>
  <c r="Q1563" i="1"/>
  <c r="I1563" i="1"/>
  <c r="J1563" i="1" s="1"/>
  <c r="Q1562" i="1"/>
  <c r="I1562" i="1"/>
  <c r="J1562" i="1" s="1"/>
  <c r="Q1561" i="1"/>
  <c r="I1561" i="1"/>
  <c r="J1561" i="1" s="1"/>
  <c r="Q1560" i="1"/>
  <c r="I1560" i="1"/>
  <c r="J1560" i="1" s="1"/>
  <c r="Q1559" i="1"/>
  <c r="I1559" i="1"/>
  <c r="J1559" i="1" s="1"/>
  <c r="Q1558" i="1"/>
  <c r="I1558" i="1"/>
  <c r="J1558" i="1" s="1"/>
  <c r="Q1557" i="1"/>
  <c r="I1557" i="1"/>
  <c r="J1557" i="1" s="1"/>
  <c r="Q1556" i="1"/>
  <c r="I1556" i="1"/>
  <c r="J1556" i="1" s="1"/>
  <c r="Q1555" i="1"/>
  <c r="I1555" i="1"/>
  <c r="J1555" i="1" s="1"/>
  <c r="Q1554" i="1"/>
  <c r="I1554" i="1"/>
  <c r="J1554" i="1" s="1"/>
  <c r="Q1553" i="1"/>
  <c r="I1553" i="1"/>
  <c r="J1553" i="1" s="1"/>
  <c r="Q1552" i="1"/>
  <c r="I1552" i="1"/>
  <c r="J1552" i="1" s="1"/>
  <c r="Q1551" i="1"/>
  <c r="I1551" i="1"/>
  <c r="J1551" i="1" s="1"/>
  <c r="Q1550" i="1"/>
  <c r="I1550" i="1"/>
  <c r="J1550" i="1" s="1"/>
  <c r="Q1549" i="1"/>
  <c r="I1549" i="1"/>
  <c r="J1549" i="1" s="1"/>
  <c r="Q1548" i="1"/>
  <c r="I1548" i="1"/>
  <c r="J1548" i="1" s="1"/>
  <c r="Q1547" i="1"/>
  <c r="I1547" i="1"/>
  <c r="J1547" i="1" s="1"/>
  <c r="Q1546" i="1"/>
  <c r="I1546" i="1"/>
  <c r="J1546" i="1" s="1"/>
  <c r="Q1545" i="1"/>
  <c r="I1545" i="1"/>
  <c r="J1545" i="1" s="1"/>
  <c r="Q1544" i="1"/>
  <c r="I1544" i="1"/>
  <c r="J1544" i="1" s="1"/>
  <c r="Q1543" i="1"/>
  <c r="I1543" i="1"/>
  <c r="J1543" i="1" s="1"/>
  <c r="Q1542" i="1"/>
  <c r="I1542" i="1"/>
  <c r="J1542" i="1" s="1"/>
  <c r="Q1541" i="1"/>
  <c r="I1541" i="1"/>
  <c r="J1541" i="1" s="1"/>
  <c r="Q1540" i="1"/>
  <c r="I1540" i="1"/>
  <c r="J1540" i="1" s="1"/>
  <c r="Q1539" i="1"/>
  <c r="I1539" i="1"/>
  <c r="J1539" i="1" s="1"/>
  <c r="Q1538" i="1"/>
  <c r="I1538" i="1"/>
  <c r="J1538" i="1" s="1"/>
  <c r="Q1537" i="1"/>
  <c r="I1537" i="1"/>
  <c r="J1537" i="1" s="1"/>
  <c r="Q1536" i="1"/>
  <c r="I1536" i="1"/>
  <c r="J1536" i="1" s="1"/>
  <c r="Q1535" i="1"/>
  <c r="I1535" i="1"/>
  <c r="J1535" i="1" s="1"/>
  <c r="Q1534" i="1"/>
  <c r="I1534" i="1"/>
  <c r="J1534" i="1" s="1"/>
  <c r="Q1533" i="1"/>
  <c r="I1533" i="1"/>
  <c r="J1533" i="1" s="1"/>
  <c r="Q1532" i="1"/>
  <c r="I1532" i="1"/>
  <c r="J1532" i="1" s="1"/>
  <c r="Q1531" i="1"/>
  <c r="I1531" i="1"/>
  <c r="J1531" i="1" s="1"/>
  <c r="Q1530" i="1"/>
  <c r="I1530" i="1"/>
  <c r="J1530" i="1" s="1"/>
  <c r="Q1529" i="1"/>
  <c r="I1529" i="1"/>
  <c r="J1529" i="1" s="1"/>
  <c r="Q1528" i="1"/>
  <c r="I1528" i="1"/>
  <c r="J1528" i="1" s="1"/>
  <c r="Q1527" i="1"/>
  <c r="I1527" i="1"/>
  <c r="J1527" i="1" s="1"/>
  <c r="Q1526" i="1"/>
  <c r="I1526" i="1"/>
  <c r="J1526" i="1" s="1"/>
  <c r="Q1525" i="1"/>
  <c r="I1525" i="1"/>
  <c r="J1525" i="1" s="1"/>
  <c r="Q1524" i="1"/>
  <c r="I1524" i="1"/>
  <c r="J1524" i="1" s="1"/>
  <c r="Q1523" i="1"/>
  <c r="I1523" i="1"/>
  <c r="J1523" i="1" s="1"/>
  <c r="Q1522" i="1"/>
  <c r="I1522" i="1"/>
  <c r="J1522" i="1" s="1"/>
  <c r="Q1521" i="1"/>
  <c r="I1521" i="1"/>
  <c r="J1521" i="1" s="1"/>
  <c r="Q1520" i="1"/>
  <c r="I1520" i="1"/>
  <c r="J1520" i="1" s="1"/>
  <c r="Q1519" i="1"/>
  <c r="I1519" i="1"/>
  <c r="J1519" i="1" s="1"/>
  <c r="Q1518" i="1"/>
  <c r="I1518" i="1"/>
  <c r="J1518" i="1" s="1"/>
  <c r="Q1517" i="1"/>
  <c r="I1517" i="1"/>
  <c r="J1517" i="1" s="1"/>
  <c r="Q1516" i="1"/>
  <c r="I1516" i="1"/>
  <c r="J1516" i="1" s="1"/>
  <c r="Q1515" i="1"/>
  <c r="I1515" i="1"/>
  <c r="J1515" i="1" s="1"/>
  <c r="Q1514" i="1"/>
  <c r="I1514" i="1"/>
  <c r="J1514" i="1" s="1"/>
  <c r="Q1513" i="1"/>
  <c r="I1513" i="1"/>
  <c r="J1513" i="1" s="1"/>
  <c r="Q1512" i="1"/>
  <c r="I1512" i="1"/>
  <c r="J1512" i="1" s="1"/>
  <c r="Q1511" i="1"/>
  <c r="I1511" i="1"/>
  <c r="J1511" i="1" s="1"/>
  <c r="Q1510" i="1"/>
  <c r="I1510" i="1"/>
  <c r="J1510" i="1" s="1"/>
  <c r="Q1509" i="1"/>
  <c r="I1509" i="1"/>
  <c r="J1509" i="1" s="1"/>
  <c r="Q1508" i="1"/>
  <c r="I1508" i="1"/>
  <c r="J1508" i="1" s="1"/>
  <c r="Q1507" i="1"/>
  <c r="I1507" i="1"/>
  <c r="J1507" i="1" s="1"/>
  <c r="Q1506" i="1"/>
  <c r="I1506" i="1"/>
  <c r="J1506" i="1" s="1"/>
  <c r="Q1505" i="1"/>
  <c r="I1505" i="1"/>
  <c r="J1505" i="1" s="1"/>
  <c r="Q1504" i="1"/>
  <c r="I1504" i="1"/>
  <c r="J1504" i="1" s="1"/>
  <c r="Q1503" i="1"/>
  <c r="I1503" i="1"/>
  <c r="J1503" i="1" s="1"/>
  <c r="Q1502" i="1"/>
  <c r="I1502" i="1"/>
  <c r="J1502" i="1" s="1"/>
  <c r="Q1501" i="1"/>
  <c r="I1501" i="1"/>
  <c r="J1501" i="1" s="1"/>
  <c r="Q1500" i="1"/>
  <c r="I1500" i="1"/>
  <c r="J1500" i="1" s="1"/>
  <c r="Q1499" i="1"/>
  <c r="I1499" i="1"/>
  <c r="J1499" i="1" s="1"/>
  <c r="Q1498" i="1"/>
  <c r="I1498" i="1"/>
  <c r="J1498" i="1" s="1"/>
  <c r="Q1497" i="1"/>
  <c r="I1497" i="1"/>
  <c r="J1497" i="1" s="1"/>
  <c r="Q1496" i="1"/>
  <c r="I1496" i="1"/>
  <c r="J1496" i="1" s="1"/>
  <c r="Q1495" i="1"/>
  <c r="I1495" i="1"/>
  <c r="J1495" i="1" s="1"/>
  <c r="Q1494" i="1"/>
  <c r="I1494" i="1"/>
  <c r="J1494" i="1" s="1"/>
  <c r="Q1493" i="1"/>
  <c r="I1493" i="1"/>
  <c r="J1493" i="1" s="1"/>
  <c r="Q1492" i="1"/>
  <c r="I1492" i="1"/>
  <c r="J1492" i="1" s="1"/>
  <c r="Q1491" i="1"/>
  <c r="I1491" i="1"/>
  <c r="J1491" i="1" s="1"/>
  <c r="Q1490" i="1"/>
  <c r="I1490" i="1"/>
  <c r="J1490" i="1" s="1"/>
  <c r="Q1489" i="1"/>
  <c r="I1489" i="1"/>
  <c r="J1489" i="1" s="1"/>
  <c r="Q1488" i="1"/>
  <c r="I1488" i="1"/>
  <c r="J1488" i="1" s="1"/>
  <c r="Q1487" i="1"/>
  <c r="I1487" i="1"/>
  <c r="J1487" i="1" s="1"/>
  <c r="Q1486" i="1"/>
  <c r="I1486" i="1"/>
  <c r="J1486" i="1" s="1"/>
  <c r="Q1485" i="1"/>
  <c r="I1485" i="1"/>
  <c r="J1485" i="1" s="1"/>
  <c r="Q1484" i="1"/>
  <c r="I1484" i="1"/>
  <c r="J1484" i="1" s="1"/>
  <c r="Q1483" i="1"/>
  <c r="I1483" i="1"/>
  <c r="J1483" i="1" s="1"/>
  <c r="Q1482" i="1"/>
  <c r="I1482" i="1"/>
  <c r="J1482" i="1" s="1"/>
  <c r="Q1481" i="1"/>
  <c r="I1481" i="1"/>
  <c r="J1481" i="1" s="1"/>
  <c r="Q1480" i="1"/>
  <c r="I1480" i="1"/>
  <c r="J1480" i="1" s="1"/>
  <c r="Q1479" i="1"/>
  <c r="I1479" i="1"/>
  <c r="J1479" i="1" s="1"/>
  <c r="Q1478" i="1"/>
  <c r="I1478" i="1"/>
  <c r="J1478" i="1" s="1"/>
  <c r="Q1477" i="1"/>
  <c r="I1477" i="1"/>
  <c r="J1477" i="1" s="1"/>
  <c r="Q1476" i="1"/>
  <c r="I1476" i="1"/>
  <c r="J1476" i="1" s="1"/>
  <c r="Q1475" i="1"/>
  <c r="I1475" i="1"/>
  <c r="J1475" i="1" s="1"/>
  <c r="Q1474" i="1"/>
  <c r="I1474" i="1"/>
  <c r="J1474" i="1" s="1"/>
  <c r="Q1473" i="1"/>
  <c r="I1473" i="1"/>
  <c r="J1473" i="1" s="1"/>
  <c r="Q1472" i="1"/>
  <c r="I1472" i="1"/>
  <c r="J1472" i="1" s="1"/>
  <c r="Q1471" i="1"/>
  <c r="I1471" i="1"/>
  <c r="J1471" i="1" s="1"/>
  <c r="Q1470" i="1"/>
  <c r="I1470" i="1"/>
  <c r="J1470" i="1" s="1"/>
  <c r="Q1469" i="1"/>
  <c r="I1469" i="1"/>
  <c r="J1469" i="1" s="1"/>
  <c r="Q1468" i="1"/>
  <c r="I1468" i="1"/>
  <c r="J1468" i="1" s="1"/>
  <c r="Q1467" i="1"/>
  <c r="I1467" i="1"/>
  <c r="J1467" i="1" s="1"/>
  <c r="Q1466" i="1"/>
  <c r="I1466" i="1"/>
  <c r="J1466" i="1" s="1"/>
  <c r="Q1465" i="1"/>
  <c r="I1465" i="1"/>
  <c r="J1465" i="1" s="1"/>
  <c r="Q1464" i="1"/>
  <c r="I1464" i="1"/>
  <c r="J1464" i="1" s="1"/>
  <c r="Q1463" i="1"/>
  <c r="I1463" i="1"/>
  <c r="J1463" i="1" s="1"/>
  <c r="Q1462" i="1"/>
  <c r="I1462" i="1"/>
  <c r="J1462" i="1" s="1"/>
  <c r="Q1461" i="1"/>
  <c r="I1461" i="1"/>
  <c r="J1461" i="1" s="1"/>
  <c r="Q1460" i="1"/>
  <c r="I1460" i="1"/>
  <c r="J1460" i="1" s="1"/>
  <c r="Q1459" i="1"/>
  <c r="I1459" i="1"/>
  <c r="J1459" i="1" s="1"/>
  <c r="Q1458" i="1"/>
  <c r="I1458" i="1"/>
  <c r="J1458" i="1" s="1"/>
  <c r="Q1457" i="1"/>
  <c r="I1457" i="1"/>
  <c r="J1457" i="1" s="1"/>
  <c r="Q1456" i="1"/>
  <c r="I1456" i="1"/>
  <c r="J1456" i="1" s="1"/>
  <c r="Q1455" i="1"/>
  <c r="I1455" i="1"/>
  <c r="J1455" i="1" s="1"/>
  <c r="Q1454" i="1"/>
  <c r="I1454" i="1"/>
  <c r="J1454" i="1" s="1"/>
  <c r="Q1453" i="1"/>
  <c r="I1453" i="1"/>
  <c r="J1453" i="1" s="1"/>
  <c r="Q1452" i="1"/>
  <c r="I1452" i="1"/>
  <c r="J1452" i="1" s="1"/>
  <c r="Q1451" i="1"/>
  <c r="I1451" i="1"/>
  <c r="J1451" i="1" s="1"/>
  <c r="Q1450" i="1"/>
  <c r="I1450" i="1"/>
  <c r="J1450" i="1" s="1"/>
  <c r="Q1449" i="1"/>
  <c r="I1449" i="1"/>
  <c r="J1449" i="1" s="1"/>
  <c r="Q1448" i="1"/>
  <c r="I1448" i="1"/>
  <c r="J1448" i="1" s="1"/>
  <c r="Q1447" i="1"/>
  <c r="I1447" i="1"/>
  <c r="J1447" i="1" s="1"/>
  <c r="Q1446" i="1"/>
  <c r="I1446" i="1"/>
  <c r="J1446" i="1" s="1"/>
  <c r="Q1445" i="1"/>
  <c r="I1445" i="1"/>
  <c r="J1445" i="1" s="1"/>
  <c r="Q1444" i="1"/>
  <c r="I1444" i="1"/>
  <c r="J1444" i="1" s="1"/>
  <c r="Q1443" i="1"/>
  <c r="I1443" i="1"/>
  <c r="J1443" i="1" s="1"/>
  <c r="Q1442" i="1"/>
  <c r="I1442" i="1"/>
  <c r="J1442" i="1" s="1"/>
  <c r="Q1441" i="1"/>
  <c r="I1441" i="1"/>
  <c r="J1441" i="1" s="1"/>
  <c r="Q1440" i="1"/>
  <c r="I1440" i="1"/>
  <c r="J1440" i="1" s="1"/>
  <c r="Q1439" i="1"/>
  <c r="I1439" i="1"/>
  <c r="J1439" i="1" s="1"/>
  <c r="Q1438" i="1"/>
  <c r="I1438" i="1"/>
  <c r="J1438" i="1" s="1"/>
  <c r="Q1437" i="1"/>
  <c r="I1437" i="1"/>
  <c r="J1437" i="1" s="1"/>
  <c r="Q1436" i="1"/>
  <c r="I1436" i="1"/>
  <c r="J1436" i="1" s="1"/>
  <c r="Q1435" i="1"/>
  <c r="I1435" i="1"/>
  <c r="J1435" i="1" s="1"/>
  <c r="Q1434" i="1"/>
  <c r="I1434" i="1"/>
  <c r="J1434" i="1" s="1"/>
  <c r="Q1433" i="1"/>
  <c r="I1433" i="1"/>
  <c r="J1433" i="1" s="1"/>
  <c r="Q1432" i="1"/>
  <c r="I1432" i="1"/>
  <c r="J1432" i="1" s="1"/>
  <c r="Q1431" i="1"/>
  <c r="I1431" i="1"/>
  <c r="J1431" i="1" s="1"/>
  <c r="Q1430" i="1"/>
  <c r="I1430" i="1"/>
  <c r="J1430" i="1" s="1"/>
  <c r="Q1429" i="1"/>
  <c r="I1429" i="1"/>
  <c r="J1429" i="1" s="1"/>
  <c r="Q1428" i="1"/>
  <c r="I1428" i="1"/>
  <c r="J1428" i="1" s="1"/>
  <c r="Q1427" i="1"/>
  <c r="I1427" i="1"/>
  <c r="J1427" i="1" s="1"/>
  <c r="Q1426" i="1"/>
  <c r="I1426" i="1"/>
  <c r="J1426" i="1" s="1"/>
  <c r="Q1425" i="1"/>
  <c r="I1425" i="1"/>
  <c r="J1425" i="1" s="1"/>
  <c r="Q1424" i="1"/>
  <c r="I1424" i="1"/>
  <c r="J1424" i="1" s="1"/>
  <c r="Q1423" i="1"/>
  <c r="I1423" i="1"/>
  <c r="J1423" i="1" s="1"/>
  <c r="Q1422" i="1"/>
  <c r="I1422" i="1"/>
  <c r="J1422" i="1" s="1"/>
  <c r="Q1421" i="1"/>
  <c r="I1421" i="1"/>
  <c r="J1421" i="1" s="1"/>
  <c r="Q1420" i="1"/>
  <c r="I1420" i="1"/>
  <c r="J1420" i="1" s="1"/>
  <c r="Q1419" i="1"/>
  <c r="I1419" i="1"/>
  <c r="J1419" i="1" s="1"/>
  <c r="Q1418" i="1"/>
  <c r="I1418" i="1"/>
  <c r="J1418" i="1" s="1"/>
  <c r="Q1417" i="1"/>
  <c r="I1417" i="1"/>
  <c r="J1417" i="1" s="1"/>
  <c r="Q1416" i="1"/>
  <c r="I1416" i="1"/>
  <c r="J1416" i="1" s="1"/>
  <c r="Q1415" i="1"/>
  <c r="I1415" i="1"/>
  <c r="J1415" i="1" s="1"/>
  <c r="Q1414" i="1"/>
  <c r="I1414" i="1"/>
  <c r="J1414" i="1" s="1"/>
  <c r="Q1413" i="1"/>
  <c r="I1413" i="1"/>
  <c r="J1413" i="1" s="1"/>
  <c r="Q1412" i="1"/>
  <c r="I1412" i="1"/>
  <c r="J1412" i="1" s="1"/>
  <c r="Q1411" i="1"/>
  <c r="I1411" i="1"/>
  <c r="J1411" i="1" s="1"/>
  <c r="Q1410" i="1"/>
  <c r="I1410" i="1"/>
  <c r="J1410" i="1" s="1"/>
  <c r="Q1409" i="1"/>
  <c r="I1409" i="1"/>
  <c r="J1409" i="1" s="1"/>
  <c r="Q1408" i="1"/>
  <c r="I1408" i="1"/>
  <c r="J1408" i="1" s="1"/>
  <c r="Q1407" i="1"/>
  <c r="I1407" i="1"/>
  <c r="J1407" i="1" s="1"/>
  <c r="Q1406" i="1"/>
  <c r="I1406" i="1"/>
  <c r="J1406" i="1" s="1"/>
  <c r="Q1405" i="1"/>
  <c r="I1405" i="1"/>
  <c r="J1405" i="1" s="1"/>
  <c r="Q1404" i="1"/>
  <c r="I1404" i="1"/>
  <c r="J1404" i="1" s="1"/>
  <c r="Q1403" i="1"/>
  <c r="I1403" i="1"/>
  <c r="J1403" i="1" s="1"/>
  <c r="Q1402" i="1"/>
  <c r="I1402" i="1"/>
  <c r="J1402" i="1" s="1"/>
  <c r="Q1401" i="1"/>
  <c r="I1401" i="1"/>
  <c r="J1401" i="1" s="1"/>
  <c r="Q1400" i="1"/>
  <c r="I1400" i="1"/>
  <c r="J1400" i="1" s="1"/>
  <c r="Q1399" i="1"/>
  <c r="I1399" i="1"/>
  <c r="J1399" i="1" s="1"/>
  <c r="Q1398" i="1"/>
  <c r="I1398" i="1"/>
  <c r="J1398" i="1" s="1"/>
  <c r="Q1397" i="1"/>
  <c r="I1397" i="1"/>
  <c r="J1397" i="1" s="1"/>
  <c r="Q1396" i="1"/>
  <c r="I1396" i="1"/>
  <c r="J1396" i="1" s="1"/>
  <c r="Q1395" i="1"/>
  <c r="I1395" i="1"/>
  <c r="J1395" i="1" s="1"/>
  <c r="Q1394" i="1"/>
  <c r="I1394" i="1"/>
  <c r="J1394" i="1" s="1"/>
  <c r="Q1393" i="1"/>
  <c r="I1393" i="1"/>
  <c r="J1393" i="1" s="1"/>
  <c r="Q1392" i="1"/>
  <c r="I1392" i="1"/>
  <c r="J1392" i="1" s="1"/>
  <c r="Q1391" i="1"/>
  <c r="I1391" i="1"/>
  <c r="J1391" i="1" s="1"/>
  <c r="Q1390" i="1"/>
  <c r="I1390" i="1"/>
  <c r="J1390" i="1" s="1"/>
  <c r="Q1389" i="1"/>
  <c r="I1389" i="1"/>
  <c r="J1389" i="1" s="1"/>
  <c r="Q1388" i="1"/>
  <c r="I1388" i="1"/>
  <c r="J1388" i="1" s="1"/>
  <c r="Q1387" i="1"/>
  <c r="I1387" i="1"/>
  <c r="J1387" i="1" s="1"/>
  <c r="Q1386" i="1"/>
  <c r="I1386" i="1"/>
  <c r="J1386" i="1" s="1"/>
  <c r="Q1385" i="1"/>
  <c r="I1385" i="1"/>
  <c r="J1385" i="1" s="1"/>
  <c r="Q1384" i="1"/>
  <c r="I1384" i="1"/>
  <c r="J1384" i="1" s="1"/>
  <c r="Q1383" i="1"/>
  <c r="I1383" i="1"/>
  <c r="J1383" i="1" s="1"/>
  <c r="Q1382" i="1"/>
  <c r="I1382" i="1"/>
  <c r="J1382" i="1" s="1"/>
  <c r="Q1381" i="1"/>
  <c r="I1381" i="1"/>
  <c r="J1381" i="1" s="1"/>
  <c r="Q1380" i="1"/>
  <c r="I1380" i="1"/>
  <c r="J1380" i="1" s="1"/>
  <c r="Q1379" i="1"/>
  <c r="I1379" i="1"/>
  <c r="J1379" i="1" s="1"/>
  <c r="Q1378" i="1"/>
  <c r="I1378" i="1"/>
  <c r="J1378" i="1" s="1"/>
  <c r="Q1377" i="1"/>
  <c r="I1377" i="1"/>
  <c r="J1377" i="1" s="1"/>
  <c r="Q1376" i="1"/>
  <c r="I1376" i="1"/>
  <c r="J1376" i="1" s="1"/>
  <c r="Q1375" i="1"/>
  <c r="I1375" i="1"/>
  <c r="J1375" i="1" s="1"/>
  <c r="Q1374" i="1"/>
  <c r="I1374" i="1"/>
  <c r="J1374" i="1" s="1"/>
  <c r="Q1373" i="1"/>
  <c r="I1373" i="1"/>
  <c r="J1373" i="1" s="1"/>
  <c r="Q1372" i="1"/>
  <c r="I1372" i="1"/>
  <c r="J1372" i="1" s="1"/>
  <c r="Q1371" i="1"/>
  <c r="I1371" i="1"/>
  <c r="J1371" i="1" s="1"/>
  <c r="Q1370" i="1"/>
  <c r="I1370" i="1"/>
  <c r="J1370" i="1" s="1"/>
  <c r="Q1369" i="1"/>
  <c r="I1369" i="1"/>
  <c r="J1369" i="1" s="1"/>
  <c r="Q1368" i="1"/>
  <c r="I1368" i="1"/>
  <c r="J1368" i="1" s="1"/>
  <c r="Q1367" i="1"/>
  <c r="I1367" i="1"/>
  <c r="J1367" i="1" s="1"/>
  <c r="Q1366" i="1"/>
  <c r="I1366" i="1"/>
  <c r="J1366" i="1" s="1"/>
  <c r="Q1365" i="1"/>
  <c r="I1365" i="1"/>
  <c r="J1365" i="1" s="1"/>
  <c r="Q1364" i="1"/>
  <c r="I1364" i="1"/>
  <c r="J1364" i="1" s="1"/>
  <c r="Q1363" i="1"/>
  <c r="I1363" i="1"/>
  <c r="J1363" i="1" s="1"/>
  <c r="Q1362" i="1"/>
  <c r="I1362" i="1"/>
  <c r="J1362" i="1" s="1"/>
  <c r="Q1361" i="1"/>
  <c r="J1361" i="1"/>
  <c r="I1361" i="1"/>
  <c r="Q1360" i="1"/>
  <c r="I1360" i="1"/>
  <c r="J1360" i="1" s="1"/>
  <c r="Q1359" i="1"/>
  <c r="I1359" i="1"/>
  <c r="J1359" i="1" s="1"/>
  <c r="Q1358" i="1"/>
  <c r="I1358" i="1"/>
  <c r="J1358" i="1" s="1"/>
  <c r="Q1357" i="1"/>
  <c r="I1357" i="1"/>
  <c r="J1357" i="1" s="1"/>
  <c r="Q1356" i="1"/>
  <c r="I1356" i="1"/>
  <c r="J1356" i="1" s="1"/>
  <c r="Q1355" i="1"/>
  <c r="I1355" i="1"/>
  <c r="J1355" i="1" s="1"/>
  <c r="Q1354" i="1"/>
  <c r="I1354" i="1"/>
  <c r="J1354" i="1" s="1"/>
  <c r="Q1353" i="1"/>
  <c r="I1353" i="1"/>
  <c r="J1353" i="1" s="1"/>
  <c r="Q1352" i="1"/>
  <c r="I1352" i="1"/>
  <c r="J1352" i="1" s="1"/>
  <c r="Q1351" i="1"/>
  <c r="I1351" i="1"/>
  <c r="J1351" i="1" s="1"/>
  <c r="Q1350" i="1"/>
  <c r="I1350" i="1"/>
  <c r="J1350" i="1" s="1"/>
  <c r="Q1349" i="1"/>
  <c r="I1349" i="1"/>
  <c r="J1349" i="1" s="1"/>
  <c r="Q1348" i="1"/>
  <c r="I1348" i="1"/>
  <c r="J1348" i="1" s="1"/>
  <c r="Q1347" i="1"/>
  <c r="I1347" i="1"/>
  <c r="J1347" i="1" s="1"/>
  <c r="Q1346" i="1"/>
  <c r="I1346" i="1"/>
  <c r="J1346" i="1" s="1"/>
  <c r="Q1345" i="1"/>
  <c r="I1345" i="1"/>
  <c r="J1345" i="1" s="1"/>
  <c r="Q1344" i="1"/>
  <c r="I1344" i="1"/>
  <c r="J1344" i="1" s="1"/>
  <c r="Q1343" i="1"/>
  <c r="I1343" i="1"/>
  <c r="J1343" i="1" s="1"/>
  <c r="Q1342" i="1"/>
  <c r="I1342" i="1"/>
  <c r="J1342" i="1" s="1"/>
  <c r="Q1341" i="1"/>
  <c r="I1341" i="1"/>
  <c r="J1341" i="1" s="1"/>
  <c r="Q1340" i="1"/>
  <c r="I1340" i="1"/>
  <c r="J1340" i="1" s="1"/>
  <c r="Q1339" i="1"/>
  <c r="I1339" i="1"/>
  <c r="J1339" i="1" s="1"/>
  <c r="Q1338" i="1"/>
  <c r="I1338" i="1"/>
  <c r="J1338" i="1" s="1"/>
  <c r="Q1337" i="1"/>
  <c r="I1337" i="1"/>
  <c r="J1337" i="1" s="1"/>
  <c r="Q1336" i="1"/>
  <c r="I1336" i="1"/>
  <c r="J1336" i="1" s="1"/>
  <c r="Q1335" i="1"/>
  <c r="I1335" i="1"/>
  <c r="J1335" i="1" s="1"/>
  <c r="Q1334" i="1"/>
  <c r="I1334" i="1"/>
  <c r="J1334" i="1" s="1"/>
  <c r="Q1333" i="1"/>
  <c r="I1333" i="1"/>
  <c r="J1333" i="1" s="1"/>
  <c r="Q1332" i="1"/>
  <c r="I1332" i="1"/>
  <c r="J1332" i="1" s="1"/>
  <c r="Q1331" i="1"/>
  <c r="I1331" i="1"/>
  <c r="J1331" i="1" s="1"/>
  <c r="Q1330" i="1"/>
  <c r="I1330" i="1"/>
  <c r="J1330" i="1" s="1"/>
  <c r="Q1329" i="1"/>
  <c r="I1329" i="1"/>
  <c r="J1329" i="1" s="1"/>
  <c r="Q1328" i="1"/>
  <c r="I1328" i="1"/>
  <c r="J1328" i="1" s="1"/>
  <c r="Q1327" i="1"/>
  <c r="I1327" i="1"/>
  <c r="J1327" i="1" s="1"/>
  <c r="Q1326" i="1"/>
  <c r="I1326" i="1"/>
  <c r="J1326" i="1" s="1"/>
  <c r="Q1325" i="1"/>
  <c r="I1325" i="1"/>
  <c r="J1325" i="1" s="1"/>
  <c r="Q1324" i="1"/>
  <c r="I1324" i="1"/>
  <c r="J1324" i="1" s="1"/>
  <c r="Q1323" i="1"/>
  <c r="I1323" i="1"/>
  <c r="J1323" i="1" s="1"/>
  <c r="Q1322" i="1"/>
  <c r="I1322" i="1"/>
  <c r="J1322" i="1" s="1"/>
  <c r="Q1321" i="1"/>
  <c r="I1321" i="1"/>
  <c r="J1321" i="1" s="1"/>
  <c r="Q1320" i="1"/>
  <c r="I1320" i="1"/>
  <c r="J1320" i="1" s="1"/>
  <c r="Q1319" i="1"/>
  <c r="I1319" i="1"/>
  <c r="J1319" i="1" s="1"/>
  <c r="Q1318" i="1"/>
  <c r="I1318" i="1"/>
  <c r="J1318" i="1" s="1"/>
  <c r="Q1317" i="1"/>
  <c r="I1317" i="1"/>
  <c r="J1317" i="1" s="1"/>
  <c r="Q1316" i="1"/>
  <c r="I1316" i="1"/>
  <c r="J1316" i="1" s="1"/>
  <c r="Q1315" i="1"/>
  <c r="I1315" i="1"/>
  <c r="J1315" i="1" s="1"/>
  <c r="Q1314" i="1"/>
  <c r="I1314" i="1"/>
  <c r="J1314" i="1" s="1"/>
  <c r="Q1313" i="1"/>
  <c r="I1313" i="1"/>
  <c r="J1313" i="1" s="1"/>
  <c r="Q1312" i="1"/>
  <c r="I1312" i="1"/>
  <c r="J1312" i="1" s="1"/>
  <c r="Q1311" i="1"/>
  <c r="I1311" i="1"/>
  <c r="J1311" i="1" s="1"/>
  <c r="Q1310" i="1"/>
  <c r="I1310" i="1"/>
  <c r="J1310" i="1" s="1"/>
  <c r="Q1309" i="1"/>
  <c r="I1309" i="1"/>
  <c r="J1309" i="1" s="1"/>
  <c r="Q1308" i="1"/>
  <c r="I1308" i="1"/>
  <c r="J1308" i="1" s="1"/>
  <c r="Q1307" i="1"/>
  <c r="I1307" i="1"/>
  <c r="J1307" i="1" s="1"/>
  <c r="Q1306" i="1"/>
  <c r="I1306" i="1"/>
  <c r="J1306" i="1" s="1"/>
  <c r="Q1305" i="1"/>
  <c r="I1305" i="1"/>
  <c r="J1305" i="1" s="1"/>
  <c r="Q1304" i="1"/>
  <c r="I1304" i="1"/>
  <c r="J1304" i="1" s="1"/>
  <c r="Q1303" i="1"/>
  <c r="I1303" i="1"/>
  <c r="J1303" i="1" s="1"/>
  <c r="Q1302" i="1"/>
  <c r="I1302" i="1"/>
  <c r="J1302" i="1" s="1"/>
  <c r="Q1301" i="1"/>
  <c r="I1301" i="1"/>
  <c r="J1301" i="1" s="1"/>
  <c r="Q1300" i="1"/>
  <c r="I1300" i="1"/>
  <c r="J1300" i="1" s="1"/>
  <c r="Q1299" i="1"/>
  <c r="I1299" i="1"/>
  <c r="J1299" i="1" s="1"/>
  <c r="Q1298" i="1"/>
  <c r="I1298" i="1"/>
  <c r="J1298" i="1" s="1"/>
  <c r="Q1297" i="1"/>
  <c r="I1297" i="1"/>
  <c r="J1297" i="1" s="1"/>
  <c r="Q1296" i="1"/>
  <c r="I1296" i="1"/>
  <c r="J1296" i="1" s="1"/>
  <c r="Q1295" i="1"/>
  <c r="I1295" i="1"/>
  <c r="J1295" i="1" s="1"/>
  <c r="Q1294" i="1"/>
  <c r="I1294" i="1"/>
  <c r="J1294" i="1" s="1"/>
  <c r="Q1293" i="1"/>
  <c r="I1293" i="1"/>
  <c r="J1293" i="1" s="1"/>
  <c r="Q1292" i="1"/>
  <c r="I1292" i="1"/>
  <c r="J1292" i="1" s="1"/>
  <c r="Q1291" i="1"/>
  <c r="I1291" i="1"/>
  <c r="J1291" i="1" s="1"/>
  <c r="Q1290" i="1"/>
  <c r="I1290" i="1"/>
  <c r="J1290" i="1" s="1"/>
  <c r="Q1289" i="1"/>
  <c r="I1289" i="1"/>
  <c r="J1289" i="1" s="1"/>
  <c r="Q1288" i="1"/>
  <c r="I1288" i="1"/>
  <c r="J1288" i="1" s="1"/>
  <c r="Q1287" i="1"/>
  <c r="J1287" i="1"/>
  <c r="I1287" i="1"/>
  <c r="Q1286" i="1"/>
  <c r="I1286" i="1"/>
  <c r="J1286" i="1" s="1"/>
  <c r="Q1285" i="1"/>
  <c r="I1285" i="1"/>
  <c r="J1285" i="1" s="1"/>
  <c r="Q1284" i="1"/>
  <c r="I1284" i="1"/>
  <c r="J1284" i="1" s="1"/>
  <c r="Q1283" i="1"/>
  <c r="I1283" i="1"/>
  <c r="J1283" i="1" s="1"/>
  <c r="Q1282" i="1"/>
  <c r="I1282" i="1"/>
  <c r="J1282" i="1" s="1"/>
  <c r="Q1281" i="1"/>
  <c r="I1281" i="1"/>
  <c r="J1281" i="1" s="1"/>
  <c r="Q1280" i="1"/>
  <c r="I1280" i="1"/>
  <c r="J1280" i="1" s="1"/>
  <c r="Q1279" i="1"/>
  <c r="I1279" i="1"/>
  <c r="J1279" i="1" s="1"/>
  <c r="Q1278" i="1"/>
  <c r="I1278" i="1"/>
  <c r="J1278" i="1" s="1"/>
  <c r="Q1277" i="1"/>
  <c r="I1277" i="1"/>
  <c r="J1277" i="1" s="1"/>
  <c r="Q1276" i="1"/>
  <c r="I1276" i="1"/>
  <c r="J1276" i="1" s="1"/>
  <c r="Q1275" i="1"/>
  <c r="I1275" i="1"/>
  <c r="J1275" i="1" s="1"/>
  <c r="Q1274" i="1"/>
  <c r="J1274" i="1"/>
  <c r="I1274" i="1"/>
  <c r="Q1273" i="1"/>
  <c r="I1273" i="1"/>
  <c r="J1273" i="1" s="1"/>
  <c r="Q1272" i="1"/>
  <c r="J1272" i="1"/>
  <c r="I1272" i="1"/>
  <c r="Q1271" i="1"/>
  <c r="I1271" i="1"/>
  <c r="J1271" i="1" s="1"/>
  <c r="Q1270" i="1"/>
  <c r="I1270" i="1"/>
  <c r="J1270" i="1" s="1"/>
  <c r="Q1269" i="1"/>
  <c r="I1269" i="1"/>
  <c r="J1269" i="1" s="1"/>
  <c r="Q1268" i="1"/>
  <c r="I1268" i="1"/>
  <c r="J1268" i="1" s="1"/>
  <c r="Q1267" i="1"/>
  <c r="I1267" i="1"/>
  <c r="J1267" i="1" s="1"/>
  <c r="Q1266" i="1"/>
  <c r="I1266" i="1"/>
  <c r="J1266" i="1" s="1"/>
  <c r="Q1265" i="1"/>
  <c r="I1265" i="1"/>
  <c r="J1265" i="1" s="1"/>
  <c r="Q1264" i="1"/>
  <c r="I1264" i="1"/>
  <c r="J1264" i="1" s="1"/>
  <c r="Q1263" i="1"/>
  <c r="I1263" i="1"/>
  <c r="J1263" i="1" s="1"/>
  <c r="Q1262" i="1"/>
  <c r="J1262" i="1"/>
  <c r="I1262" i="1"/>
  <c r="Q1261" i="1"/>
  <c r="I1261" i="1"/>
  <c r="J1261" i="1" s="1"/>
  <c r="Q1260" i="1"/>
  <c r="I1260" i="1"/>
  <c r="J1260" i="1" s="1"/>
  <c r="Q1259" i="1"/>
  <c r="I1259" i="1"/>
  <c r="J1259" i="1" s="1"/>
  <c r="Q1258" i="1"/>
  <c r="I1258" i="1"/>
  <c r="J1258" i="1" s="1"/>
  <c r="Q1257" i="1"/>
  <c r="I1257" i="1"/>
  <c r="J1257" i="1" s="1"/>
  <c r="Q1256" i="1"/>
  <c r="I1256" i="1"/>
  <c r="J1256" i="1" s="1"/>
  <c r="Q1255" i="1"/>
  <c r="I1255" i="1"/>
  <c r="J1255" i="1" s="1"/>
  <c r="Q1254" i="1"/>
  <c r="I1254" i="1"/>
  <c r="J1254" i="1" s="1"/>
  <c r="Q1253" i="1"/>
  <c r="I1253" i="1"/>
  <c r="J1253" i="1" s="1"/>
  <c r="Q1252" i="1"/>
  <c r="I1252" i="1"/>
  <c r="J1252" i="1" s="1"/>
  <c r="Q1251" i="1"/>
  <c r="I1251" i="1"/>
  <c r="J1251" i="1" s="1"/>
  <c r="Q1250" i="1"/>
  <c r="I1250" i="1"/>
  <c r="J1250" i="1" s="1"/>
  <c r="Q1249" i="1"/>
  <c r="I1249" i="1"/>
  <c r="J1249" i="1" s="1"/>
  <c r="Q1248" i="1"/>
  <c r="I1248" i="1"/>
  <c r="J1248" i="1" s="1"/>
  <c r="Q1247" i="1"/>
  <c r="I1247" i="1"/>
  <c r="J1247" i="1" s="1"/>
  <c r="Q1246" i="1"/>
  <c r="I1246" i="1"/>
  <c r="J1246" i="1" s="1"/>
  <c r="Q1245" i="1"/>
  <c r="I1245" i="1"/>
  <c r="J1245" i="1" s="1"/>
  <c r="Q1244" i="1"/>
  <c r="I1244" i="1"/>
  <c r="J1244" i="1" s="1"/>
  <c r="Q1243" i="1"/>
  <c r="I1243" i="1"/>
  <c r="J1243" i="1" s="1"/>
  <c r="Q1242" i="1"/>
  <c r="I1242" i="1"/>
  <c r="J1242" i="1" s="1"/>
  <c r="Q1241" i="1"/>
  <c r="I1241" i="1"/>
  <c r="J1241" i="1" s="1"/>
  <c r="Q1240" i="1"/>
  <c r="I1240" i="1"/>
  <c r="J1240" i="1" s="1"/>
  <c r="Q1239" i="1"/>
  <c r="I1239" i="1"/>
  <c r="J1239" i="1" s="1"/>
  <c r="Q1238" i="1"/>
  <c r="I1238" i="1"/>
  <c r="J1238" i="1" s="1"/>
  <c r="Q1237" i="1"/>
  <c r="I1237" i="1"/>
  <c r="J1237" i="1" s="1"/>
  <c r="Q1236" i="1"/>
  <c r="I1236" i="1"/>
  <c r="J1236" i="1" s="1"/>
  <c r="Q1235" i="1"/>
  <c r="I1235" i="1"/>
  <c r="J1235" i="1" s="1"/>
  <c r="Q1234" i="1"/>
  <c r="I1234" i="1"/>
  <c r="J1234" i="1" s="1"/>
  <c r="Q1233" i="1"/>
  <c r="I1233" i="1"/>
  <c r="J1233" i="1" s="1"/>
  <c r="Q1232" i="1"/>
  <c r="J1232" i="1"/>
  <c r="I1232" i="1"/>
  <c r="Q1231" i="1"/>
  <c r="I1231" i="1"/>
  <c r="J1231" i="1" s="1"/>
  <c r="Q1230" i="1"/>
  <c r="I1230" i="1"/>
  <c r="J1230" i="1" s="1"/>
  <c r="Q1229" i="1"/>
  <c r="I1229" i="1"/>
  <c r="J1229" i="1" s="1"/>
  <c r="Q1228" i="1"/>
  <c r="J1228" i="1"/>
  <c r="I1228" i="1"/>
  <c r="Q1227" i="1"/>
  <c r="I1227" i="1"/>
  <c r="J1227" i="1" s="1"/>
  <c r="Q1226" i="1"/>
  <c r="I1226" i="1"/>
  <c r="J1226" i="1" s="1"/>
  <c r="Q1225" i="1"/>
  <c r="I1225" i="1"/>
  <c r="J1225" i="1" s="1"/>
  <c r="Q1224" i="1"/>
  <c r="I1224" i="1"/>
  <c r="J1224" i="1" s="1"/>
  <c r="Q1223" i="1"/>
  <c r="I1223" i="1"/>
  <c r="J1223" i="1" s="1"/>
  <c r="Q1222" i="1"/>
  <c r="I1222" i="1"/>
  <c r="J1222" i="1" s="1"/>
  <c r="Q1221" i="1"/>
  <c r="I1221" i="1"/>
  <c r="J1221" i="1" s="1"/>
  <c r="Q1220" i="1"/>
  <c r="J1220" i="1"/>
  <c r="I1220" i="1"/>
  <c r="Q1219" i="1"/>
  <c r="I1219" i="1"/>
  <c r="J1219" i="1" s="1"/>
  <c r="Q1218" i="1"/>
  <c r="I1218" i="1"/>
  <c r="J1218" i="1" s="1"/>
  <c r="Q1217" i="1"/>
  <c r="I1217" i="1"/>
  <c r="J1217" i="1" s="1"/>
  <c r="Q1216" i="1"/>
  <c r="I1216" i="1"/>
  <c r="J1216" i="1" s="1"/>
  <c r="Q1215" i="1"/>
  <c r="I1215" i="1"/>
  <c r="J1215" i="1" s="1"/>
  <c r="Q1214" i="1"/>
  <c r="I1214" i="1"/>
  <c r="J1214" i="1" s="1"/>
  <c r="Q1213" i="1"/>
  <c r="I1213" i="1"/>
  <c r="J1213" i="1" s="1"/>
  <c r="Q1212" i="1"/>
  <c r="I1212" i="1"/>
  <c r="J1212" i="1" s="1"/>
  <c r="Q1211" i="1"/>
  <c r="I1211" i="1"/>
  <c r="J1211" i="1" s="1"/>
  <c r="Q1210" i="1"/>
  <c r="I1210" i="1"/>
  <c r="J1210" i="1" s="1"/>
  <c r="Q1209" i="1"/>
  <c r="J1209" i="1"/>
  <c r="I1209" i="1"/>
  <c r="Q1208" i="1"/>
  <c r="I1208" i="1"/>
  <c r="J1208" i="1" s="1"/>
  <c r="Q1207" i="1"/>
  <c r="I1207" i="1"/>
  <c r="J1207" i="1" s="1"/>
  <c r="Q1206" i="1"/>
  <c r="I1206" i="1"/>
  <c r="J1206" i="1" s="1"/>
  <c r="Q1205" i="1"/>
  <c r="I1205" i="1"/>
  <c r="J1205" i="1" s="1"/>
  <c r="Q1204" i="1"/>
  <c r="I1204" i="1"/>
  <c r="J1204" i="1" s="1"/>
  <c r="Q1203" i="1"/>
  <c r="I1203" i="1"/>
  <c r="J1203" i="1" s="1"/>
  <c r="Q1202" i="1"/>
  <c r="I1202" i="1"/>
  <c r="J1202" i="1" s="1"/>
  <c r="Q1201" i="1"/>
  <c r="I1201" i="1"/>
  <c r="J1201" i="1" s="1"/>
  <c r="Q1200" i="1"/>
  <c r="I1200" i="1"/>
  <c r="J1200" i="1" s="1"/>
  <c r="Q1199" i="1"/>
  <c r="I1199" i="1"/>
  <c r="J1199" i="1" s="1"/>
  <c r="Q1198" i="1"/>
  <c r="I1198" i="1"/>
  <c r="J1198" i="1" s="1"/>
  <c r="Q1197" i="1"/>
  <c r="I1197" i="1"/>
  <c r="J1197" i="1" s="1"/>
  <c r="Q1196" i="1"/>
  <c r="I1196" i="1"/>
  <c r="J1196" i="1" s="1"/>
  <c r="Q1195" i="1"/>
  <c r="I1195" i="1"/>
  <c r="J1195" i="1" s="1"/>
  <c r="Q1194" i="1"/>
  <c r="I1194" i="1"/>
  <c r="J1194" i="1" s="1"/>
  <c r="Q1193" i="1"/>
  <c r="I1193" i="1"/>
  <c r="J1193" i="1" s="1"/>
  <c r="Q1192" i="1"/>
  <c r="I1192" i="1"/>
  <c r="J1192" i="1" s="1"/>
  <c r="Q1191" i="1"/>
  <c r="I1191" i="1"/>
  <c r="J1191" i="1" s="1"/>
  <c r="Q1190" i="1"/>
  <c r="I1190" i="1"/>
  <c r="J1190" i="1" s="1"/>
  <c r="Q1189" i="1"/>
  <c r="J1189" i="1"/>
  <c r="I1189" i="1"/>
  <c r="Q1188" i="1"/>
  <c r="I1188" i="1"/>
  <c r="J1188" i="1" s="1"/>
  <c r="Q1187" i="1"/>
  <c r="I1187" i="1"/>
  <c r="J1187" i="1" s="1"/>
  <c r="Q1186" i="1"/>
  <c r="I1186" i="1"/>
  <c r="J1186" i="1" s="1"/>
  <c r="Q1185" i="1"/>
  <c r="I1185" i="1"/>
  <c r="J1185" i="1" s="1"/>
  <c r="Q1184" i="1"/>
  <c r="I1184" i="1"/>
  <c r="J1184" i="1" s="1"/>
  <c r="Q1183" i="1"/>
  <c r="I1183" i="1"/>
  <c r="J1183" i="1" s="1"/>
  <c r="Q1182" i="1"/>
  <c r="I1182" i="1"/>
  <c r="J1182" i="1" s="1"/>
  <c r="Q1181" i="1"/>
  <c r="I1181" i="1"/>
  <c r="J1181" i="1" s="1"/>
  <c r="Q1180" i="1"/>
  <c r="I1180" i="1"/>
  <c r="J1180" i="1" s="1"/>
  <c r="Q1179" i="1"/>
  <c r="I1179" i="1"/>
  <c r="J1179" i="1" s="1"/>
  <c r="Q1178" i="1"/>
  <c r="I1178" i="1"/>
  <c r="J1178" i="1" s="1"/>
  <c r="Q1177" i="1"/>
  <c r="I1177" i="1"/>
  <c r="J1177" i="1" s="1"/>
  <c r="Q1176" i="1"/>
  <c r="I1176" i="1"/>
  <c r="J1176" i="1" s="1"/>
  <c r="Q1175" i="1"/>
  <c r="I1175" i="1"/>
  <c r="J1175" i="1" s="1"/>
  <c r="Q1174" i="1"/>
  <c r="I1174" i="1"/>
  <c r="J1174" i="1" s="1"/>
  <c r="Q1173" i="1"/>
  <c r="J1173" i="1"/>
  <c r="I1173" i="1"/>
  <c r="Q1172" i="1"/>
  <c r="I1172" i="1"/>
  <c r="J1172" i="1" s="1"/>
  <c r="Q1171" i="1"/>
  <c r="I1171" i="1"/>
  <c r="J1171" i="1" s="1"/>
  <c r="Q1170" i="1"/>
  <c r="I1170" i="1"/>
  <c r="J1170" i="1" s="1"/>
  <c r="Q1169" i="1"/>
  <c r="I1169" i="1"/>
  <c r="J1169" i="1" s="1"/>
  <c r="Q1168" i="1"/>
  <c r="I1168" i="1"/>
  <c r="J1168" i="1" s="1"/>
  <c r="Q1167" i="1"/>
  <c r="I1167" i="1"/>
  <c r="J1167" i="1" s="1"/>
  <c r="Q1166" i="1"/>
  <c r="I1166" i="1"/>
  <c r="J1166" i="1" s="1"/>
  <c r="Q1165" i="1"/>
  <c r="I1165" i="1"/>
  <c r="J1165" i="1" s="1"/>
  <c r="Q1164" i="1"/>
  <c r="I1164" i="1"/>
  <c r="J1164" i="1" s="1"/>
  <c r="Q1163" i="1"/>
  <c r="I1163" i="1"/>
  <c r="J1163" i="1" s="1"/>
  <c r="Q1162" i="1"/>
  <c r="I1162" i="1"/>
  <c r="J1162" i="1" s="1"/>
  <c r="Q1161" i="1"/>
  <c r="I1161" i="1"/>
  <c r="J1161" i="1" s="1"/>
  <c r="Q1160" i="1"/>
  <c r="I1160" i="1"/>
  <c r="J1160" i="1" s="1"/>
  <c r="Q1159" i="1"/>
  <c r="I1159" i="1"/>
  <c r="J1159" i="1" s="1"/>
  <c r="Q1158" i="1"/>
  <c r="I1158" i="1"/>
  <c r="J1158" i="1" s="1"/>
  <c r="Q1157" i="1"/>
  <c r="I1157" i="1"/>
  <c r="J1157" i="1" s="1"/>
  <c r="Q1156" i="1"/>
  <c r="I1156" i="1"/>
  <c r="J1156" i="1" s="1"/>
  <c r="Q1155" i="1"/>
  <c r="I1155" i="1"/>
  <c r="J1155" i="1" s="1"/>
  <c r="Q1154" i="1"/>
  <c r="I1154" i="1"/>
  <c r="J1154" i="1" s="1"/>
  <c r="Q1153" i="1"/>
  <c r="I1153" i="1"/>
  <c r="J1153" i="1" s="1"/>
  <c r="Q1152" i="1"/>
  <c r="I1152" i="1"/>
  <c r="J1152" i="1" s="1"/>
  <c r="Q1151" i="1"/>
  <c r="I1151" i="1"/>
  <c r="J1151" i="1" s="1"/>
  <c r="Q1150" i="1"/>
  <c r="I1150" i="1"/>
  <c r="J1150" i="1" s="1"/>
  <c r="Q1149" i="1"/>
  <c r="I1149" i="1"/>
  <c r="J1149" i="1" s="1"/>
  <c r="Q1148" i="1"/>
  <c r="I1148" i="1"/>
  <c r="J1148" i="1" s="1"/>
  <c r="Q1147" i="1"/>
  <c r="I1147" i="1"/>
  <c r="J1147" i="1" s="1"/>
  <c r="Q1146" i="1"/>
  <c r="I1146" i="1"/>
  <c r="J1146" i="1" s="1"/>
  <c r="Q1145" i="1"/>
  <c r="I1145" i="1"/>
  <c r="J1145" i="1" s="1"/>
  <c r="Q1144" i="1"/>
  <c r="I1144" i="1"/>
  <c r="J1144" i="1" s="1"/>
  <c r="Q1143" i="1"/>
  <c r="I1143" i="1"/>
  <c r="J1143" i="1" s="1"/>
  <c r="Q1142" i="1"/>
  <c r="I1142" i="1"/>
  <c r="J1142" i="1" s="1"/>
  <c r="Q1141" i="1"/>
  <c r="I1141" i="1"/>
  <c r="J1141" i="1" s="1"/>
  <c r="Q1140" i="1"/>
  <c r="I1140" i="1"/>
  <c r="J1140" i="1" s="1"/>
  <c r="Q1139" i="1"/>
  <c r="I1139" i="1"/>
  <c r="J1139" i="1" s="1"/>
  <c r="Q1138" i="1"/>
  <c r="I1138" i="1"/>
  <c r="J1138" i="1" s="1"/>
  <c r="Q1137" i="1"/>
  <c r="I1137" i="1"/>
  <c r="J1137" i="1" s="1"/>
  <c r="Q1136" i="1"/>
  <c r="I1136" i="1"/>
  <c r="J1136" i="1" s="1"/>
  <c r="Q1135" i="1"/>
  <c r="I1135" i="1"/>
  <c r="J1135" i="1" s="1"/>
  <c r="Q1134" i="1"/>
  <c r="J1134" i="1"/>
  <c r="I1134" i="1"/>
  <c r="Q1133" i="1"/>
  <c r="I1133" i="1"/>
  <c r="J1133" i="1" s="1"/>
  <c r="Q1132" i="1"/>
  <c r="I1132" i="1"/>
  <c r="J1132" i="1" s="1"/>
  <c r="Q1131" i="1"/>
  <c r="I1131" i="1"/>
  <c r="J1131" i="1" s="1"/>
  <c r="Q1130" i="1"/>
  <c r="I1130" i="1"/>
  <c r="J1130" i="1" s="1"/>
  <c r="Q1129" i="1"/>
  <c r="I1129" i="1"/>
  <c r="J1129" i="1" s="1"/>
  <c r="Q1128" i="1"/>
  <c r="I1128" i="1"/>
  <c r="J1128" i="1" s="1"/>
  <c r="Q1127" i="1"/>
  <c r="I1127" i="1"/>
  <c r="J1127" i="1" s="1"/>
  <c r="Q1126" i="1"/>
  <c r="I1126" i="1"/>
  <c r="J1126" i="1" s="1"/>
  <c r="Q1125" i="1"/>
  <c r="I1125" i="1"/>
  <c r="J1125" i="1" s="1"/>
  <c r="Q1124" i="1"/>
  <c r="I1124" i="1"/>
  <c r="J1124" i="1" s="1"/>
  <c r="Q1123" i="1"/>
  <c r="I1123" i="1"/>
  <c r="J1123" i="1" s="1"/>
  <c r="Q1122" i="1"/>
  <c r="I1122" i="1"/>
  <c r="J1122" i="1" s="1"/>
  <c r="Q1121" i="1"/>
  <c r="I1121" i="1"/>
  <c r="J1121" i="1" s="1"/>
  <c r="Q1120" i="1"/>
  <c r="I1120" i="1"/>
  <c r="J1120" i="1" s="1"/>
  <c r="Q1119" i="1"/>
  <c r="I1119" i="1"/>
  <c r="J1119" i="1" s="1"/>
  <c r="Q1118" i="1"/>
  <c r="I1118" i="1"/>
  <c r="J1118" i="1" s="1"/>
  <c r="Q1117" i="1"/>
  <c r="I1117" i="1"/>
  <c r="J1117" i="1" s="1"/>
  <c r="Q1116" i="1"/>
  <c r="I1116" i="1"/>
  <c r="J1116" i="1" s="1"/>
  <c r="Q1115" i="1"/>
  <c r="I1115" i="1"/>
  <c r="J1115" i="1" s="1"/>
  <c r="Q1114" i="1"/>
  <c r="I1114" i="1"/>
  <c r="J1114" i="1" s="1"/>
  <c r="Q1113" i="1"/>
  <c r="I1113" i="1"/>
  <c r="J1113" i="1" s="1"/>
  <c r="Q1112" i="1"/>
  <c r="I1112" i="1"/>
  <c r="J1112" i="1" s="1"/>
  <c r="Q1111" i="1"/>
  <c r="I1111" i="1"/>
  <c r="J1111" i="1" s="1"/>
  <c r="Q1110" i="1"/>
  <c r="I1110" i="1"/>
  <c r="J1110" i="1" s="1"/>
  <c r="Q1109" i="1"/>
  <c r="I1109" i="1"/>
  <c r="J1109" i="1" s="1"/>
  <c r="Q1108" i="1"/>
  <c r="I1108" i="1"/>
  <c r="J1108" i="1" s="1"/>
  <c r="Q1107" i="1"/>
  <c r="I1107" i="1"/>
  <c r="J1107" i="1" s="1"/>
  <c r="Q1106" i="1"/>
  <c r="I1106" i="1"/>
  <c r="J1106" i="1" s="1"/>
  <c r="Q1105" i="1"/>
  <c r="I1105" i="1"/>
  <c r="J1105" i="1" s="1"/>
  <c r="Q1104" i="1"/>
  <c r="J1104" i="1"/>
  <c r="I1104" i="1"/>
  <c r="Q1103" i="1"/>
  <c r="I1103" i="1"/>
  <c r="J1103" i="1" s="1"/>
  <c r="Q1102" i="1"/>
  <c r="I1102" i="1"/>
  <c r="J1102" i="1" s="1"/>
  <c r="Q1101" i="1"/>
  <c r="I1101" i="1"/>
  <c r="J1101" i="1" s="1"/>
  <c r="Q1100" i="1"/>
  <c r="I1100" i="1"/>
  <c r="J1100" i="1" s="1"/>
  <c r="Q1099" i="1"/>
  <c r="I1099" i="1"/>
  <c r="J1099" i="1" s="1"/>
  <c r="Q1098" i="1"/>
  <c r="I1098" i="1"/>
  <c r="J1098" i="1" s="1"/>
  <c r="Q1097" i="1"/>
  <c r="I1097" i="1"/>
  <c r="J1097" i="1" s="1"/>
  <c r="Q1096" i="1"/>
  <c r="I1096" i="1"/>
  <c r="J1096" i="1" s="1"/>
  <c r="Q1095" i="1"/>
  <c r="I1095" i="1"/>
  <c r="J1095" i="1" s="1"/>
  <c r="Q1094" i="1"/>
  <c r="I1094" i="1"/>
  <c r="J1094" i="1" s="1"/>
  <c r="Q1093" i="1"/>
  <c r="I1093" i="1"/>
  <c r="J1093" i="1" s="1"/>
  <c r="Q1092" i="1"/>
  <c r="I1092" i="1"/>
  <c r="J1092" i="1" s="1"/>
  <c r="Q1091" i="1"/>
  <c r="I1091" i="1"/>
  <c r="J1091" i="1" s="1"/>
  <c r="Q1090" i="1"/>
  <c r="I1090" i="1"/>
  <c r="J1090" i="1" s="1"/>
  <c r="Q1089" i="1"/>
  <c r="I1089" i="1"/>
  <c r="J1089" i="1" s="1"/>
  <c r="Q1088" i="1"/>
  <c r="I1088" i="1"/>
  <c r="J1088" i="1" s="1"/>
  <c r="Q1087" i="1"/>
  <c r="I1087" i="1"/>
  <c r="J1087" i="1" s="1"/>
  <c r="Q1086" i="1"/>
  <c r="I1086" i="1"/>
  <c r="J1086" i="1" s="1"/>
  <c r="Q1085" i="1"/>
  <c r="I1085" i="1"/>
  <c r="J1085" i="1" s="1"/>
  <c r="Q1084" i="1"/>
  <c r="I1084" i="1"/>
  <c r="J1084" i="1" s="1"/>
  <c r="Q1083" i="1"/>
  <c r="I1083" i="1"/>
  <c r="J1083" i="1" s="1"/>
  <c r="Q1082" i="1"/>
  <c r="I1082" i="1"/>
  <c r="J1082" i="1" s="1"/>
  <c r="Q1081" i="1"/>
  <c r="I1081" i="1"/>
  <c r="J1081" i="1" s="1"/>
  <c r="Q1080" i="1"/>
  <c r="I1080" i="1"/>
  <c r="J1080" i="1" s="1"/>
  <c r="Q1079" i="1"/>
  <c r="I1079" i="1"/>
  <c r="J1079" i="1" s="1"/>
  <c r="Q1078" i="1"/>
  <c r="I1078" i="1"/>
  <c r="J1078" i="1" s="1"/>
  <c r="Q1077" i="1"/>
  <c r="I1077" i="1"/>
  <c r="J1077" i="1" s="1"/>
  <c r="Q1076" i="1"/>
  <c r="I1076" i="1"/>
  <c r="J1076" i="1" s="1"/>
  <c r="Q1075" i="1"/>
  <c r="I1075" i="1"/>
  <c r="J1075" i="1" s="1"/>
  <c r="Q1074" i="1"/>
  <c r="I1074" i="1"/>
  <c r="J1074" i="1" s="1"/>
  <c r="Q1073" i="1"/>
  <c r="I1073" i="1"/>
  <c r="J1073" i="1" s="1"/>
  <c r="Q1072" i="1"/>
  <c r="I1072" i="1"/>
  <c r="J1072" i="1" s="1"/>
  <c r="Q1071" i="1"/>
  <c r="I1071" i="1"/>
  <c r="J1071" i="1" s="1"/>
  <c r="Q1070" i="1"/>
  <c r="I1070" i="1"/>
  <c r="J1070" i="1" s="1"/>
  <c r="Q1069" i="1"/>
  <c r="I1069" i="1"/>
  <c r="J1069" i="1" s="1"/>
  <c r="Q1068" i="1"/>
  <c r="I1068" i="1"/>
  <c r="J1068" i="1" s="1"/>
  <c r="Q1067" i="1"/>
  <c r="I1067" i="1"/>
  <c r="J1067" i="1" s="1"/>
  <c r="Q1066" i="1"/>
  <c r="I1066" i="1"/>
  <c r="J1066" i="1" s="1"/>
  <c r="Q1065" i="1"/>
  <c r="I1065" i="1"/>
  <c r="J1065" i="1" s="1"/>
  <c r="Q1064" i="1"/>
  <c r="I1064" i="1"/>
  <c r="J1064" i="1" s="1"/>
  <c r="Q1063" i="1"/>
  <c r="I1063" i="1"/>
  <c r="J1063" i="1" s="1"/>
  <c r="Q1062" i="1"/>
  <c r="I1062" i="1"/>
  <c r="J1062" i="1" s="1"/>
  <c r="Q1061" i="1"/>
  <c r="I1061" i="1"/>
  <c r="J1061" i="1" s="1"/>
  <c r="Q1060" i="1"/>
  <c r="I1060" i="1"/>
  <c r="J1060" i="1" s="1"/>
  <c r="Q1059" i="1"/>
  <c r="I1059" i="1"/>
  <c r="J1059" i="1" s="1"/>
  <c r="Q1058" i="1"/>
  <c r="I1058" i="1"/>
  <c r="J1058" i="1" s="1"/>
  <c r="Q1057" i="1"/>
  <c r="I1057" i="1"/>
  <c r="J1057" i="1" s="1"/>
  <c r="Q1056" i="1"/>
  <c r="I1056" i="1"/>
  <c r="J1056" i="1" s="1"/>
  <c r="Q1055" i="1"/>
  <c r="I1055" i="1"/>
  <c r="J1055" i="1" s="1"/>
  <c r="Q1054" i="1"/>
  <c r="I1054" i="1"/>
  <c r="J1054" i="1" s="1"/>
  <c r="Q1053" i="1"/>
  <c r="I1053" i="1"/>
  <c r="J1053" i="1" s="1"/>
  <c r="Q1052" i="1"/>
  <c r="I1052" i="1"/>
  <c r="J1052" i="1" s="1"/>
  <c r="Q1051" i="1"/>
  <c r="I1051" i="1"/>
  <c r="J1051" i="1" s="1"/>
  <c r="Q1050" i="1"/>
  <c r="I1050" i="1"/>
  <c r="J1050" i="1" s="1"/>
  <c r="Q1049" i="1"/>
  <c r="I1049" i="1"/>
  <c r="J1049" i="1" s="1"/>
  <c r="Q1048" i="1"/>
  <c r="I1048" i="1"/>
  <c r="J1048" i="1" s="1"/>
  <c r="Q1047" i="1"/>
  <c r="I1047" i="1"/>
  <c r="J1047" i="1" s="1"/>
  <c r="Q1046" i="1"/>
  <c r="I1046" i="1"/>
  <c r="J1046" i="1" s="1"/>
  <c r="Q1045" i="1"/>
  <c r="I1045" i="1"/>
  <c r="J1045" i="1" s="1"/>
  <c r="Q1044" i="1"/>
  <c r="I1044" i="1"/>
  <c r="J1044" i="1" s="1"/>
  <c r="Q1043" i="1"/>
  <c r="I1043" i="1"/>
  <c r="J1043" i="1" s="1"/>
  <c r="Q1042" i="1"/>
  <c r="I1042" i="1"/>
  <c r="J1042" i="1" s="1"/>
  <c r="Q1041" i="1"/>
  <c r="I1041" i="1"/>
  <c r="J1041" i="1" s="1"/>
  <c r="Q1040" i="1"/>
  <c r="I1040" i="1"/>
  <c r="J1040" i="1" s="1"/>
  <c r="Q1039" i="1"/>
  <c r="I1039" i="1"/>
  <c r="J1039" i="1" s="1"/>
  <c r="Q1038" i="1"/>
  <c r="I1038" i="1"/>
  <c r="J1038" i="1" s="1"/>
  <c r="Q1037" i="1"/>
  <c r="I1037" i="1"/>
  <c r="J1037" i="1" s="1"/>
  <c r="Q1036" i="1"/>
  <c r="I1036" i="1"/>
  <c r="J1036" i="1" s="1"/>
  <c r="Q1035" i="1"/>
  <c r="I1035" i="1"/>
  <c r="J1035" i="1" s="1"/>
  <c r="Q1034" i="1"/>
  <c r="I1034" i="1"/>
  <c r="J1034" i="1" s="1"/>
  <c r="Q1033" i="1"/>
  <c r="I1033" i="1"/>
  <c r="J1033" i="1" s="1"/>
  <c r="Q1032" i="1"/>
  <c r="I1032" i="1"/>
  <c r="J1032" i="1" s="1"/>
  <c r="Q1031" i="1"/>
  <c r="I1031" i="1"/>
  <c r="J1031" i="1" s="1"/>
  <c r="Q1030" i="1"/>
  <c r="I1030" i="1"/>
  <c r="J1030" i="1" s="1"/>
  <c r="Q1029" i="1"/>
  <c r="I1029" i="1"/>
  <c r="J1029" i="1" s="1"/>
  <c r="Q1028" i="1"/>
  <c r="I1028" i="1"/>
  <c r="J1028" i="1" s="1"/>
  <c r="Q1027" i="1"/>
  <c r="I1027" i="1"/>
  <c r="J1027" i="1" s="1"/>
  <c r="Q1026" i="1"/>
  <c r="I1026" i="1"/>
  <c r="J1026" i="1" s="1"/>
  <c r="Q1025" i="1"/>
  <c r="I1025" i="1"/>
  <c r="J1025" i="1" s="1"/>
  <c r="Q1024" i="1"/>
  <c r="I1024" i="1"/>
  <c r="J1024" i="1" s="1"/>
  <c r="Q1023" i="1"/>
  <c r="I1023" i="1"/>
  <c r="J1023" i="1" s="1"/>
  <c r="Q1022" i="1"/>
  <c r="I1022" i="1"/>
  <c r="J1022" i="1" s="1"/>
  <c r="Q1021" i="1"/>
  <c r="I1021" i="1"/>
  <c r="J1021" i="1" s="1"/>
  <c r="Q1020" i="1"/>
  <c r="I1020" i="1"/>
  <c r="J1020" i="1" s="1"/>
  <c r="Q1019" i="1"/>
  <c r="I1019" i="1"/>
  <c r="J1019" i="1" s="1"/>
  <c r="Q1018" i="1"/>
  <c r="I1018" i="1"/>
  <c r="J1018" i="1" s="1"/>
  <c r="Q1017" i="1"/>
  <c r="I1017" i="1"/>
  <c r="J1017" i="1" s="1"/>
  <c r="Q1016" i="1"/>
  <c r="I1016" i="1"/>
  <c r="J1016" i="1" s="1"/>
  <c r="Q1015" i="1"/>
  <c r="I1015" i="1"/>
  <c r="J1015" i="1" s="1"/>
  <c r="Q1014" i="1"/>
  <c r="I1014" i="1"/>
  <c r="J1014" i="1" s="1"/>
  <c r="Q1013" i="1"/>
  <c r="I1013" i="1"/>
  <c r="J1013" i="1" s="1"/>
  <c r="Q1012" i="1"/>
  <c r="I1012" i="1"/>
  <c r="J1012" i="1" s="1"/>
  <c r="Q1011" i="1"/>
  <c r="I1011" i="1"/>
  <c r="J1011" i="1" s="1"/>
  <c r="Q1010" i="1"/>
  <c r="I1010" i="1"/>
  <c r="J1010" i="1" s="1"/>
  <c r="Q1009" i="1"/>
  <c r="I1009" i="1"/>
  <c r="J1009" i="1" s="1"/>
  <c r="Q1008" i="1"/>
  <c r="I1008" i="1"/>
  <c r="J1008" i="1" s="1"/>
  <c r="Q1007" i="1"/>
  <c r="I1007" i="1"/>
  <c r="J1007" i="1" s="1"/>
  <c r="Q1006" i="1"/>
  <c r="I1006" i="1"/>
  <c r="J1006" i="1" s="1"/>
  <c r="Q1005" i="1"/>
  <c r="I1005" i="1"/>
  <c r="J1005" i="1" s="1"/>
  <c r="Q1004" i="1"/>
  <c r="I1004" i="1"/>
  <c r="J1004" i="1" s="1"/>
  <c r="Q1003" i="1"/>
  <c r="I1003" i="1"/>
  <c r="J1003" i="1" s="1"/>
  <c r="Q1002" i="1"/>
  <c r="I1002" i="1"/>
  <c r="J1002" i="1" s="1"/>
  <c r="Q1001" i="1"/>
  <c r="I1001" i="1"/>
  <c r="J1001" i="1" s="1"/>
  <c r="Q1000" i="1"/>
  <c r="I1000" i="1"/>
  <c r="J1000" i="1" s="1"/>
  <c r="Q999" i="1"/>
  <c r="I999" i="1"/>
  <c r="J999" i="1" s="1"/>
  <c r="Q998" i="1"/>
  <c r="I998" i="1"/>
  <c r="J998" i="1" s="1"/>
  <c r="Q997" i="1"/>
  <c r="I997" i="1"/>
  <c r="J997" i="1" s="1"/>
  <c r="Q996" i="1"/>
  <c r="I996" i="1"/>
  <c r="J996" i="1" s="1"/>
  <c r="Q995" i="1"/>
  <c r="I995" i="1"/>
  <c r="J995" i="1" s="1"/>
  <c r="Q994" i="1"/>
  <c r="I994" i="1"/>
  <c r="J994" i="1" s="1"/>
  <c r="Q993" i="1"/>
  <c r="I993" i="1"/>
  <c r="J993" i="1" s="1"/>
  <c r="Q992" i="1"/>
  <c r="I992" i="1"/>
  <c r="J992" i="1" s="1"/>
  <c r="Q991" i="1"/>
  <c r="I991" i="1"/>
  <c r="J991" i="1" s="1"/>
  <c r="Q990" i="1"/>
  <c r="I990" i="1"/>
  <c r="J990" i="1" s="1"/>
  <c r="Q989" i="1"/>
  <c r="I989" i="1"/>
  <c r="J989" i="1" s="1"/>
  <c r="Q988" i="1"/>
  <c r="I988" i="1"/>
  <c r="J988" i="1" s="1"/>
  <c r="Q987" i="1"/>
  <c r="I987" i="1"/>
  <c r="J987" i="1" s="1"/>
  <c r="Q986" i="1"/>
  <c r="I986" i="1"/>
  <c r="J986" i="1" s="1"/>
  <c r="Q985" i="1"/>
  <c r="I985" i="1"/>
  <c r="J985" i="1" s="1"/>
  <c r="Q984" i="1"/>
  <c r="I984" i="1"/>
  <c r="J984" i="1" s="1"/>
  <c r="Q983" i="1"/>
  <c r="I983" i="1"/>
  <c r="J983" i="1" s="1"/>
  <c r="Q982" i="1"/>
  <c r="I982" i="1"/>
  <c r="J982" i="1" s="1"/>
  <c r="Q981" i="1"/>
  <c r="I981" i="1"/>
  <c r="J981" i="1" s="1"/>
  <c r="Q980" i="1"/>
  <c r="I980" i="1"/>
  <c r="J980" i="1" s="1"/>
  <c r="Q979" i="1"/>
  <c r="I979" i="1"/>
  <c r="J979" i="1" s="1"/>
  <c r="Q978" i="1"/>
  <c r="I978" i="1"/>
  <c r="J978" i="1" s="1"/>
  <c r="Q977" i="1"/>
  <c r="I977" i="1"/>
  <c r="J977" i="1" s="1"/>
  <c r="Q976" i="1"/>
  <c r="I976" i="1"/>
  <c r="J976" i="1" s="1"/>
  <c r="Q975" i="1"/>
  <c r="I975" i="1"/>
  <c r="J975" i="1" s="1"/>
  <c r="Q974" i="1"/>
  <c r="I974" i="1"/>
  <c r="J974" i="1" s="1"/>
  <c r="Q973" i="1"/>
  <c r="I973" i="1"/>
  <c r="J973" i="1" s="1"/>
  <c r="Q972" i="1"/>
  <c r="I972" i="1"/>
  <c r="J972" i="1" s="1"/>
  <c r="Q971" i="1"/>
  <c r="I971" i="1"/>
  <c r="J971" i="1" s="1"/>
  <c r="Q970" i="1"/>
  <c r="I970" i="1"/>
  <c r="J970" i="1" s="1"/>
  <c r="Q969" i="1"/>
  <c r="I969" i="1"/>
  <c r="J969" i="1" s="1"/>
  <c r="Q968" i="1"/>
  <c r="I968" i="1"/>
  <c r="J968" i="1" s="1"/>
  <c r="Q967" i="1"/>
  <c r="I967" i="1"/>
  <c r="J967" i="1" s="1"/>
  <c r="Q966" i="1"/>
  <c r="I966" i="1"/>
  <c r="J966" i="1" s="1"/>
  <c r="Q965" i="1"/>
  <c r="I965" i="1"/>
  <c r="J965" i="1" s="1"/>
  <c r="Q964" i="1"/>
  <c r="I964" i="1"/>
  <c r="J964" i="1" s="1"/>
  <c r="Q963" i="1"/>
  <c r="I963" i="1"/>
  <c r="J963" i="1" s="1"/>
  <c r="Q962" i="1"/>
  <c r="I962" i="1"/>
  <c r="J962" i="1" s="1"/>
  <c r="Q961" i="1"/>
  <c r="I961" i="1"/>
  <c r="J961" i="1" s="1"/>
  <c r="Q960" i="1"/>
  <c r="I960" i="1"/>
  <c r="J960" i="1" s="1"/>
  <c r="Q959" i="1"/>
  <c r="I959" i="1"/>
  <c r="J959" i="1" s="1"/>
  <c r="Q958" i="1"/>
  <c r="I958" i="1"/>
  <c r="J958" i="1" s="1"/>
  <c r="Q957" i="1"/>
  <c r="I957" i="1"/>
  <c r="J957" i="1" s="1"/>
  <c r="Q956" i="1"/>
  <c r="I956" i="1"/>
  <c r="J956" i="1" s="1"/>
  <c r="Q955" i="1"/>
  <c r="I955" i="1"/>
  <c r="J955" i="1" s="1"/>
  <c r="Q954" i="1"/>
  <c r="I954" i="1"/>
  <c r="J954" i="1" s="1"/>
  <c r="Q953" i="1"/>
  <c r="I953" i="1"/>
  <c r="J953" i="1" s="1"/>
  <c r="Q952" i="1"/>
  <c r="I952" i="1"/>
  <c r="J952" i="1" s="1"/>
  <c r="Q951" i="1"/>
  <c r="I951" i="1"/>
  <c r="J951" i="1" s="1"/>
  <c r="Q950" i="1"/>
  <c r="I950" i="1"/>
  <c r="J950" i="1" s="1"/>
  <c r="Q949" i="1"/>
  <c r="I949" i="1"/>
  <c r="J949" i="1" s="1"/>
  <c r="Q948" i="1"/>
  <c r="I948" i="1"/>
  <c r="J948" i="1" s="1"/>
  <c r="Q947" i="1"/>
  <c r="I947" i="1"/>
  <c r="J947" i="1" s="1"/>
  <c r="Q946" i="1"/>
  <c r="I946" i="1"/>
  <c r="J946" i="1" s="1"/>
  <c r="Q945" i="1"/>
  <c r="I945" i="1"/>
  <c r="J945" i="1" s="1"/>
  <c r="Q944" i="1"/>
  <c r="I944" i="1"/>
  <c r="J944" i="1" s="1"/>
  <c r="Q943" i="1"/>
  <c r="I943" i="1"/>
  <c r="J943" i="1" s="1"/>
  <c r="Q942" i="1"/>
  <c r="I942" i="1"/>
  <c r="J942" i="1" s="1"/>
  <c r="Q941" i="1"/>
  <c r="I941" i="1"/>
  <c r="J941" i="1" s="1"/>
  <c r="Q940" i="1"/>
  <c r="I940" i="1"/>
  <c r="J940" i="1" s="1"/>
  <c r="Q939" i="1"/>
  <c r="I939" i="1"/>
  <c r="J939" i="1" s="1"/>
  <c r="Q938" i="1"/>
  <c r="I938" i="1"/>
  <c r="J938" i="1" s="1"/>
  <c r="Q937" i="1"/>
  <c r="I937" i="1"/>
  <c r="J937" i="1" s="1"/>
  <c r="Q936" i="1"/>
  <c r="I936" i="1"/>
  <c r="J936" i="1" s="1"/>
  <c r="Q935" i="1"/>
  <c r="I935" i="1"/>
  <c r="J935" i="1" s="1"/>
  <c r="Q934" i="1"/>
  <c r="I934" i="1"/>
  <c r="J934" i="1" s="1"/>
  <c r="Q933" i="1"/>
  <c r="I933" i="1"/>
  <c r="J933" i="1" s="1"/>
  <c r="Q932" i="1"/>
  <c r="I932" i="1"/>
  <c r="J932" i="1" s="1"/>
  <c r="Q931" i="1"/>
  <c r="I931" i="1"/>
  <c r="J931" i="1" s="1"/>
  <c r="Q930" i="1"/>
  <c r="I930" i="1"/>
  <c r="J930" i="1" s="1"/>
  <c r="Q929" i="1"/>
  <c r="I929" i="1"/>
  <c r="J929" i="1" s="1"/>
  <c r="Q928" i="1"/>
  <c r="I928" i="1"/>
  <c r="J928" i="1" s="1"/>
  <c r="Q927" i="1"/>
  <c r="I927" i="1"/>
  <c r="J927" i="1" s="1"/>
  <c r="Q926" i="1"/>
  <c r="I926" i="1"/>
  <c r="J926" i="1" s="1"/>
  <c r="Q925" i="1"/>
  <c r="I925" i="1"/>
  <c r="J925" i="1" s="1"/>
  <c r="Q924" i="1"/>
  <c r="I924" i="1"/>
  <c r="J924" i="1" s="1"/>
  <c r="Q923" i="1"/>
  <c r="I923" i="1"/>
  <c r="J923" i="1" s="1"/>
  <c r="Q922" i="1"/>
  <c r="I922" i="1"/>
  <c r="J922" i="1" s="1"/>
  <c r="Q921" i="1"/>
  <c r="I921" i="1"/>
  <c r="J921" i="1" s="1"/>
  <c r="Q920" i="1"/>
  <c r="I920" i="1"/>
  <c r="J920" i="1" s="1"/>
  <c r="Q919" i="1"/>
  <c r="I919" i="1"/>
  <c r="J919" i="1" s="1"/>
  <c r="Q918" i="1"/>
  <c r="I918" i="1"/>
  <c r="J918" i="1" s="1"/>
  <c r="Q917" i="1"/>
  <c r="I917" i="1"/>
  <c r="J917" i="1" s="1"/>
  <c r="Q916" i="1"/>
  <c r="I916" i="1"/>
  <c r="J916" i="1" s="1"/>
  <c r="Q915" i="1"/>
  <c r="I915" i="1"/>
  <c r="J915" i="1" s="1"/>
  <c r="Q914" i="1"/>
  <c r="I914" i="1"/>
  <c r="J914" i="1" s="1"/>
  <c r="Q913" i="1"/>
  <c r="I913" i="1"/>
  <c r="J913" i="1" s="1"/>
  <c r="Q912" i="1"/>
  <c r="I912" i="1"/>
  <c r="J912" i="1" s="1"/>
  <c r="Q911" i="1"/>
  <c r="I911" i="1"/>
  <c r="J911" i="1" s="1"/>
  <c r="Q910" i="1"/>
  <c r="I910" i="1"/>
  <c r="J910" i="1" s="1"/>
  <c r="Q909" i="1"/>
  <c r="I909" i="1"/>
  <c r="J909" i="1" s="1"/>
  <c r="Q908" i="1"/>
  <c r="I908" i="1"/>
  <c r="J908" i="1" s="1"/>
  <c r="Q907" i="1"/>
  <c r="I907" i="1"/>
  <c r="J907" i="1" s="1"/>
  <c r="Q906" i="1"/>
  <c r="I906" i="1"/>
  <c r="J906" i="1" s="1"/>
  <c r="Q905" i="1"/>
  <c r="I905" i="1"/>
  <c r="J905" i="1" s="1"/>
  <c r="Q904" i="1"/>
  <c r="I904" i="1"/>
  <c r="J904" i="1" s="1"/>
  <c r="Q903" i="1"/>
  <c r="I903" i="1"/>
  <c r="J903" i="1" s="1"/>
  <c r="Q902" i="1"/>
  <c r="I902" i="1"/>
  <c r="J902" i="1" s="1"/>
  <c r="Q901" i="1"/>
  <c r="I901" i="1"/>
  <c r="J901" i="1" s="1"/>
  <c r="Q900" i="1"/>
  <c r="I900" i="1"/>
  <c r="J900" i="1" s="1"/>
  <c r="Q899" i="1"/>
  <c r="I899" i="1"/>
  <c r="J899" i="1" s="1"/>
  <c r="Q898" i="1"/>
  <c r="I898" i="1"/>
  <c r="J898" i="1" s="1"/>
  <c r="Q897" i="1"/>
  <c r="I897" i="1"/>
  <c r="J897" i="1" s="1"/>
  <c r="Q896" i="1"/>
  <c r="I896" i="1"/>
  <c r="J896" i="1" s="1"/>
  <c r="Q895" i="1"/>
  <c r="I895" i="1"/>
  <c r="J895" i="1" s="1"/>
  <c r="Q894" i="1"/>
  <c r="I894" i="1"/>
  <c r="J894" i="1" s="1"/>
  <c r="Q893" i="1"/>
  <c r="I893" i="1"/>
  <c r="J893" i="1" s="1"/>
  <c r="Q892" i="1"/>
  <c r="I892" i="1"/>
  <c r="J892" i="1" s="1"/>
  <c r="Q891" i="1"/>
  <c r="I891" i="1"/>
  <c r="J891" i="1" s="1"/>
  <c r="Q890" i="1"/>
  <c r="I890" i="1"/>
  <c r="J890" i="1" s="1"/>
  <c r="Q889" i="1"/>
  <c r="I889" i="1"/>
  <c r="J889" i="1" s="1"/>
  <c r="Q888" i="1"/>
  <c r="I888" i="1"/>
  <c r="J888" i="1" s="1"/>
  <c r="Q887" i="1"/>
  <c r="I887" i="1"/>
  <c r="J887" i="1" s="1"/>
  <c r="Q886" i="1"/>
  <c r="I886" i="1"/>
  <c r="J886" i="1" s="1"/>
  <c r="Q885" i="1"/>
  <c r="I885" i="1"/>
  <c r="J885" i="1" s="1"/>
  <c r="Q884" i="1"/>
  <c r="I884" i="1"/>
  <c r="J884" i="1" s="1"/>
  <c r="Q883" i="1"/>
  <c r="I883" i="1"/>
  <c r="J883" i="1" s="1"/>
  <c r="Q882" i="1"/>
  <c r="I882" i="1"/>
  <c r="J882" i="1" s="1"/>
  <c r="Q881" i="1"/>
  <c r="I881" i="1"/>
  <c r="J881" i="1" s="1"/>
  <c r="Q880" i="1"/>
  <c r="I880" i="1"/>
  <c r="J880" i="1" s="1"/>
  <c r="Q879" i="1"/>
  <c r="I879" i="1"/>
  <c r="J879" i="1" s="1"/>
  <c r="Q878" i="1"/>
  <c r="I878" i="1"/>
  <c r="J878" i="1" s="1"/>
  <c r="Q877" i="1"/>
  <c r="I877" i="1"/>
  <c r="J877" i="1" s="1"/>
  <c r="Q876" i="1"/>
  <c r="I876" i="1"/>
  <c r="J876" i="1" s="1"/>
  <c r="Q875" i="1"/>
  <c r="I875" i="1"/>
  <c r="J875" i="1" s="1"/>
  <c r="Q874" i="1"/>
  <c r="I874" i="1"/>
  <c r="J874" i="1" s="1"/>
  <c r="Q873" i="1"/>
  <c r="I873" i="1"/>
  <c r="J873" i="1" s="1"/>
  <c r="Q872" i="1"/>
  <c r="I872" i="1"/>
  <c r="J872" i="1" s="1"/>
  <c r="Q871" i="1"/>
  <c r="I871" i="1"/>
  <c r="J871" i="1" s="1"/>
  <c r="Q870" i="1"/>
  <c r="I870" i="1"/>
  <c r="J870" i="1" s="1"/>
  <c r="Q869" i="1"/>
  <c r="I869" i="1"/>
  <c r="J869" i="1" s="1"/>
  <c r="Q868" i="1"/>
  <c r="I868" i="1"/>
  <c r="J868" i="1" s="1"/>
  <c r="Q867" i="1"/>
  <c r="I867" i="1"/>
  <c r="J867" i="1" s="1"/>
  <c r="Q866" i="1"/>
  <c r="I866" i="1"/>
  <c r="J866" i="1" s="1"/>
  <c r="Q865" i="1"/>
  <c r="I865" i="1"/>
  <c r="J865" i="1" s="1"/>
  <c r="Q864" i="1"/>
  <c r="I864" i="1"/>
  <c r="J864" i="1" s="1"/>
  <c r="Q863" i="1"/>
  <c r="I863" i="1"/>
  <c r="J863" i="1" s="1"/>
  <c r="Q862" i="1"/>
  <c r="I862" i="1"/>
  <c r="J862" i="1" s="1"/>
  <c r="Q861" i="1"/>
  <c r="I861" i="1"/>
  <c r="J861" i="1" s="1"/>
  <c r="Q860" i="1"/>
  <c r="I860" i="1"/>
  <c r="J860" i="1" s="1"/>
  <c r="Q859" i="1"/>
  <c r="I859" i="1"/>
  <c r="J859" i="1" s="1"/>
  <c r="Q858" i="1"/>
  <c r="I858" i="1"/>
  <c r="J858" i="1" s="1"/>
  <c r="Q857" i="1"/>
  <c r="I857" i="1"/>
  <c r="J857" i="1" s="1"/>
  <c r="Q856" i="1"/>
  <c r="I856" i="1"/>
  <c r="J856" i="1" s="1"/>
  <c r="Q855" i="1"/>
  <c r="I855" i="1"/>
  <c r="J855" i="1" s="1"/>
  <c r="Q854" i="1"/>
  <c r="I854" i="1"/>
  <c r="J854" i="1" s="1"/>
  <c r="Q853" i="1"/>
  <c r="I853" i="1"/>
  <c r="J853" i="1" s="1"/>
  <c r="Q852" i="1"/>
  <c r="I852" i="1"/>
  <c r="J852" i="1" s="1"/>
  <c r="Q851" i="1"/>
  <c r="I851" i="1"/>
  <c r="J851" i="1" s="1"/>
  <c r="Q850" i="1"/>
  <c r="I850" i="1"/>
  <c r="J850" i="1" s="1"/>
  <c r="Q849" i="1"/>
  <c r="I849" i="1"/>
  <c r="J849" i="1" s="1"/>
  <c r="Q848" i="1"/>
  <c r="I848" i="1"/>
  <c r="J848" i="1" s="1"/>
  <c r="Q847" i="1"/>
  <c r="I847" i="1"/>
  <c r="J847" i="1" s="1"/>
  <c r="Q846" i="1"/>
  <c r="I846" i="1"/>
  <c r="J846" i="1" s="1"/>
  <c r="Q845" i="1"/>
  <c r="I845" i="1"/>
  <c r="J845" i="1" s="1"/>
  <c r="Q844" i="1"/>
  <c r="I844" i="1"/>
  <c r="J844" i="1" s="1"/>
  <c r="Q843" i="1"/>
  <c r="I843" i="1"/>
  <c r="J843" i="1" s="1"/>
  <c r="Q842" i="1"/>
  <c r="I842" i="1"/>
  <c r="J842" i="1" s="1"/>
  <c r="Q841" i="1"/>
  <c r="I841" i="1"/>
  <c r="J841" i="1" s="1"/>
  <c r="Q840" i="1"/>
  <c r="I840" i="1"/>
  <c r="J840" i="1" s="1"/>
  <c r="Q839" i="1"/>
  <c r="I839" i="1"/>
  <c r="J839" i="1" s="1"/>
  <c r="Q838" i="1"/>
  <c r="I838" i="1"/>
  <c r="J838" i="1" s="1"/>
  <c r="Q837" i="1"/>
  <c r="I837" i="1"/>
  <c r="J837" i="1" s="1"/>
  <c r="Q836" i="1"/>
  <c r="I836" i="1"/>
  <c r="J836" i="1" s="1"/>
  <c r="Q835" i="1"/>
  <c r="I835" i="1"/>
  <c r="J835" i="1" s="1"/>
  <c r="Q834" i="1"/>
  <c r="I834" i="1"/>
  <c r="J834" i="1" s="1"/>
  <c r="Q833" i="1"/>
  <c r="I833" i="1"/>
  <c r="J833" i="1" s="1"/>
  <c r="Q832" i="1"/>
  <c r="I832" i="1"/>
  <c r="J832" i="1" s="1"/>
  <c r="Q831" i="1"/>
  <c r="I831" i="1"/>
  <c r="J831" i="1" s="1"/>
  <c r="Q830" i="1"/>
  <c r="I830" i="1"/>
  <c r="J830" i="1" s="1"/>
  <c r="Q829" i="1"/>
  <c r="I829" i="1"/>
  <c r="J829" i="1" s="1"/>
  <c r="Q828" i="1"/>
  <c r="I828" i="1"/>
  <c r="J828" i="1" s="1"/>
  <c r="Q827" i="1"/>
  <c r="I827" i="1"/>
  <c r="J827" i="1" s="1"/>
  <c r="Q826" i="1"/>
  <c r="I826" i="1"/>
  <c r="J826" i="1" s="1"/>
  <c r="Q825" i="1"/>
  <c r="I825" i="1"/>
  <c r="J825" i="1" s="1"/>
  <c r="Q824" i="1"/>
  <c r="I824" i="1"/>
  <c r="J824" i="1" s="1"/>
  <c r="Q823" i="1"/>
  <c r="I823" i="1"/>
  <c r="J823" i="1" s="1"/>
  <c r="Q822" i="1"/>
  <c r="I822" i="1"/>
  <c r="J822" i="1" s="1"/>
  <c r="Q821" i="1"/>
  <c r="I821" i="1"/>
  <c r="J821" i="1" s="1"/>
  <c r="Q820" i="1"/>
  <c r="I820" i="1"/>
  <c r="J820" i="1" s="1"/>
  <c r="Q819" i="1"/>
  <c r="I819" i="1"/>
  <c r="J819" i="1" s="1"/>
  <c r="Q818" i="1"/>
  <c r="I818" i="1"/>
  <c r="J818" i="1" s="1"/>
  <c r="Q817" i="1"/>
  <c r="I817" i="1"/>
  <c r="J817" i="1" s="1"/>
  <c r="Q816" i="1"/>
  <c r="I816" i="1"/>
  <c r="J816" i="1" s="1"/>
  <c r="Q815" i="1"/>
  <c r="I815" i="1"/>
  <c r="J815" i="1" s="1"/>
  <c r="Q814" i="1"/>
  <c r="I814" i="1"/>
  <c r="J814" i="1" s="1"/>
  <c r="Q813" i="1"/>
  <c r="I813" i="1"/>
  <c r="J813" i="1" s="1"/>
  <c r="Q812" i="1"/>
  <c r="I812" i="1"/>
  <c r="J812" i="1" s="1"/>
  <c r="Q811" i="1"/>
  <c r="I811" i="1"/>
  <c r="J811" i="1" s="1"/>
  <c r="Q810" i="1"/>
  <c r="I810" i="1"/>
  <c r="J810" i="1" s="1"/>
  <c r="Q809" i="1"/>
  <c r="I809" i="1"/>
  <c r="J809" i="1" s="1"/>
  <c r="Q808" i="1"/>
  <c r="I808" i="1"/>
  <c r="J808" i="1" s="1"/>
  <c r="Q807" i="1"/>
  <c r="I807" i="1"/>
  <c r="J807" i="1" s="1"/>
  <c r="Q806" i="1"/>
  <c r="I806" i="1"/>
  <c r="J806" i="1" s="1"/>
  <c r="Q805" i="1"/>
  <c r="I805" i="1"/>
  <c r="J805" i="1" s="1"/>
  <c r="Q804" i="1"/>
  <c r="I804" i="1"/>
  <c r="J804" i="1" s="1"/>
  <c r="Q803" i="1"/>
  <c r="I803" i="1"/>
  <c r="J803" i="1" s="1"/>
  <c r="Q802" i="1"/>
  <c r="I802" i="1"/>
  <c r="J802" i="1" s="1"/>
  <c r="Q801" i="1"/>
  <c r="I801" i="1"/>
  <c r="J801" i="1" s="1"/>
  <c r="Q800" i="1"/>
  <c r="I800" i="1"/>
  <c r="J800" i="1" s="1"/>
  <c r="Q799" i="1"/>
  <c r="I799" i="1"/>
  <c r="J799" i="1" s="1"/>
  <c r="Q798" i="1"/>
  <c r="I798" i="1"/>
  <c r="J798" i="1" s="1"/>
  <c r="Q797" i="1"/>
  <c r="I797" i="1"/>
  <c r="J797" i="1" s="1"/>
  <c r="Q796" i="1"/>
  <c r="I796" i="1"/>
  <c r="J796" i="1" s="1"/>
  <c r="Q795" i="1"/>
  <c r="I795" i="1"/>
  <c r="J795" i="1" s="1"/>
  <c r="Q794" i="1"/>
  <c r="I794" i="1"/>
  <c r="J794" i="1" s="1"/>
  <c r="Q793" i="1"/>
  <c r="I793" i="1"/>
  <c r="J793" i="1" s="1"/>
  <c r="Q792" i="1"/>
  <c r="I792" i="1"/>
  <c r="J792" i="1" s="1"/>
  <c r="Q791" i="1"/>
  <c r="I791" i="1"/>
  <c r="J791" i="1" s="1"/>
  <c r="Q790" i="1"/>
  <c r="I790" i="1"/>
  <c r="J790" i="1" s="1"/>
  <c r="Q789" i="1"/>
  <c r="I789" i="1"/>
  <c r="J789" i="1" s="1"/>
  <c r="Q788" i="1"/>
  <c r="I788" i="1"/>
  <c r="J788" i="1" s="1"/>
  <c r="Q787" i="1"/>
  <c r="I787" i="1"/>
  <c r="J787" i="1" s="1"/>
  <c r="Q786" i="1"/>
  <c r="I786" i="1"/>
  <c r="J786" i="1" s="1"/>
  <c r="Q785" i="1"/>
  <c r="I785" i="1"/>
  <c r="J785" i="1" s="1"/>
  <c r="Q784" i="1"/>
  <c r="I784" i="1"/>
  <c r="J784" i="1" s="1"/>
  <c r="Q783" i="1"/>
  <c r="I783" i="1"/>
  <c r="J783" i="1" s="1"/>
  <c r="Q782" i="1"/>
  <c r="I782" i="1"/>
  <c r="J782" i="1" s="1"/>
  <c r="Q781" i="1"/>
  <c r="I781" i="1"/>
  <c r="J781" i="1" s="1"/>
  <c r="Q780" i="1"/>
  <c r="I780" i="1"/>
  <c r="J780" i="1" s="1"/>
  <c r="Q779" i="1"/>
  <c r="I779" i="1"/>
  <c r="J779" i="1" s="1"/>
  <c r="Q778" i="1"/>
  <c r="I778" i="1"/>
  <c r="J778" i="1" s="1"/>
  <c r="Q777" i="1"/>
  <c r="I777" i="1"/>
  <c r="J777" i="1" s="1"/>
  <c r="Q776" i="1"/>
  <c r="I776" i="1"/>
  <c r="J776" i="1" s="1"/>
  <c r="Q775" i="1"/>
  <c r="I775" i="1"/>
  <c r="J775" i="1" s="1"/>
  <c r="Q774" i="1"/>
  <c r="I774" i="1"/>
  <c r="J774" i="1" s="1"/>
  <c r="Q773" i="1"/>
  <c r="I773" i="1"/>
  <c r="J773" i="1" s="1"/>
  <c r="Q772" i="1"/>
  <c r="I772" i="1"/>
  <c r="J772" i="1" s="1"/>
  <c r="Q771" i="1"/>
  <c r="I771" i="1"/>
  <c r="J771" i="1" s="1"/>
  <c r="Q770" i="1"/>
  <c r="I770" i="1"/>
  <c r="J770" i="1" s="1"/>
  <c r="Q769" i="1"/>
  <c r="I769" i="1"/>
  <c r="J769" i="1" s="1"/>
  <c r="Q768" i="1"/>
  <c r="I768" i="1"/>
  <c r="J768" i="1" s="1"/>
  <c r="Q767" i="1"/>
  <c r="I767" i="1"/>
  <c r="J767" i="1" s="1"/>
  <c r="Q766" i="1"/>
  <c r="I766" i="1"/>
  <c r="J766" i="1" s="1"/>
  <c r="Q765" i="1"/>
  <c r="I765" i="1"/>
  <c r="J765" i="1" s="1"/>
  <c r="Q764" i="1"/>
  <c r="I764" i="1"/>
  <c r="J764" i="1" s="1"/>
  <c r="Q763" i="1"/>
  <c r="I763" i="1"/>
  <c r="J763" i="1" s="1"/>
  <c r="Q762" i="1"/>
  <c r="I762" i="1"/>
  <c r="J762" i="1" s="1"/>
  <c r="Q761" i="1"/>
  <c r="I761" i="1"/>
  <c r="J761" i="1" s="1"/>
  <c r="Q760" i="1"/>
  <c r="I760" i="1"/>
  <c r="J760" i="1" s="1"/>
  <c r="Q759" i="1"/>
  <c r="I759" i="1"/>
  <c r="J759" i="1" s="1"/>
  <c r="Q758" i="1"/>
  <c r="I758" i="1"/>
  <c r="J758" i="1" s="1"/>
  <c r="Q757" i="1"/>
  <c r="I757" i="1"/>
  <c r="J757" i="1" s="1"/>
  <c r="Q756" i="1"/>
  <c r="I756" i="1"/>
  <c r="J756" i="1" s="1"/>
  <c r="Q755" i="1"/>
  <c r="I755" i="1"/>
  <c r="J755" i="1" s="1"/>
  <c r="Q754" i="1"/>
  <c r="I754" i="1"/>
  <c r="J754" i="1" s="1"/>
  <c r="Q753" i="1"/>
  <c r="I753" i="1"/>
  <c r="J753" i="1" s="1"/>
  <c r="Q752" i="1"/>
  <c r="I752" i="1"/>
  <c r="J752" i="1" s="1"/>
  <c r="Q751" i="1"/>
  <c r="I751" i="1"/>
  <c r="J751" i="1" s="1"/>
  <c r="Q750" i="1"/>
  <c r="I750" i="1"/>
  <c r="J750" i="1" s="1"/>
  <c r="Q749" i="1"/>
  <c r="I749" i="1"/>
  <c r="J749" i="1" s="1"/>
  <c r="Q748" i="1"/>
  <c r="I748" i="1"/>
  <c r="J748" i="1" s="1"/>
  <c r="Q747" i="1"/>
  <c r="I747" i="1"/>
  <c r="J747" i="1" s="1"/>
  <c r="Q746" i="1"/>
  <c r="I746" i="1"/>
  <c r="J746" i="1" s="1"/>
  <c r="Q745" i="1"/>
  <c r="I745" i="1"/>
  <c r="J745" i="1" s="1"/>
  <c r="Q744" i="1"/>
  <c r="I744" i="1"/>
  <c r="J744" i="1" s="1"/>
  <c r="Q743" i="1"/>
  <c r="I743" i="1"/>
  <c r="J743" i="1" s="1"/>
  <c r="Q742" i="1"/>
  <c r="I742" i="1"/>
  <c r="J742" i="1" s="1"/>
  <c r="Q741" i="1"/>
  <c r="I741" i="1"/>
  <c r="J741" i="1" s="1"/>
  <c r="Q740" i="1"/>
  <c r="I740" i="1"/>
  <c r="J740" i="1" s="1"/>
  <c r="Q739" i="1"/>
  <c r="I739" i="1"/>
  <c r="J739" i="1" s="1"/>
  <c r="Q738" i="1"/>
  <c r="I738" i="1"/>
  <c r="J738" i="1" s="1"/>
  <c r="Q737" i="1"/>
  <c r="I737" i="1"/>
  <c r="J737" i="1" s="1"/>
  <c r="Q736" i="1"/>
  <c r="I736" i="1"/>
  <c r="J736" i="1" s="1"/>
  <c r="Q735" i="1"/>
  <c r="I735" i="1"/>
  <c r="J735" i="1" s="1"/>
  <c r="Q734" i="1"/>
  <c r="I734" i="1"/>
  <c r="J734" i="1" s="1"/>
  <c r="Q733" i="1"/>
  <c r="I733" i="1"/>
  <c r="J733" i="1" s="1"/>
  <c r="Q732" i="1"/>
  <c r="I732" i="1"/>
  <c r="J732" i="1" s="1"/>
  <c r="Q731" i="1"/>
  <c r="I731" i="1"/>
  <c r="J731" i="1" s="1"/>
  <c r="Q730" i="1"/>
  <c r="I730" i="1"/>
  <c r="J730" i="1" s="1"/>
  <c r="Q729" i="1"/>
  <c r="I729" i="1"/>
  <c r="J729" i="1" s="1"/>
  <c r="Q728" i="1"/>
  <c r="I728" i="1"/>
  <c r="J728" i="1" s="1"/>
  <c r="Q727" i="1"/>
  <c r="I727" i="1"/>
  <c r="J727" i="1" s="1"/>
  <c r="Q726" i="1"/>
  <c r="I726" i="1"/>
  <c r="J726" i="1" s="1"/>
  <c r="Q725" i="1"/>
  <c r="I725" i="1"/>
  <c r="J725" i="1" s="1"/>
  <c r="Q724" i="1"/>
  <c r="I724" i="1"/>
  <c r="J724" i="1" s="1"/>
  <c r="Q723" i="1"/>
  <c r="I723" i="1"/>
  <c r="J723" i="1" s="1"/>
  <c r="Q722" i="1"/>
  <c r="I722" i="1"/>
  <c r="J722" i="1" s="1"/>
  <c r="Q721" i="1"/>
  <c r="I721" i="1"/>
  <c r="J721" i="1" s="1"/>
  <c r="Q720" i="1"/>
  <c r="I720" i="1"/>
  <c r="J720" i="1" s="1"/>
  <c r="Q719" i="1"/>
  <c r="I719" i="1"/>
  <c r="J719" i="1" s="1"/>
  <c r="Q718" i="1"/>
  <c r="I718" i="1"/>
  <c r="J718" i="1" s="1"/>
  <c r="Q717" i="1"/>
  <c r="I717" i="1"/>
  <c r="J717" i="1" s="1"/>
  <c r="Q716" i="1"/>
  <c r="I716" i="1"/>
  <c r="J716" i="1" s="1"/>
  <c r="Q715" i="1"/>
  <c r="I715" i="1"/>
  <c r="J715" i="1" s="1"/>
  <c r="Q714" i="1"/>
  <c r="I714" i="1"/>
  <c r="J714" i="1" s="1"/>
  <c r="Q713" i="1"/>
  <c r="I713" i="1"/>
  <c r="J713" i="1" s="1"/>
  <c r="Q712" i="1"/>
  <c r="I712" i="1"/>
  <c r="J712" i="1" s="1"/>
  <c r="Q711" i="1"/>
  <c r="I711" i="1"/>
  <c r="J711" i="1" s="1"/>
  <c r="Q710" i="1"/>
  <c r="I710" i="1"/>
  <c r="J710" i="1" s="1"/>
  <c r="Q709" i="1"/>
  <c r="I709" i="1"/>
  <c r="J709" i="1" s="1"/>
  <c r="Q708" i="1"/>
  <c r="I708" i="1"/>
  <c r="J708" i="1" s="1"/>
  <c r="Q707" i="1"/>
  <c r="I707" i="1"/>
  <c r="J707" i="1" s="1"/>
  <c r="Q706" i="1"/>
  <c r="I706" i="1"/>
  <c r="J706" i="1" s="1"/>
  <c r="Q705" i="1"/>
  <c r="I705" i="1"/>
  <c r="J705" i="1" s="1"/>
  <c r="Q704" i="1"/>
  <c r="I704" i="1"/>
  <c r="J704" i="1" s="1"/>
  <c r="Q703" i="1"/>
  <c r="I703" i="1"/>
  <c r="J703" i="1" s="1"/>
  <c r="Q702" i="1"/>
  <c r="I702" i="1"/>
  <c r="J702" i="1" s="1"/>
  <c r="Q701" i="1"/>
  <c r="I701" i="1"/>
  <c r="J701" i="1" s="1"/>
  <c r="Q700" i="1"/>
  <c r="I700" i="1"/>
  <c r="J700" i="1" s="1"/>
  <c r="Q699" i="1"/>
  <c r="I699" i="1"/>
  <c r="J699" i="1" s="1"/>
  <c r="Q698" i="1"/>
  <c r="I698" i="1"/>
  <c r="J698" i="1" s="1"/>
  <c r="Q697" i="1"/>
  <c r="I697" i="1"/>
  <c r="J697" i="1" s="1"/>
  <c r="Q696" i="1"/>
  <c r="I696" i="1"/>
  <c r="J696" i="1" s="1"/>
  <c r="Q695" i="1"/>
  <c r="I695" i="1"/>
  <c r="J695" i="1" s="1"/>
  <c r="Q694" i="1"/>
  <c r="I694" i="1"/>
  <c r="J694" i="1" s="1"/>
  <c r="Q693" i="1"/>
  <c r="I693" i="1"/>
  <c r="J693" i="1" s="1"/>
  <c r="Q692" i="1"/>
  <c r="I692" i="1"/>
  <c r="J692" i="1" s="1"/>
  <c r="Q691" i="1"/>
  <c r="I691" i="1"/>
  <c r="J691" i="1" s="1"/>
  <c r="Q690" i="1"/>
  <c r="I690" i="1"/>
  <c r="J690" i="1" s="1"/>
  <c r="Q689" i="1"/>
  <c r="I689" i="1"/>
  <c r="J689" i="1" s="1"/>
  <c r="Q688" i="1"/>
  <c r="I688" i="1"/>
  <c r="J688" i="1" s="1"/>
  <c r="Q687" i="1"/>
  <c r="I687" i="1"/>
  <c r="J687" i="1" s="1"/>
  <c r="Q686" i="1"/>
  <c r="I686" i="1"/>
  <c r="J686" i="1" s="1"/>
  <c r="Q685" i="1"/>
  <c r="I685" i="1"/>
  <c r="J685" i="1" s="1"/>
  <c r="Q684" i="1"/>
  <c r="I684" i="1"/>
  <c r="J684" i="1" s="1"/>
  <c r="Q683" i="1"/>
  <c r="I683" i="1"/>
  <c r="J683" i="1" s="1"/>
  <c r="Q682" i="1"/>
  <c r="I682" i="1"/>
  <c r="J682" i="1" s="1"/>
  <c r="Q681" i="1"/>
  <c r="I681" i="1"/>
  <c r="J681" i="1" s="1"/>
  <c r="Q680" i="1"/>
  <c r="I680" i="1"/>
  <c r="J680" i="1" s="1"/>
  <c r="Q679" i="1"/>
  <c r="I679" i="1"/>
  <c r="J679" i="1" s="1"/>
  <c r="Q678" i="1"/>
  <c r="I678" i="1"/>
  <c r="J678" i="1" s="1"/>
  <c r="Q677" i="1"/>
  <c r="I677" i="1"/>
  <c r="J677" i="1" s="1"/>
  <c r="Q676" i="1"/>
  <c r="I676" i="1"/>
  <c r="J676" i="1" s="1"/>
  <c r="Q675" i="1"/>
  <c r="I675" i="1"/>
  <c r="J675" i="1" s="1"/>
  <c r="Q674" i="1"/>
  <c r="I674" i="1"/>
  <c r="J674" i="1" s="1"/>
  <c r="Q673" i="1"/>
  <c r="I673" i="1"/>
  <c r="J673" i="1" s="1"/>
  <c r="Q672" i="1"/>
  <c r="I672" i="1"/>
  <c r="J672" i="1" s="1"/>
  <c r="Q671" i="1"/>
  <c r="I671" i="1"/>
  <c r="J671" i="1" s="1"/>
  <c r="Q670" i="1"/>
  <c r="I670" i="1"/>
  <c r="J670" i="1" s="1"/>
  <c r="Q669" i="1"/>
  <c r="I669" i="1"/>
  <c r="J669" i="1" s="1"/>
  <c r="Q668" i="1"/>
  <c r="I668" i="1"/>
  <c r="J668" i="1" s="1"/>
  <c r="Q667" i="1"/>
  <c r="I667" i="1"/>
  <c r="J667" i="1" s="1"/>
  <c r="Q666" i="1"/>
  <c r="I666" i="1"/>
  <c r="J666" i="1" s="1"/>
  <c r="Q665" i="1"/>
  <c r="I665" i="1"/>
  <c r="J665" i="1" s="1"/>
  <c r="Q664" i="1"/>
  <c r="I664" i="1"/>
  <c r="J664" i="1" s="1"/>
  <c r="Q663" i="1"/>
  <c r="I663" i="1"/>
  <c r="J663" i="1" s="1"/>
  <c r="Q662" i="1"/>
  <c r="I662" i="1"/>
  <c r="J662" i="1" s="1"/>
  <c r="Q661" i="1"/>
  <c r="I661" i="1"/>
  <c r="J661" i="1" s="1"/>
  <c r="Q660" i="1"/>
  <c r="I660" i="1"/>
  <c r="J660" i="1" s="1"/>
  <c r="Q659" i="1"/>
  <c r="I659" i="1"/>
  <c r="J659" i="1" s="1"/>
  <c r="Q658" i="1"/>
  <c r="I658" i="1"/>
  <c r="J658" i="1" s="1"/>
  <c r="Q657" i="1"/>
  <c r="I657" i="1"/>
  <c r="J657" i="1" s="1"/>
  <c r="Q656" i="1"/>
  <c r="I656" i="1"/>
  <c r="J656" i="1" s="1"/>
  <c r="Q655" i="1"/>
  <c r="I655" i="1"/>
  <c r="J655" i="1" s="1"/>
  <c r="Q654" i="1"/>
  <c r="I654" i="1"/>
  <c r="J654" i="1" s="1"/>
  <c r="Q653" i="1"/>
  <c r="I653" i="1"/>
  <c r="J653" i="1" s="1"/>
  <c r="Q652" i="1"/>
  <c r="I652" i="1"/>
  <c r="J652" i="1" s="1"/>
  <c r="Q651" i="1"/>
  <c r="I651" i="1"/>
  <c r="J651" i="1" s="1"/>
  <c r="Q650" i="1"/>
  <c r="I650" i="1"/>
  <c r="J650" i="1" s="1"/>
  <c r="Q649" i="1"/>
  <c r="I649" i="1"/>
  <c r="J649" i="1" s="1"/>
  <c r="Q648" i="1"/>
  <c r="I648" i="1"/>
  <c r="J648" i="1" s="1"/>
  <c r="Q647" i="1"/>
  <c r="I647" i="1"/>
  <c r="J647" i="1" s="1"/>
  <c r="Q646" i="1"/>
  <c r="I646" i="1"/>
  <c r="J646" i="1" s="1"/>
  <c r="Q645" i="1"/>
  <c r="I645" i="1"/>
  <c r="J645" i="1" s="1"/>
  <c r="Q644" i="1"/>
  <c r="I644" i="1"/>
  <c r="J644" i="1" s="1"/>
  <c r="Q643" i="1"/>
  <c r="J643" i="1"/>
  <c r="I643" i="1"/>
  <c r="Q642" i="1"/>
  <c r="I642" i="1"/>
  <c r="J642" i="1" s="1"/>
  <c r="Q641" i="1"/>
  <c r="I641" i="1"/>
  <c r="J641" i="1" s="1"/>
  <c r="Q640" i="1"/>
  <c r="I640" i="1"/>
  <c r="J640" i="1" s="1"/>
  <c r="Q639" i="1"/>
  <c r="I639" i="1"/>
  <c r="J639" i="1" s="1"/>
  <c r="Q638" i="1"/>
  <c r="I638" i="1"/>
  <c r="J638" i="1" s="1"/>
  <c r="Q637" i="1"/>
  <c r="I637" i="1"/>
  <c r="J637" i="1" s="1"/>
  <c r="Q636" i="1"/>
  <c r="I636" i="1"/>
  <c r="J636" i="1" s="1"/>
  <c r="Q635" i="1"/>
  <c r="I635" i="1"/>
  <c r="J635" i="1" s="1"/>
  <c r="Q634" i="1"/>
  <c r="I634" i="1"/>
  <c r="J634" i="1" s="1"/>
  <c r="Q633" i="1"/>
  <c r="I633" i="1"/>
  <c r="J633" i="1" s="1"/>
  <c r="Q632" i="1"/>
  <c r="I632" i="1"/>
  <c r="J632" i="1" s="1"/>
  <c r="Q631" i="1"/>
  <c r="I631" i="1"/>
  <c r="J631" i="1" s="1"/>
  <c r="Q630" i="1"/>
  <c r="I630" i="1"/>
  <c r="J630" i="1" s="1"/>
  <c r="Q629" i="1"/>
  <c r="I629" i="1"/>
  <c r="J629" i="1" s="1"/>
  <c r="Q628" i="1"/>
  <c r="I628" i="1"/>
  <c r="J628" i="1" s="1"/>
  <c r="Q627" i="1"/>
  <c r="I627" i="1"/>
  <c r="J627" i="1" s="1"/>
  <c r="Q626" i="1"/>
  <c r="I626" i="1"/>
  <c r="J626" i="1" s="1"/>
  <c r="Q625" i="1"/>
  <c r="I625" i="1"/>
  <c r="J625" i="1" s="1"/>
  <c r="Q624" i="1"/>
  <c r="I624" i="1"/>
  <c r="J624" i="1" s="1"/>
  <c r="Q623" i="1"/>
  <c r="I623" i="1"/>
  <c r="J623" i="1" s="1"/>
  <c r="Q622" i="1"/>
  <c r="J622" i="1"/>
  <c r="I622" i="1"/>
  <c r="Q621" i="1"/>
  <c r="I621" i="1"/>
  <c r="J621" i="1" s="1"/>
  <c r="Q620" i="1"/>
  <c r="I620" i="1"/>
  <c r="J620" i="1" s="1"/>
  <c r="Q619" i="1"/>
  <c r="I619" i="1"/>
  <c r="J619" i="1" s="1"/>
  <c r="Q618" i="1"/>
  <c r="I618" i="1"/>
  <c r="J618" i="1" s="1"/>
  <c r="Q617" i="1"/>
  <c r="I617" i="1"/>
  <c r="J617" i="1" s="1"/>
  <c r="Q616" i="1"/>
  <c r="I616" i="1"/>
  <c r="J616" i="1" s="1"/>
  <c r="Q615" i="1"/>
  <c r="I615" i="1"/>
  <c r="J615" i="1" s="1"/>
  <c r="Q614" i="1"/>
  <c r="J614" i="1"/>
  <c r="I614" i="1"/>
  <c r="Q613" i="1"/>
  <c r="I613" i="1"/>
  <c r="J613" i="1" s="1"/>
  <c r="Q612" i="1"/>
  <c r="I612" i="1"/>
  <c r="J612" i="1" s="1"/>
  <c r="Q611" i="1"/>
  <c r="I611" i="1"/>
  <c r="J611" i="1" s="1"/>
  <c r="Q610" i="1"/>
  <c r="I610" i="1"/>
  <c r="J610" i="1" s="1"/>
  <c r="Q609" i="1"/>
  <c r="I609" i="1"/>
  <c r="J609" i="1" s="1"/>
  <c r="Q608" i="1"/>
  <c r="I608" i="1"/>
  <c r="J608" i="1" s="1"/>
  <c r="Q607" i="1"/>
  <c r="I607" i="1"/>
  <c r="J607" i="1" s="1"/>
  <c r="Q606" i="1"/>
  <c r="I606" i="1"/>
  <c r="J606" i="1" s="1"/>
  <c r="Q605" i="1"/>
  <c r="I605" i="1"/>
  <c r="J605" i="1" s="1"/>
  <c r="Q604" i="1"/>
  <c r="I604" i="1"/>
  <c r="J604" i="1" s="1"/>
  <c r="Q603" i="1"/>
  <c r="I603" i="1"/>
  <c r="J603" i="1" s="1"/>
  <c r="Q602" i="1"/>
  <c r="I602" i="1"/>
  <c r="J602" i="1" s="1"/>
  <c r="Q601" i="1"/>
  <c r="I601" i="1"/>
  <c r="J601" i="1" s="1"/>
  <c r="Q600" i="1"/>
  <c r="I600" i="1"/>
  <c r="J600" i="1" s="1"/>
  <c r="Q599" i="1"/>
  <c r="I599" i="1"/>
  <c r="J599" i="1" s="1"/>
  <c r="Q598" i="1"/>
  <c r="I598" i="1"/>
  <c r="J598" i="1" s="1"/>
  <c r="Q597" i="1"/>
  <c r="I597" i="1"/>
  <c r="J597" i="1" s="1"/>
  <c r="Q596" i="1"/>
  <c r="I596" i="1"/>
  <c r="J596" i="1" s="1"/>
  <c r="Q595" i="1"/>
  <c r="I595" i="1"/>
  <c r="J595" i="1" s="1"/>
  <c r="Q594" i="1"/>
  <c r="I594" i="1"/>
  <c r="J594" i="1" s="1"/>
  <c r="Q593" i="1"/>
  <c r="I593" i="1"/>
  <c r="J593" i="1" s="1"/>
  <c r="Q592" i="1"/>
  <c r="I592" i="1"/>
  <c r="J592" i="1" s="1"/>
  <c r="Q591" i="1"/>
  <c r="I591" i="1"/>
  <c r="J591" i="1" s="1"/>
  <c r="Q590" i="1"/>
  <c r="I590" i="1"/>
  <c r="J590" i="1" s="1"/>
  <c r="Q589" i="1"/>
  <c r="I589" i="1"/>
  <c r="J589" i="1" s="1"/>
  <c r="Q588" i="1"/>
  <c r="I588" i="1"/>
  <c r="J588" i="1" s="1"/>
  <c r="Q587" i="1"/>
  <c r="I587" i="1"/>
  <c r="J587" i="1" s="1"/>
  <c r="Q586" i="1"/>
  <c r="I586" i="1"/>
  <c r="J586" i="1" s="1"/>
  <c r="Q585" i="1"/>
  <c r="I585" i="1"/>
  <c r="J585" i="1" s="1"/>
  <c r="Q584" i="1"/>
  <c r="I584" i="1"/>
  <c r="J584" i="1" s="1"/>
  <c r="Q583" i="1"/>
  <c r="I583" i="1"/>
  <c r="J583" i="1" s="1"/>
  <c r="Q582" i="1"/>
  <c r="I582" i="1"/>
  <c r="J582" i="1" s="1"/>
  <c r="Q581" i="1"/>
  <c r="I581" i="1"/>
  <c r="J581" i="1" s="1"/>
  <c r="Q580" i="1"/>
  <c r="I580" i="1"/>
  <c r="J580" i="1" s="1"/>
  <c r="Q579" i="1"/>
  <c r="I579" i="1"/>
  <c r="J579" i="1" s="1"/>
  <c r="Q578" i="1"/>
  <c r="I578" i="1"/>
  <c r="J578" i="1" s="1"/>
  <c r="Q577" i="1"/>
  <c r="I577" i="1"/>
  <c r="J577" i="1" s="1"/>
  <c r="Q576" i="1"/>
  <c r="I576" i="1"/>
  <c r="J576" i="1" s="1"/>
  <c r="Q575" i="1"/>
  <c r="I575" i="1"/>
  <c r="J575" i="1" s="1"/>
  <c r="Q574" i="1"/>
  <c r="I574" i="1"/>
  <c r="J574" i="1" s="1"/>
  <c r="Q573" i="1"/>
  <c r="I573" i="1"/>
  <c r="J573" i="1" s="1"/>
  <c r="Q572" i="1"/>
  <c r="I572" i="1"/>
  <c r="J572" i="1" s="1"/>
  <c r="Q571" i="1"/>
  <c r="I571" i="1"/>
  <c r="J571" i="1" s="1"/>
  <c r="Q570" i="1"/>
  <c r="I570" i="1"/>
  <c r="J570" i="1" s="1"/>
  <c r="Q569" i="1"/>
  <c r="I569" i="1"/>
  <c r="J569" i="1" s="1"/>
  <c r="Q568" i="1"/>
  <c r="I568" i="1"/>
  <c r="J568" i="1" s="1"/>
  <c r="Q567" i="1"/>
  <c r="I567" i="1"/>
  <c r="J567" i="1" s="1"/>
  <c r="Q566" i="1"/>
  <c r="I566" i="1"/>
  <c r="J566" i="1" s="1"/>
  <c r="Q565" i="1"/>
  <c r="I565" i="1"/>
  <c r="J565" i="1" s="1"/>
  <c r="Q564" i="1"/>
  <c r="I564" i="1"/>
  <c r="J564" i="1" s="1"/>
  <c r="Q563" i="1"/>
  <c r="I563" i="1"/>
  <c r="J563" i="1" s="1"/>
  <c r="Q562" i="1"/>
  <c r="I562" i="1"/>
  <c r="J562" i="1" s="1"/>
  <c r="Q561" i="1"/>
  <c r="I561" i="1"/>
  <c r="J561" i="1" s="1"/>
  <c r="Q560" i="1"/>
  <c r="I560" i="1"/>
  <c r="J560" i="1" s="1"/>
  <c r="Q559" i="1"/>
  <c r="I559" i="1"/>
  <c r="J559" i="1" s="1"/>
  <c r="Q558" i="1"/>
  <c r="I558" i="1"/>
  <c r="J558" i="1" s="1"/>
  <c r="Q557" i="1"/>
  <c r="I557" i="1"/>
  <c r="J557" i="1" s="1"/>
  <c r="Q556" i="1"/>
  <c r="I556" i="1"/>
  <c r="J556" i="1" s="1"/>
  <c r="Q555" i="1"/>
  <c r="I555" i="1"/>
  <c r="J555" i="1" s="1"/>
  <c r="Q554" i="1"/>
  <c r="I554" i="1"/>
  <c r="J554" i="1" s="1"/>
  <c r="Q553" i="1"/>
  <c r="I553" i="1"/>
  <c r="J553" i="1" s="1"/>
  <c r="Q552" i="1"/>
  <c r="I552" i="1"/>
  <c r="J552" i="1" s="1"/>
  <c r="Q551" i="1"/>
  <c r="I551" i="1"/>
  <c r="J551" i="1" s="1"/>
  <c r="Q550" i="1"/>
  <c r="I550" i="1"/>
  <c r="J550" i="1" s="1"/>
  <c r="Q549" i="1"/>
  <c r="I549" i="1"/>
  <c r="J549" i="1" s="1"/>
  <c r="Q548" i="1"/>
  <c r="I548" i="1"/>
  <c r="J548" i="1" s="1"/>
  <c r="Q547" i="1"/>
  <c r="I547" i="1"/>
  <c r="J547" i="1" s="1"/>
  <c r="Q546" i="1"/>
  <c r="I546" i="1"/>
  <c r="J546" i="1" s="1"/>
  <c r="Q545" i="1"/>
  <c r="I545" i="1"/>
  <c r="J545" i="1" s="1"/>
  <c r="Q544" i="1"/>
  <c r="I544" i="1"/>
  <c r="J544" i="1" s="1"/>
  <c r="Q543" i="1"/>
  <c r="I543" i="1"/>
  <c r="J543" i="1" s="1"/>
  <c r="Q542" i="1"/>
  <c r="I542" i="1"/>
  <c r="J542" i="1" s="1"/>
  <c r="Q541" i="1"/>
  <c r="I541" i="1"/>
  <c r="J541" i="1" s="1"/>
  <c r="Q540" i="1"/>
  <c r="I540" i="1"/>
  <c r="J540" i="1" s="1"/>
  <c r="Q539" i="1"/>
  <c r="I539" i="1"/>
  <c r="J539" i="1" s="1"/>
  <c r="Q538" i="1"/>
  <c r="I538" i="1"/>
  <c r="J538" i="1" s="1"/>
  <c r="Q537" i="1"/>
  <c r="I537" i="1"/>
  <c r="J537" i="1" s="1"/>
  <c r="Q536" i="1"/>
  <c r="I536" i="1"/>
  <c r="J536" i="1" s="1"/>
  <c r="Q535" i="1"/>
  <c r="I535" i="1"/>
  <c r="J535" i="1" s="1"/>
  <c r="Q534" i="1"/>
  <c r="I534" i="1"/>
  <c r="J534" i="1" s="1"/>
  <c r="Q533" i="1"/>
  <c r="I533" i="1"/>
  <c r="J533" i="1" s="1"/>
  <c r="Q532" i="1"/>
  <c r="I532" i="1"/>
  <c r="J532" i="1" s="1"/>
  <c r="Q531" i="1"/>
  <c r="I531" i="1"/>
  <c r="J531" i="1" s="1"/>
  <c r="Q530" i="1"/>
  <c r="I530" i="1"/>
  <c r="J530" i="1" s="1"/>
  <c r="Q529" i="1"/>
  <c r="I529" i="1"/>
  <c r="J529" i="1" s="1"/>
  <c r="Q528" i="1"/>
  <c r="I528" i="1"/>
  <c r="J528" i="1" s="1"/>
  <c r="Q527" i="1"/>
  <c r="I527" i="1"/>
  <c r="J527" i="1" s="1"/>
  <c r="Q526" i="1"/>
  <c r="I526" i="1"/>
  <c r="J526" i="1" s="1"/>
  <c r="Q525" i="1"/>
  <c r="I525" i="1"/>
  <c r="J525" i="1" s="1"/>
  <c r="Q524" i="1"/>
  <c r="I524" i="1"/>
  <c r="J524" i="1" s="1"/>
  <c r="Q523" i="1"/>
  <c r="I523" i="1"/>
  <c r="J523" i="1" s="1"/>
  <c r="Q522" i="1"/>
  <c r="I522" i="1"/>
  <c r="J522" i="1" s="1"/>
  <c r="Q521" i="1"/>
  <c r="I521" i="1"/>
  <c r="J521" i="1" s="1"/>
  <c r="Q520" i="1"/>
  <c r="J520" i="1"/>
  <c r="I520" i="1"/>
  <c r="Q519" i="1"/>
  <c r="I519" i="1"/>
  <c r="J519" i="1" s="1"/>
  <c r="Q518" i="1"/>
  <c r="I518" i="1"/>
  <c r="J518" i="1" s="1"/>
  <c r="Q517" i="1"/>
  <c r="I517" i="1"/>
  <c r="J517" i="1" s="1"/>
  <c r="Q516" i="1"/>
  <c r="I516" i="1"/>
  <c r="J516" i="1" s="1"/>
  <c r="Q515" i="1"/>
  <c r="I515" i="1"/>
  <c r="J515" i="1" s="1"/>
  <c r="Q514" i="1"/>
  <c r="I514" i="1"/>
  <c r="J514" i="1" s="1"/>
  <c r="Q513" i="1"/>
  <c r="I513" i="1"/>
  <c r="J513" i="1" s="1"/>
  <c r="Q512" i="1"/>
  <c r="I512" i="1"/>
  <c r="J512" i="1" s="1"/>
  <c r="Q511" i="1"/>
  <c r="I511" i="1"/>
  <c r="J511" i="1" s="1"/>
  <c r="Q510" i="1"/>
  <c r="I510" i="1"/>
  <c r="J510" i="1" s="1"/>
  <c r="Q509" i="1"/>
  <c r="I509" i="1"/>
  <c r="J509" i="1" s="1"/>
  <c r="Q508" i="1"/>
  <c r="I508" i="1"/>
  <c r="J508" i="1" s="1"/>
  <c r="Q507" i="1"/>
  <c r="I507" i="1"/>
  <c r="J507" i="1" s="1"/>
  <c r="Q506" i="1"/>
  <c r="I506" i="1"/>
  <c r="J506" i="1" s="1"/>
  <c r="Q505" i="1"/>
  <c r="I505" i="1"/>
  <c r="J505" i="1" s="1"/>
  <c r="Q504" i="1"/>
  <c r="J504" i="1"/>
  <c r="I504" i="1"/>
  <c r="Q503" i="1"/>
  <c r="I503" i="1"/>
  <c r="J503" i="1" s="1"/>
  <c r="Q502" i="1"/>
  <c r="I502" i="1"/>
  <c r="J502" i="1" s="1"/>
  <c r="Q501" i="1"/>
  <c r="I501" i="1"/>
  <c r="J501" i="1" s="1"/>
  <c r="Q500" i="1"/>
  <c r="I500" i="1"/>
  <c r="J500" i="1" s="1"/>
  <c r="Q499" i="1"/>
  <c r="I499" i="1"/>
  <c r="J499" i="1" s="1"/>
  <c r="Q498" i="1"/>
  <c r="I498" i="1"/>
  <c r="J498" i="1" s="1"/>
  <c r="Q497" i="1"/>
  <c r="I497" i="1"/>
  <c r="J497" i="1" s="1"/>
  <c r="Q496" i="1"/>
  <c r="I496" i="1"/>
  <c r="J496" i="1" s="1"/>
  <c r="Q495" i="1"/>
  <c r="I495" i="1"/>
  <c r="J495" i="1" s="1"/>
  <c r="Q494" i="1"/>
  <c r="I494" i="1"/>
  <c r="J494" i="1" s="1"/>
  <c r="Q493" i="1"/>
  <c r="I493" i="1"/>
  <c r="J493" i="1" s="1"/>
  <c r="Q492" i="1"/>
  <c r="I492" i="1"/>
  <c r="J492" i="1" s="1"/>
  <c r="Q491" i="1"/>
  <c r="I491" i="1"/>
  <c r="J491" i="1" s="1"/>
  <c r="Q490" i="1"/>
  <c r="I490" i="1"/>
  <c r="J490" i="1" s="1"/>
  <c r="Q489" i="1"/>
  <c r="I489" i="1"/>
  <c r="J489" i="1" s="1"/>
  <c r="Q488" i="1"/>
  <c r="I488" i="1"/>
  <c r="J488" i="1" s="1"/>
  <c r="Q487" i="1"/>
  <c r="I487" i="1"/>
  <c r="J487" i="1" s="1"/>
  <c r="Q486" i="1"/>
  <c r="J486" i="1"/>
  <c r="I486" i="1"/>
  <c r="Q485" i="1"/>
  <c r="I485" i="1"/>
  <c r="J485" i="1" s="1"/>
  <c r="Q484" i="1"/>
  <c r="I484" i="1"/>
  <c r="J484" i="1" s="1"/>
  <c r="Q483" i="1"/>
  <c r="I483" i="1"/>
  <c r="J483" i="1" s="1"/>
  <c r="Q482" i="1"/>
  <c r="I482" i="1"/>
  <c r="J482" i="1" s="1"/>
  <c r="Q481" i="1"/>
  <c r="I481" i="1"/>
  <c r="J481" i="1" s="1"/>
  <c r="Q480" i="1"/>
  <c r="I480" i="1"/>
  <c r="J480" i="1" s="1"/>
  <c r="Q479" i="1"/>
  <c r="I479" i="1"/>
  <c r="J479" i="1" s="1"/>
  <c r="Q478" i="1"/>
  <c r="I478" i="1"/>
  <c r="J478" i="1" s="1"/>
  <c r="Q477" i="1"/>
  <c r="I477" i="1"/>
  <c r="J477" i="1" s="1"/>
  <c r="Q476" i="1"/>
  <c r="I476" i="1"/>
  <c r="J476" i="1" s="1"/>
  <c r="Q475" i="1"/>
  <c r="I475" i="1"/>
  <c r="J475" i="1" s="1"/>
  <c r="Q474" i="1"/>
  <c r="I474" i="1"/>
  <c r="J474" i="1" s="1"/>
  <c r="Q473" i="1"/>
  <c r="I473" i="1"/>
  <c r="J473" i="1" s="1"/>
  <c r="Q472" i="1"/>
  <c r="I472" i="1"/>
  <c r="J472" i="1" s="1"/>
  <c r="Q471" i="1"/>
  <c r="I471" i="1"/>
  <c r="J471" i="1" s="1"/>
  <c r="Q470" i="1"/>
  <c r="I470" i="1"/>
  <c r="J470" i="1" s="1"/>
  <c r="Q469" i="1"/>
  <c r="I469" i="1"/>
  <c r="J469" i="1" s="1"/>
  <c r="Q468" i="1"/>
  <c r="I468" i="1"/>
  <c r="J468" i="1" s="1"/>
  <c r="Q467" i="1"/>
  <c r="I467" i="1"/>
  <c r="J467" i="1" s="1"/>
  <c r="Q466" i="1"/>
  <c r="I466" i="1"/>
  <c r="J466" i="1" s="1"/>
  <c r="Q465" i="1"/>
  <c r="I465" i="1"/>
  <c r="J465" i="1" s="1"/>
  <c r="Q464" i="1"/>
  <c r="I464" i="1"/>
  <c r="J464" i="1" s="1"/>
  <c r="Q463" i="1"/>
  <c r="J463" i="1"/>
  <c r="I463" i="1"/>
  <c r="Q462" i="1"/>
  <c r="I462" i="1"/>
  <c r="J462" i="1" s="1"/>
  <c r="Q461" i="1"/>
  <c r="I461" i="1"/>
  <c r="J461" i="1" s="1"/>
  <c r="Q460" i="1"/>
  <c r="I460" i="1"/>
  <c r="J460" i="1" s="1"/>
  <c r="Q459" i="1"/>
  <c r="I459" i="1"/>
  <c r="J459" i="1" s="1"/>
  <c r="Q458" i="1"/>
  <c r="I458" i="1"/>
  <c r="J458" i="1" s="1"/>
  <c r="Q457" i="1"/>
  <c r="I457" i="1"/>
  <c r="J457" i="1" s="1"/>
  <c r="Q456" i="1"/>
  <c r="I456" i="1"/>
  <c r="J456" i="1" s="1"/>
  <c r="Q455" i="1"/>
  <c r="I455" i="1"/>
  <c r="J455" i="1" s="1"/>
  <c r="Q454" i="1"/>
  <c r="I454" i="1"/>
  <c r="J454" i="1" s="1"/>
  <c r="Q453" i="1"/>
  <c r="I453" i="1"/>
  <c r="J453" i="1" s="1"/>
  <c r="Q452" i="1"/>
  <c r="I452" i="1"/>
  <c r="J452" i="1" s="1"/>
  <c r="Q451" i="1"/>
  <c r="I451" i="1"/>
  <c r="J451" i="1" s="1"/>
  <c r="Q450" i="1"/>
  <c r="I450" i="1"/>
  <c r="J450" i="1" s="1"/>
  <c r="Q449" i="1"/>
  <c r="I449" i="1"/>
  <c r="J449" i="1" s="1"/>
  <c r="Q448" i="1"/>
  <c r="I448" i="1"/>
  <c r="J448" i="1" s="1"/>
  <c r="Q447" i="1"/>
  <c r="I447" i="1"/>
  <c r="J447" i="1" s="1"/>
  <c r="Q446" i="1"/>
  <c r="I446" i="1"/>
  <c r="J446" i="1" s="1"/>
  <c r="Q445" i="1"/>
  <c r="I445" i="1"/>
  <c r="J445" i="1" s="1"/>
  <c r="Q444" i="1"/>
  <c r="I444" i="1"/>
  <c r="J444" i="1" s="1"/>
  <c r="Q443" i="1"/>
  <c r="I443" i="1"/>
  <c r="J443" i="1" s="1"/>
  <c r="Q442" i="1"/>
  <c r="I442" i="1"/>
  <c r="J442" i="1" s="1"/>
  <c r="Q441" i="1"/>
  <c r="I441" i="1"/>
  <c r="J441" i="1" s="1"/>
  <c r="Q440" i="1"/>
  <c r="I440" i="1"/>
  <c r="J440" i="1" s="1"/>
  <c r="Q439" i="1"/>
  <c r="I439" i="1"/>
  <c r="J439" i="1" s="1"/>
  <c r="Q438" i="1"/>
  <c r="I438" i="1"/>
  <c r="J438" i="1" s="1"/>
  <c r="Q437" i="1"/>
  <c r="I437" i="1"/>
  <c r="J437" i="1" s="1"/>
  <c r="Q436" i="1"/>
  <c r="I436" i="1"/>
  <c r="J436" i="1" s="1"/>
  <c r="Q435" i="1"/>
  <c r="I435" i="1"/>
  <c r="J435" i="1" s="1"/>
  <c r="Q434" i="1"/>
  <c r="I434" i="1"/>
  <c r="J434" i="1" s="1"/>
  <c r="Q433" i="1"/>
  <c r="I433" i="1"/>
  <c r="J433" i="1" s="1"/>
  <c r="Q432" i="1"/>
  <c r="I432" i="1"/>
  <c r="J432" i="1" s="1"/>
  <c r="Q431" i="1"/>
  <c r="I431" i="1"/>
  <c r="J431" i="1" s="1"/>
  <c r="Q430" i="1"/>
  <c r="I430" i="1"/>
  <c r="J430" i="1" s="1"/>
  <c r="Q429" i="1"/>
  <c r="I429" i="1"/>
  <c r="J429" i="1" s="1"/>
  <c r="Q428" i="1"/>
  <c r="I428" i="1"/>
  <c r="J428" i="1" s="1"/>
  <c r="Q427" i="1"/>
  <c r="I427" i="1"/>
  <c r="J427" i="1" s="1"/>
  <c r="Q426" i="1"/>
  <c r="I426" i="1"/>
  <c r="J426" i="1" s="1"/>
  <c r="Q425" i="1"/>
  <c r="I425" i="1"/>
  <c r="J425" i="1" s="1"/>
  <c r="Q424" i="1"/>
  <c r="I424" i="1"/>
  <c r="J424" i="1" s="1"/>
  <c r="Q423" i="1"/>
  <c r="I423" i="1"/>
  <c r="J423" i="1" s="1"/>
  <c r="Q422" i="1"/>
  <c r="I422" i="1"/>
  <c r="J422" i="1" s="1"/>
  <c r="Q421" i="1"/>
  <c r="I421" i="1"/>
  <c r="J421" i="1" s="1"/>
  <c r="Q420" i="1"/>
  <c r="I420" i="1"/>
  <c r="J420" i="1" s="1"/>
  <c r="Q419" i="1"/>
  <c r="I419" i="1"/>
  <c r="J419" i="1" s="1"/>
  <c r="Q418" i="1"/>
  <c r="I418" i="1"/>
  <c r="J418" i="1" s="1"/>
  <c r="Q417" i="1"/>
  <c r="J417" i="1"/>
  <c r="I417" i="1"/>
  <c r="Q416" i="1"/>
  <c r="I416" i="1"/>
  <c r="J416" i="1" s="1"/>
  <c r="Q415" i="1"/>
  <c r="I415" i="1"/>
  <c r="J415" i="1" s="1"/>
  <c r="Q414" i="1"/>
  <c r="I414" i="1"/>
  <c r="J414" i="1" s="1"/>
  <c r="Q413" i="1"/>
  <c r="I413" i="1"/>
  <c r="J413" i="1" s="1"/>
  <c r="Q412" i="1"/>
  <c r="I412" i="1"/>
  <c r="J412" i="1" s="1"/>
  <c r="Q411" i="1"/>
  <c r="I411" i="1"/>
  <c r="J411" i="1" s="1"/>
  <c r="Q410" i="1"/>
  <c r="I410" i="1"/>
  <c r="J410" i="1" s="1"/>
  <c r="Q409" i="1"/>
  <c r="I409" i="1"/>
  <c r="J409" i="1" s="1"/>
  <c r="Q408" i="1"/>
  <c r="I408" i="1"/>
  <c r="J408" i="1" s="1"/>
  <c r="Q407" i="1"/>
  <c r="I407" i="1"/>
  <c r="J407" i="1" s="1"/>
  <c r="Q406" i="1"/>
  <c r="I406" i="1"/>
  <c r="J406" i="1" s="1"/>
  <c r="Q405" i="1"/>
  <c r="J405" i="1"/>
  <c r="I405" i="1"/>
  <c r="Q404" i="1"/>
  <c r="I404" i="1"/>
  <c r="J404" i="1" s="1"/>
  <c r="Q403" i="1"/>
  <c r="I403" i="1"/>
  <c r="J403" i="1" s="1"/>
  <c r="Q402" i="1"/>
  <c r="I402" i="1"/>
  <c r="J402" i="1" s="1"/>
  <c r="Q401" i="1"/>
  <c r="I401" i="1"/>
  <c r="J401" i="1" s="1"/>
  <c r="Q400" i="1"/>
  <c r="I400" i="1"/>
  <c r="J400" i="1" s="1"/>
  <c r="Q399" i="1"/>
  <c r="I399" i="1"/>
  <c r="J399" i="1" s="1"/>
  <c r="Q398" i="1"/>
  <c r="I398" i="1"/>
  <c r="J398" i="1" s="1"/>
  <c r="Q397" i="1"/>
  <c r="I397" i="1"/>
  <c r="J397" i="1" s="1"/>
  <c r="Q396" i="1"/>
  <c r="I396" i="1"/>
  <c r="J396" i="1" s="1"/>
  <c r="Q395" i="1"/>
  <c r="I395" i="1"/>
  <c r="J395" i="1" s="1"/>
  <c r="Q394" i="1"/>
  <c r="I394" i="1"/>
  <c r="J394" i="1" s="1"/>
  <c r="Q393" i="1"/>
  <c r="I393" i="1"/>
  <c r="J393" i="1" s="1"/>
  <c r="Q392" i="1"/>
  <c r="I392" i="1"/>
  <c r="J392" i="1" s="1"/>
  <c r="Q391" i="1"/>
  <c r="I391" i="1"/>
  <c r="J391" i="1" s="1"/>
  <c r="Q390" i="1"/>
  <c r="I390" i="1"/>
  <c r="J390" i="1" s="1"/>
  <c r="Q389" i="1"/>
  <c r="I389" i="1"/>
  <c r="J389" i="1" s="1"/>
  <c r="Q388" i="1"/>
  <c r="J388" i="1"/>
  <c r="I388" i="1"/>
  <c r="Q387" i="1"/>
  <c r="I387" i="1"/>
  <c r="J387" i="1" s="1"/>
  <c r="Q386" i="1"/>
  <c r="I386" i="1"/>
  <c r="J386" i="1" s="1"/>
  <c r="Q385" i="1"/>
  <c r="I385" i="1"/>
  <c r="J385" i="1" s="1"/>
  <c r="Q384" i="1"/>
  <c r="I384" i="1"/>
  <c r="J384" i="1" s="1"/>
  <c r="Q383" i="1"/>
  <c r="I383" i="1"/>
  <c r="J383" i="1" s="1"/>
  <c r="Q382" i="1"/>
  <c r="I382" i="1"/>
  <c r="J382" i="1" s="1"/>
  <c r="Q381" i="1"/>
  <c r="I381" i="1"/>
  <c r="J381" i="1" s="1"/>
  <c r="Q380" i="1"/>
  <c r="I380" i="1"/>
  <c r="J380" i="1" s="1"/>
  <c r="Q379" i="1"/>
  <c r="I379" i="1"/>
  <c r="J379" i="1" s="1"/>
  <c r="Q378" i="1"/>
  <c r="I378" i="1"/>
  <c r="J378" i="1" s="1"/>
  <c r="Q377" i="1"/>
  <c r="I377" i="1"/>
  <c r="J377" i="1" s="1"/>
  <c r="Q376" i="1"/>
  <c r="I376" i="1"/>
  <c r="J376" i="1" s="1"/>
  <c r="Q375" i="1"/>
  <c r="I375" i="1"/>
  <c r="J375" i="1" s="1"/>
  <c r="Q374" i="1"/>
  <c r="I374" i="1"/>
  <c r="J374" i="1" s="1"/>
  <c r="Q373" i="1"/>
  <c r="J373" i="1"/>
  <c r="I373" i="1"/>
  <c r="Q372" i="1"/>
  <c r="I372" i="1"/>
  <c r="J372" i="1" s="1"/>
  <c r="Q371" i="1"/>
  <c r="I371" i="1"/>
  <c r="J371" i="1" s="1"/>
  <c r="Q370" i="1"/>
  <c r="I370" i="1"/>
  <c r="J370" i="1" s="1"/>
  <c r="Q369" i="1"/>
  <c r="I369" i="1"/>
  <c r="J369" i="1" s="1"/>
  <c r="Q368" i="1"/>
  <c r="I368" i="1"/>
  <c r="J368" i="1" s="1"/>
  <c r="Q367" i="1"/>
  <c r="I367" i="1"/>
  <c r="J367" i="1" s="1"/>
  <c r="Q366" i="1"/>
  <c r="I366" i="1"/>
  <c r="J366" i="1" s="1"/>
  <c r="Q365" i="1"/>
  <c r="I365" i="1"/>
  <c r="J365" i="1" s="1"/>
  <c r="Q364" i="1"/>
  <c r="I364" i="1"/>
  <c r="J364" i="1" s="1"/>
  <c r="Q363" i="1"/>
  <c r="I363" i="1"/>
  <c r="J363" i="1" s="1"/>
  <c r="Q362" i="1"/>
  <c r="I362" i="1"/>
  <c r="J362" i="1" s="1"/>
  <c r="Q361" i="1"/>
  <c r="I361" i="1"/>
  <c r="J361" i="1" s="1"/>
  <c r="Q360" i="1"/>
  <c r="I360" i="1"/>
  <c r="J360" i="1" s="1"/>
  <c r="Q359" i="1"/>
  <c r="I359" i="1"/>
  <c r="J359" i="1" s="1"/>
  <c r="Q358" i="1"/>
  <c r="I358" i="1"/>
  <c r="J358" i="1" s="1"/>
  <c r="Q357" i="1"/>
  <c r="I357" i="1"/>
  <c r="J357" i="1" s="1"/>
  <c r="Q356" i="1"/>
  <c r="I356" i="1"/>
  <c r="J356" i="1" s="1"/>
  <c r="Q355" i="1"/>
  <c r="I355" i="1"/>
  <c r="J355" i="1" s="1"/>
  <c r="Q354" i="1"/>
  <c r="I354" i="1"/>
  <c r="J354" i="1" s="1"/>
  <c r="Q353" i="1"/>
  <c r="I353" i="1"/>
  <c r="J353" i="1" s="1"/>
  <c r="Q352" i="1"/>
  <c r="I352" i="1"/>
  <c r="J352" i="1" s="1"/>
  <c r="Q351" i="1"/>
  <c r="I351" i="1"/>
  <c r="J351" i="1" s="1"/>
  <c r="Q350" i="1"/>
  <c r="I350" i="1"/>
  <c r="J350" i="1" s="1"/>
  <c r="Q349" i="1"/>
  <c r="I349" i="1"/>
  <c r="J349" i="1" s="1"/>
  <c r="Q348" i="1"/>
  <c r="I348" i="1"/>
  <c r="J348" i="1" s="1"/>
  <c r="Q347" i="1"/>
  <c r="I347" i="1"/>
  <c r="J347" i="1" s="1"/>
  <c r="Q346" i="1"/>
  <c r="I346" i="1"/>
  <c r="J346" i="1" s="1"/>
  <c r="Q345" i="1"/>
  <c r="I345" i="1"/>
  <c r="J345" i="1" s="1"/>
  <c r="Q344" i="1"/>
  <c r="I344" i="1"/>
  <c r="J344" i="1" s="1"/>
  <c r="Q343" i="1"/>
  <c r="J343" i="1"/>
  <c r="I343" i="1"/>
  <c r="Q342" i="1"/>
  <c r="I342" i="1"/>
  <c r="J342" i="1" s="1"/>
  <c r="Q341" i="1"/>
  <c r="I341" i="1"/>
  <c r="J341" i="1" s="1"/>
  <c r="Q340" i="1"/>
  <c r="I340" i="1"/>
  <c r="J340" i="1" s="1"/>
  <c r="Q339" i="1"/>
  <c r="I339" i="1"/>
  <c r="J339" i="1" s="1"/>
  <c r="Q338" i="1"/>
  <c r="I338" i="1"/>
  <c r="J338" i="1" s="1"/>
  <c r="Q337" i="1"/>
  <c r="I337" i="1"/>
  <c r="J337" i="1" s="1"/>
  <c r="Q336" i="1"/>
  <c r="I336" i="1"/>
  <c r="J336" i="1" s="1"/>
  <c r="Q335" i="1"/>
  <c r="I335" i="1"/>
  <c r="J335" i="1" s="1"/>
  <c r="Q334" i="1"/>
  <c r="J334" i="1"/>
  <c r="I334" i="1"/>
  <c r="Q333" i="1"/>
  <c r="I333" i="1"/>
  <c r="J333" i="1" s="1"/>
  <c r="Q332" i="1"/>
  <c r="I332" i="1"/>
  <c r="J332" i="1" s="1"/>
  <c r="Q331" i="1"/>
  <c r="I331" i="1"/>
  <c r="J331" i="1" s="1"/>
  <c r="Q330" i="1"/>
  <c r="I330" i="1"/>
  <c r="J330" i="1" s="1"/>
  <c r="Q329" i="1"/>
  <c r="I329" i="1"/>
  <c r="J329" i="1" s="1"/>
  <c r="Q328" i="1"/>
  <c r="I328" i="1"/>
  <c r="J328" i="1" s="1"/>
  <c r="Q327" i="1"/>
  <c r="I327" i="1"/>
  <c r="J327" i="1" s="1"/>
  <c r="Q326" i="1"/>
  <c r="I326" i="1"/>
  <c r="J326" i="1" s="1"/>
  <c r="Q325" i="1"/>
  <c r="I325" i="1"/>
  <c r="J325" i="1" s="1"/>
  <c r="Q324" i="1"/>
  <c r="I324" i="1"/>
  <c r="J324" i="1" s="1"/>
  <c r="Q323" i="1"/>
  <c r="I323" i="1"/>
  <c r="J323" i="1" s="1"/>
  <c r="Q322" i="1"/>
  <c r="I322" i="1"/>
  <c r="J322" i="1" s="1"/>
  <c r="Q321" i="1"/>
  <c r="I321" i="1"/>
  <c r="J321" i="1" s="1"/>
  <c r="Q320" i="1"/>
  <c r="I320" i="1"/>
  <c r="J320" i="1" s="1"/>
  <c r="Q319" i="1"/>
  <c r="I319" i="1"/>
  <c r="J319" i="1" s="1"/>
  <c r="Q318" i="1"/>
  <c r="J318" i="1"/>
  <c r="I318" i="1"/>
  <c r="Q317" i="1"/>
  <c r="I317" i="1"/>
  <c r="J317" i="1" s="1"/>
  <c r="Q316" i="1"/>
  <c r="I316" i="1"/>
  <c r="J316" i="1" s="1"/>
  <c r="Q315" i="1"/>
  <c r="I315" i="1"/>
  <c r="J315" i="1" s="1"/>
  <c r="Q314" i="1"/>
  <c r="I314" i="1"/>
  <c r="J314" i="1" s="1"/>
  <c r="Q313" i="1"/>
  <c r="I313" i="1"/>
  <c r="J313" i="1" s="1"/>
  <c r="Q312" i="1"/>
  <c r="I312" i="1"/>
  <c r="J312" i="1" s="1"/>
  <c r="Q311" i="1"/>
  <c r="I311" i="1"/>
  <c r="J311" i="1" s="1"/>
  <c r="Q310" i="1"/>
  <c r="J310" i="1"/>
  <c r="I310" i="1"/>
  <c r="Q309" i="1"/>
  <c r="I309" i="1"/>
  <c r="J309" i="1" s="1"/>
  <c r="Q308" i="1"/>
  <c r="I308" i="1"/>
  <c r="J308" i="1" s="1"/>
  <c r="Q307" i="1"/>
  <c r="I307" i="1"/>
  <c r="J307" i="1" s="1"/>
  <c r="Q306" i="1"/>
  <c r="I306" i="1"/>
  <c r="J306" i="1" s="1"/>
  <c r="Q305" i="1"/>
  <c r="I305" i="1"/>
  <c r="J305" i="1" s="1"/>
  <c r="Q304" i="1"/>
  <c r="J304" i="1"/>
  <c r="I304" i="1"/>
  <c r="Q303" i="1"/>
  <c r="I303" i="1"/>
  <c r="J303" i="1" s="1"/>
  <c r="Q302" i="1"/>
  <c r="I302" i="1"/>
  <c r="J302" i="1" s="1"/>
  <c r="Q301" i="1"/>
  <c r="I301" i="1"/>
  <c r="J301" i="1" s="1"/>
  <c r="Q300" i="1"/>
  <c r="J300" i="1"/>
  <c r="I300" i="1"/>
  <c r="Q299" i="1"/>
  <c r="I299" i="1"/>
  <c r="J299" i="1" s="1"/>
  <c r="Q298" i="1"/>
  <c r="I298" i="1"/>
  <c r="J298" i="1" s="1"/>
  <c r="Q297" i="1"/>
  <c r="I297" i="1"/>
  <c r="J297" i="1" s="1"/>
  <c r="Q296" i="1"/>
  <c r="I296" i="1"/>
  <c r="J296" i="1" s="1"/>
  <c r="Q295" i="1"/>
  <c r="I295" i="1"/>
  <c r="J295" i="1" s="1"/>
  <c r="Q294" i="1"/>
  <c r="I294" i="1"/>
  <c r="J294" i="1" s="1"/>
  <c r="Q293" i="1"/>
  <c r="I293" i="1"/>
  <c r="J293" i="1" s="1"/>
  <c r="Q292" i="1"/>
  <c r="I292" i="1"/>
  <c r="J292" i="1" s="1"/>
  <c r="Q291" i="1"/>
  <c r="I291" i="1"/>
  <c r="J291" i="1" s="1"/>
  <c r="Q290" i="1"/>
  <c r="I290" i="1"/>
  <c r="J290" i="1" s="1"/>
  <c r="Q289" i="1"/>
  <c r="I289" i="1"/>
  <c r="J289" i="1" s="1"/>
  <c r="Q288" i="1"/>
  <c r="I288" i="1"/>
  <c r="J288" i="1" s="1"/>
  <c r="Q287" i="1"/>
  <c r="J287" i="1"/>
  <c r="I287" i="1"/>
  <c r="Q286" i="1"/>
  <c r="I286" i="1"/>
  <c r="J286" i="1" s="1"/>
  <c r="Q285" i="1"/>
  <c r="I285" i="1"/>
  <c r="J285" i="1" s="1"/>
  <c r="Q284" i="1"/>
  <c r="I284" i="1"/>
  <c r="J284" i="1" s="1"/>
  <c r="Q283" i="1"/>
  <c r="I283" i="1"/>
  <c r="J283" i="1" s="1"/>
  <c r="Q282" i="1"/>
  <c r="I282" i="1"/>
  <c r="J282" i="1" s="1"/>
  <c r="Q281" i="1"/>
  <c r="I281" i="1"/>
  <c r="J281" i="1" s="1"/>
  <c r="Q280" i="1"/>
  <c r="I280" i="1"/>
  <c r="J280" i="1" s="1"/>
  <c r="Q279" i="1"/>
  <c r="I279" i="1"/>
  <c r="J279" i="1" s="1"/>
  <c r="Q278" i="1"/>
  <c r="I278" i="1"/>
  <c r="J278" i="1" s="1"/>
  <c r="Q277" i="1"/>
  <c r="I277" i="1"/>
  <c r="J277" i="1" s="1"/>
  <c r="Q276" i="1"/>
  <c r="I276" i="1"/>
  <c r="J276" i="1" s="1"/>
  <c r="Q275" i="1"/>
  <c r="I275" i="1"/>
  <c r="J275" i="1" s="1"/>
  <c r="Q274" i="1"/>
  <c r="I274" i="1"/>
  <c r="J274" i="1" s="1"/>
  <c r="Q273" i="1"/>
  <c r="I273" i="1"/>
  <c r="J273" i="1" s="1"/>
  <c r="Q272" i="1"/>
  <c r="I272" i="1"/>
  <c r="J272" i="1" s="1"/>
  <c r="Q271" i="1"/>
  <c r="I271" i="1"/>
  <c r="J271" i="1" s="1"/>
  <c r="Q270" i="1"/>
  <c r="I270" i="1"/>
  <c r="J270" i="1" s="1"/>
  <c r="Q269" i="1"/>
  <c r="I269" i="1"/>
  <c r="J269" i="1" s="1"/>
  <c r="Q268" i="1"/>
  <c r="I268" i="1"/>
  <c r="J268" i="1" s="1"/>
  <c r="Q267" i="1"/>
  <c r="I267" i="1"/>
  <c r="J267" i="1" s="1"/>
  <c r="Q266" i="1"/>
  <c r="I266" i="1"/>
  <c r="J266" i="1" s="1"/>
  <c r="Q265" i="1"/>
  <c r="I265" i="1"/>
  <c r="J265" i="1" s="1"/>
  <c r="Q264" i="1"/>
  <c r="I264" i="1"/>
  <c r="J264" i="1" s="1"/>
  <c r="Q263" i="1"/>
  <c r="I263" i="1"/>
  <c r="J263" i="1" s="1"/>
  <c r="Q262" i="1"/>
  <c r="I262" i="1"/>
  <c r="J262" i="1" s="1"/>
  <c r="Q261" i="1"/>
  <c r="I261" i="1"/>
  <c r="J261" i="1" s="1"/>
  <c r="Q260" i="1"/>
  <c r="I260" i="1"/>
  <c r="J260" i="1" s="1"/>
  <c r="Q259" i="1"/>
  <c r="I259" i="1"/>
  <c r="J259" i="1" s="1"/>
  <c r="Q258" i="1"/>
  <c r="I258" i="1"/>
  <c r="J258" i="1" s="1"/>
  <c r="Q257" i="1"/>
  <c r="J257" i="1"/>
  <c r="I257" i="1"/>
  <c r="Q256" i="1"/>
  <c r="I256" i="1"/>
  <c r="J256" i="1" s="1"/>
  <c r="Q255" i="1"/>
  <c r="I255" i="1"/>
  <c r="J255" i="1" s="1"/>
  <c r="Q254" i="1"/>
  <c r="I254" i="1"/>
  <c r="J254" i="1" s="1"/>
  <c r="Q253" i="1"/>
  <c r="I253" i="1"/>
  <c r="J253" i="1" s="1"/>
  <c r="Q252" i="1"/>
  <c r="I252" i="1"/>
  <c r="J252" i="1" s="1"/>
  <c r="Q251" i="1"/>
  <c r="I251" i="1"/>
  <c r="J251" i="1" s="1"/>
  <c r="Q250" i="1"/>
  <c r="I250" i="1"/>
  <c r="J250" i="1" s="1"/>
  <c r="Q249" i="1"/>
  <c r="I249" i="1"/>
  <c r="J249" i="1" s="1"/>
  <c r="Q248" i="1"/>
  <c r="I248" i="1"/>
  <c r="J248" i="1" s="1"/>
  <c r="Q247" i="1"/>
  <c r="I247" i="1"/>
  <c r="J247" i="1" s="1"/>
  <c r="Q246" i="1"/>
  <c r="I246" i="1"/>
  <c r="J246" i="1" s="1"/>
  <c r="Q245" i="1"/>
  <c r="I245" i="1"/>
  <c r="J245" i="1" s="1"/>
  <c r="Q244" i="1"/>
  <c r="I244" i="1"/>
  <c r="J244" i="1" s="1"/>
  <c r="Q243" i="1"/>
  <c r="I243" i="1"/>
  <c r="J243" i="1" s="1"/>
  <c r="Q242" i="1"/>
  <c r="I242" i="1"/>
  <c r="J242" i="1" s="1"/>
  <c r="Q241" i="1"/>
  <c r="I241" i="1"/>
  <c r="J241" i="1" s="1"/>
  <c r="Q240" i="1"/>
  <c r="I240" i="1"/>
  <c r="J240" i="1" s="1"/>
  <c r="Q239" i="1"/>
  <c r="I239" i="1"/>
  <c r="J239" i="1" s="1"/>
  <c r="Q238" i="1"/>
  <c r="I238" i="1"/>
  <c r="J238" i="1" s="1"/>
  <c r="Q237" i="1"/>
  <c r="I237" i="1"/>
  <c r="J237" i="1" s="1"/>
  <c r="Q236" i="1"/>
  <c r="I236" i="1"/>
  <c r="J236" i="1" s="1"/>
  <c r="Q235" i="1"/>
  <c r="I235" i="1"/>
  <c r="J235" i="1" s="1"/>
  <c r="Q234" i="1"/>
  <c r="I234" i="1"/>
  <c r="J234" i="1" s="1"/>
  <c r="Q233" i="1"/>
  <c r="I233" i="1"/>
  <c r="J233" i="1" s="1"/>
  <c r="Q232" i="1"/>
  <c r="I232" i="1"/>
  <c r="J232" i="1" s="1"/>
  <c r="Q231" i="1"/>
  <c r="I231" i="1"/>
  <c r="J231" i="1" s="1"/>
  <c r="Q230" i="1"/>
  <c r="I230" i="1"/>
  <c r="J230" i="1" s="1"/>
  <c r="Q229" i="1"/>
  <c r="I229" i="1"/>
  <c r="J229" i="1" s="1"/>
  <c r="Q228" i="1"/>
  <c r="I228" i="1"/>
  <c r="J228" i="1" s="1"/>
  <c r="Q227" i="1"/>
  <c r="I227" i="1"/>
  <c r="J227" i="1" s="1"/>
  <c r="Q226" i="1"/>
  <c r="I226" i="1"/>
  <c r="J226" i="1" s="1"/>
  <c r="Q225" i="1"/>
  <c r="I225" i="1"/>
  <c r="J225" i="1" s="1"/>
  <c r="Q224" i="1"/>
  <c r="I224" i="1"/>
  <c r="J224" i="1" s="1"/>
  <c r="Q223" i="1"/>
  <c r="I223" i="1"/>
  <c r="J223" i="1" s="1"/>
  <c r="Q222" i="1"/>
  <c r="I222" i="1"/>
  <c r="J222" i="1" s="1"/>
  <c r="Q221" i="1"/>
  <c r="I221" i="1"/>
  <c r="J221" i="1" s="1"/>
  <c r="Q220" i="1"/>
  <c r="I220" i="1"/>
  <c r="J220" i="1" s="1"/>
  <c r="Q219" i="1"/>
  <c r="I219" i="1"/>
  <c r="J219" i="1" s="1"/>
  <c r="Q218" i="1"/>
  <c r="I218" i="1"/>
  <c r="J218" i="1" s="1"/>
  <c r="Q217" i="1"/>
  <c r="I217" i="1"/>
  <c r="J217" i="1" s="1"/>
  <c r="Q216" i="1"/>
  <c r="I216" i="1"/>
  <c r="J216" i="1" s="1"/>
  <c r="Q215" i="1"/>
  <c r="I215" i="1"/>
  <c r="J215" i="1" s="1"/>
  <c r="Q214" i="1"/>
  <c r="I214" i="1"/>
  <c r="J214" i="1" s="1"/>
  <c r="Q213" i="1"/>
  <c r="I213" i="1"/>
  <c r="J213" i="1" s="1"/>
  <c r="Q212" i="1"/>
  <c r="I212" i="1"/>
  <c r="J212" i="1" s="1"/>
  <c r="Q211" i="1"/>
  <c r="I211" i="1"/>
  <c r="J211" i="1" s="1"/>
  <c r="Q210" i="1"/>
  <c r="I210" i="1"/>
  <c r="J210" i="1" s="1"/>
  <c r="Q209" i="1"/>
  <c r="I209" i="1"/>
  <c r="J209" i="1" s="1"/>
  <c r="Q208" i="1"/>
  <c r="I208" i="1"/>
  <c r="J208" i="1" s="1"/>
  <c r="Q207" i="1"/>
  <c r="I207" i="1"/>
  <c r="J207" i="1" s="1"/>
  <c r="Q206" i="1"/>
  <c r="I206" i="1"/>
  <c r="J206" i="1" s="1"/>
  <c r="Q205" i="1"/>
  <c r="I205" i="1"/>
  <c r="J205" i="1" s="1"/>
  <c r="Q204" i="1"/>
  <c r="I204" i="1"/>
  <c r="J204" i="1" s="1"/>
  <c r="Q203" i="1"/>
  <c r="I203" i="1"/>
  <c r="J203" i="1" s="1"/>
  <c r="Q202" i="1"/>
  <c r="I202" i="1"/>
  <c r="J202" i="1" s="1"/>
  <c r="Q201" i="1"/>
  <c r="I201" i="1"/>
  <c r="J201" i="1" s="1"/>
  <c r="Q200" i="1"/>
  <c r="J200" i="1"/>
  <c r="I200" i="1"/>
  <c r="Q199" i="1"/>
  <c r="I199" i="1"/>
  <c r="J199" i="1" s="1"/>
  <c r="Q198" i="1"/>
  <c r="I198" i="1"/>
  <c r="J198" i="1" s="1"/>
  <c r="Q197" i="1"/>
  <c r="I197" i="1"/>
  <c r="J197" i="1" s="1"/>
  <c r="Q196" i="1"/>
  <c r="I196" i="1"/>
  <c r="J196" i="1" s="1"/>
  <c r="Q195" i="1"/>
  <c r="I195" i="1"/>
  <c r="J195" i="1" s="1"/>
  <c r="Q194" i="1"/>
  <c r="I194" i="1"/>
  <c r="J194" i="1" s="1"/>
  <c r="Q193" i="1"/>
  <c r="I193" i="1"/>
  <c r="J193" i="1" s="1"/>
  <c r="Q192" i="1"/>
  <c r="I192" i="1"/>
  <c r="J192" i="1" s="1"/>
  <c r="Q191" i="1"/>
  <c r="I191" i="1"/>
  <c r="J191" i="1" s="1"/>
  <c r="Q190" i="1"/>
  <c r="I190" i="1"/>
  <c r="J190" i="1" s="1"/>
  <c r="Q189" i="1"/>
  <c r="I189" i="1"/>
  <c r="J189" i="1" s="1"/>
  <c r="Q188" i="1"/>
  <c r="I188" i="1"/>
  <c r="J188" i="1" s="1"/>
  <c r="Q187" i="1"/>
  <c r="I187" i="1"/>
  <c r="J187" i="1" s="1"/>
  <c r="Q186" i="1"/>
  <c r="I186" i="1"/>
  <c r="J186" i="1" s="1"/>
  <c r="Q185" i="1"/>
  <c r="I185" i="1"/>
  <c r="J185" i="1" s="1"/>
  <c r="Q184" i="1"/>
  <c r="I184" i="1"/>
  <c r="J184" i="1" s="1"/>
  <c r="Q183" i="1"/>
  <c r="I183" i="1"/>
  <c r="J183" i="1" s="1"/>
  <c r="Q182" i="1"/>
  <c r="J182" i="1"/>
  <c r="I182" i="1"/>
  <c r="Q181" i="1"/>
  <c r="I181" i="1"/>
  <c r="J181" i="1" s="1"/>
  <c r="Q180" i="1"/>
  <c r="I180" i="1"/>
  <c r="J180" i="1" s="1"/>
  <c r="Q179" i="1"/>
  <c r="I179" i="1"/>
  <c r="J179" i="1" s="1"/>
  <c r="Q178" i="1"/>
  <c r="I178" i="1"/>
  <c r="J178" i="1" s="1"/>
  <c r="Q177" i="1"/>
  <c r="I177" i="1"/>
  <c r="J177" i="1" s="1"/>
  <c r="Q176" i="1"/>
  <c r="I176" i="1"/>
  <c r="J176" i="1" s="1"/>
  <c r="Q175" i="1"/>
  <c r="I175" i="1"/>
  <c r="J175" i="1" s="1"/>
  <c r="Q174" i="1"/>
  <c r="I174" i="1"/>
  <c r="J174" i="1" s="1"/>
  <c r="Q173" i="1"/>
  <c r="I173" i="1"/>
  <c r="J173" i="1" s="1"/>
  <c r="Q172" i="1"/>
  <c r="I172" i="1"/>
  <c r="J172" i="1" s="1"/>
  <c r="Q171" i="1"/>
  <c r="I171" i="1"/>
  <c r="J171" i="1" s="1"/>
  <c r="Q170" i="1"/>
  <c r="I170" i="1"/>
  <c r="J170" i="1" s="1"/>
  <c r="Q169" i="1"/>
  <c r="I169" i="1"/>
  <c r="J169" i="1" s="1"/>
  <c r="Q168" i="1"/>
  <c r="I168" i="1"/>
  <c r="J168" i="1" s="1"/>
  <c r="Q167" i="1"/>
  <c r="I167" i="1"/>
  <c r="J167" i="1" s="1"/>
  <c r="Q166" i="1"/>
  <c r="J166" i="1"/>
  <c r="I166" i="1"/>
  <c r="Q165" i="1"/>
  <c r="I165" i="1"/>
  <c r="J165" i="1" s="1"/>
  <c r="Q164" i="1"/>
  <c r="I164" i="1"/>
  <c r="J164" i="1" s="1"/>
  <c r="Q163" i="1"/>
  <c r="I163" i="1"/>
  <c r="J163" i="1" s="1"/>
  <c r="Q162" i="1"/>
  <c r="I162" i="1"/>
  <c r="J162" i="1" s="1"/>
  <c r="Q161" i="1"/>
  <c r="I161" i="1"/>
  <c r="J161" i="1" s="1"/>
  <c r="Q160" i="1"/>
  <c r="I160" i="1"/>
  <c r="J160" i="1" s="1"/>
  <c r="Q159" i="1"/>
  <c r="J159" i="1"/>
  <c r="I159" i="1"/>
  <c r="Q158" i="1"/>
  <c r="I158" i="1"/>
  <c r="J158" i="1" s="1"/>
  <c r="Q157" i="1"/>
  <c r="I157" i="1"/>
  <c r="J157" i="1" s="1"/>
  <c r="Q156" i="1"/>
  <c r="I156" i="1"/>
  <c r="J156" i="1" s="1"/>
  <c r="Q155" i="1"/>
  <c r="I155" i="1"/>
  <c r="J155" i="1" s="1"/>
  <c r="Q154" i="1"/>
  <c r="I154" i="1"/>
  <c r="J154" i="1" s="1"/>
  <c r="Q153" i="1"/>
  <c r="I153" i="1"/>
  <c r="J153" i="1" s="1"/>
  <c r="Q152" i="1"/>
  <c r="I152" i="1"/>
  <c r="J152" i="1" s="1"/>
  <c r="Q151" i="1"/>
  <c r="I151" i="1"/>
  <c r="J151" i="1" s="1"/>
  <c r="Q150" i="1"/>
  <c r="I150" i="1"/>
  <c r="J150" i="1" s="1"/>
  <c r="Q149" i="1"/>
  <c r="I149" i="1"/>
  <c r="J149" i="1" s="1"/>
  <c r="Q148" i="1"/>
  <c r="J148" i="1"/>
  <c r="I148" i="1"/>
  <c r="Q147" i="1"/>
  <c r="I147" i="1"/>
  <c r="J147" i="1" s="1"/>
  <c r="Q146" i="1"/>
  <c r="I146" i="1"/>
  <c r="J146" i="1" s="1"/>
  <c r="Q145" i="1"/>
  <c r="I145" i="1"/>
  <c r="J145" i="1" s="1"/>
  <c r="Q144" i="1"/>
  <c r="I144" i="1"/>
  <c r="J144" i="1" s="1"/>
  <c r="Q143" i="1"/>
  <c r="I143" i="1"/>
  <c r="J143" i="1" s="1"/>
  <c r="Q142" i="1"/>
  <c r="I142" i="1"/>
  <c r="J142" i="1" s="1"/>
  <c r="Q141" i="1"/>
  <c r="I141" i="1"/>
  <c r="J141" i="1" s="1"/>
  <c r="Q140" i="1"/>
  <c r="I140" i="1"/>
  <c r="J140" i="1" s="1"/>
  <c r="Q139" i="1"/>
  <c r="I139" i="1"/>
  <c r="J139" i="1" s="1"/>
  <c r="Q138" i="1"/>
  <c r="I138" i="1"/>
  <c r="J138" i="1" s="1"/>
  <c r="Q137" i="1"/>
  <c r="I137" i="1"/>
  <c r="J137" i="1" s="1"/>
  <c r="Q136" i="1"/>
  <c r="I136" i="1"/>
  <c r="J136" i="1" s="1"/>
  <c r="Q135" i="1"/>
  <c r="I135" i="1"/>
  <c r="J135" i="1" s="1"/>
  <c r="Q134" i="1"/>
  <c r="I134" i="1"/>
  <c r="J134" i="1" s="1"/>
  <c r="Q133" i="1"/>
  <c r="I133" i="1"/>
  <c r="J133" i="1" s="1"/>
  <c r="Q132" i="1"/>
  <c r="I132" i="1"/>
  <c r="J132" i="1" s="1"/>
  <c r="Q131" i="1"/>
  <c r="I131" i="1"/>
  <c r="J131" i="1" s="1"/>
  <c r="Q130" i="1"/>
  <c r="I130" i="1"/>
  <c r="J130" i="1" s="1"/>
  <c r="Q129" i="1"/>
  <c r="I129" i="1"/>
  <c r="J129" i="1" s="1"/>
  <c r="Q128" i="1"/>
  <c r="I128" i="1"/>
  <c r="J128" i="1" s="1"/>
  <c r="Q127" i="1"/>
  <c r="I127" i="1"/>
  <c r="J127" i="1" s="1"/>
  <c r="Q126" i="1"/>
  <c r="I126" i="1"/>
  <c r="J126" i="1" s="1"/>
  <c r="Q125" i="1"/>
  <c r="I125" i="1"/>
  <c r="J125" i="1" s="1"/>
  <c r="Q124" i="1"/>
  <c r="I124" i="1"/>
  <c r="J124" i="1" s="1"/>
  <c r="Q123" i="1"/>
  <c r="I123" i="1"/>
  <c r="J123" i="1" s="1"/>
  <c r="Q122" i="1"/>
  <c r="I122" i="1"/>
  <c r="J122" i="1" s="1"/>
  <c r="Q121" i="1"/>
  <c r="I121" i="1"/>
  <c r="J121" i="1" s="1"/>
  <c r="Q120" i="1"/>
  <c r="I120" i="1"/>
  <c r="J120" i="1" s="1"/>
  <c r="Q119" i="1"/>
  <c r="I119" i="1"/>
  <c r="J119" i="1" s="1"/>
  <c r="Q118" i="1"/>
  <c r="I118" i="1"/>
  <c r="J118" i="1" s="1"/>
  <c r="Q117" i="1"/>
  <c r="I117" i="1"/>
  <c r="J117" i="1" s="1"/>
  <c r="Q116" i="1"/>
  <c r="I116" i="1"/>
  <c r="J116" i="1" s="1"/>
  <c r="Q115" i="1"/>
  <c r="I115" i="1"/>
  <c r="J115" i="1" s="1"/>
  <c r="Q114" i="1"/>
  <c r="I114" i="1"/>
  <c r="J114" i="1" s="1"/>
  <c r="Q113" i="1"/>
  <c r="I113" i="1"/>
  <c r="J113" i="1" s="1"/>
  <c r="Q112" i="1"/>
  <c r="I112" i="1"/>
  <c r="J112" i="1" s="1"/>
  <c r="Q111" i="1"/>
  <c r="I111" i="1"/>
  <c r="J111" i="1" s="1"/>
  <c r="Q110" i="1"/>
  <c r="I110" i="1"/>
  <c r="J110" i="1" s="1"/>
  <c r="Q109" i="1"/>
  <c r="I109" i="1"/>
  <c r="J109" i="1" s="1"/>
  <c r="Q108" i="1"/>
  <c r="I108" i="1"/>
  <c r="J108" i="1" s="1"/>
  <c r="Q107" i="1"/>
  <c r="I107" i="1"/>
  <c r="J107" i="1" s="1"/>
  <c r="Q106" i="1"/>
  <c r="I106" i="1"/>
  <c r="J106" i="1" s="1"/>
  <c r="Q105" i="1"/>
  <c r="I105" i="1"/>
  <c r="J105" i="1" s="1"/>
  <c r="Q104" i="1"/>
  <c r="I104" i="1"/>
  <c r="J104" i="1" s="1"/>
  <c r="Q103" i="1"/>
  <c r="I103" i="1"/>
  <c r="J103" i="1" s="1"/>
  <c r="Q102" i="1"/>
  <c r="I102" i="1"/>
  <c r="J102" i="1" s="1"/>
  <c r="Q101" i="1"/>
  <c r="I101" i="1"/>
  <c r="J101" i="1" s="1"/>
  <c r="Q100" i="1"/>
  <c r="I100" i="1"/>
  <c r="J100" i="1" s="1"/>
  <c r="Q99" i="1"/>
  <c r="I99" i="1"/>
  <c r="J99" i="1" s="1"/>
  <c r="Q98" i="1"/>
  <c r="I98" i="1"/>
  <c r="J98" i="1" s="1"/>
  <c r="Q97" i="1"/>
  <c r="J97" i="1"/>
  <c r="I97" i="1"/>
  <c r="Q96" i="1"/>
  <c r="I96" i="1"/>
  <c r="J96" i="1" s="1"/>
  <c r="Q95" i="1"/>
  <c r="J95" i="1"/>
  <c r="I95" i="1"/>
  <c r="Q94" i="1"/>
  <c r="I94" i="1"/>
  <c r="J94" i="1" s="1"/>
  <c r="Q93" i="1"/>
  <c r="I93" i="1"/>
  <c r="J93" i="1" s="1"/>
  <c r="Q92" i="1"/>
  <c r="I92" i="1"/>
  <c r="J92" i="1" s="1"/>
  <c r="Q91" i="1"/>
  <c r="I91" i="1"/>
  <c r="J91" i="1" s="1"/>
  <c r="Q90" i="1"/>
  <c r="I90" i="1"/>
  <c r="J90" i="1" s="1"/>
  <c r="Q89" i="1"/>
  <c r="I89" i="1"/>
  <c r="J89" i="1" s="1"/>
  <c r="Q88" i="1"/>
  <c r="I88" i="1"/>
  <c r="J88" i="1" s="1"/>
  <c r="Q87" i="1"/>
  <c r="I87" i="1"/>
  <c r="J87" i="1" s="1"/>
  <c r="Q86" i="1"/>
  <c r="I86" i="1"/>
  <c r="J86" i="1" s="1"/>
  <c r="Q85" i="1"/>
  <c r="I85" i="1"/>
  <c r="J85" i="1" s="1"/>
  <c r="Q84" i="1"/>
  <c r="I84" i="1"/>
  <c r="J84" i="1" s="1"/>
  <c r="Q83" i="1"/>
  <c r="I83" i="1"/>
  <c r="J83" i="1" s="1"/>
  <c r="Q82" i="1"/>
  <c r="I82" i="1"/>
  <c r="J82" i="1" s="1"/>
  <c r="Q81" i="1"/>
  <c r="I81" i="1"/>
  <c r="J81" i="1" s="1"/>
  <c r="Q80" i="1"/>
  <c r="I80" i="1"/>
  <c r="J80" i="1" s="1"/>
  <c r="Q79" i="1"/>
  <c r="I79" i="1"/>
  <c r="J79" i="1" s="1"/>
  <c r="Q78" i="1"/>
  <c r="J78" i="1"/>
  <c r="I78" i="1"/>
  <c r="Q77" i="1"/>
  <c r="I77" i="1"/>
  <c r="J77" i="1" s="1"/>
  <c r="Q76" i="1"/>
  <c r="J76" i="1"/>
  <c r="I76" i="1"/>
  <c r="Q75" i="1"/>
  <c r="I75" i="1"/>
  <c r="J75" i="1" s="1"/>
  <c r="Q74" i="1"/>
  <c r="I74" i="1"/>
  <c r="J74" i="1" s="1"/>
  <c r="Q73" i="1"/>
  <c r="I73" i="1"/>
  <c r="J73" i="1" s="1"/>
  <c r="Q72" i="1"/>
  <c r="I72" i="1"/>
  <c r="J72" i="1" s="1"/>
  <c r="Q71" i="1"/>
  <c r="I71" i="1"/>
  <c r="J71" i="1" s="1"/>
  <c r="Q70" i="1"/>
  <c r="I70" i="1"/>
  <c r="J70" i="1" s="1"/>
  <c r="Q69" i="1"/>
  <c r="I69" i="1"/>
  <c r="J69" i="1" s="1"/>
  <c r="Q68" i="1"/>
  <c r="I68" i="1"/>
  <c r="J68" i="1" s="1"/>
  <c r="Q67" i="1"/>
  <c r="I67" i="1"/>
  <c r="J67" i="1" s="1"/>
  <c r="Q66" i="1"/>
  <c r="I66" i="1"/>
  <c r="J66" i="1" s="1"/>
  <c r="Q65" i="1"/>
  <c r="I65" i="1"/>
  <c r="J65" i="1" s="1"/>
  <c r="Q64" i="1"/>
  <c r="I64" i="1"/>
  <c r="J64" i="1" s="1"/>
  <c r="Q63" i="1"/>
  <c r="I63" i="1"/>
  <c r="J63" i="1" s="1"/>
  <c r="Q62" i="1"/>
  <c r="I62" i="1"/>
  <c r="J62" i="1" s="1"/>
  <c r="Q61" i="1"/>
  <c r="I61" i="1"/>
  <c r="J61" i="1" s="1"/>
  <c r="Q60" i="1"/>
  <c r="I60" i="1"/>
  <c r="J60" i="1" s="1"/>
  <c r="Q59" i="1"/>
  <c r="I59" i="1"/>
  <c r="J59" i="1" s="1"/>
  <c r="Q58" i="1"/>
  <c r="I58" i="1"/>
  <c r="J58" i="1" s="1"/>
  <c r="Q57" i="1"/>
  <c r="I57" i="1"/>
  <c r="J57" i="1" s="1"/>
  <c r="Q56" i="1"/>
  <c r="I56" i="1"/>
  <c r="J56" i="1" s="1"/>
  <c r="Q55" i="1"/>
  <c r="I55" i="1"/>
  <c r="J55" i="1" s="1"/>
  <c r="Q54" i="1"/>
  <c r="I54" i="1"/>
  <c r="J54" i="1" s="1"/>
  <c r="Q53" i="1"/>
  <c r="I53" i="1"/>
  <c r="J53" i="1" s="1"/>
  <c r="Q52" i="1"/>
  <c r="I52" i="1"/>
  <c r="J52" i="1" s="1"/>
  <c r="Q51" i="1"/>
  <c r="I51" i="1"/>
  <c r="J51" i="1" s="1"/>
  <c r="Q50" i="1"/>
  <c r="I50" i="1"/>
  <c r="J50" i="1" s="1"/>
  <c r="Q49" i="1"/>
  <c r="I49" i="1"/>
  <c r="J49" i="1" s="1"/>
  <c r="Q48" i="1"/>
  <c r="I48" i="1"/>
  <c r="J48" i="1" s="1"/>
  <c r="Q47" i="1"/>
  <c r="I47" i="1"/>
  <c r="J47" i="1" s="1"/>
  <c r="Q46" i="1"/>
  <c r="I46" i="1"/>
  <c r="J46" i="1" s="1"/>
  <c r="Q45" i="1"/>
  <c r="I45" i="1"/>
  <c r="J45" i="1" s="1"/>
  <c r="Q44" i="1"/>
  <c r="I44" i="1"/>
  <c r="J44" i="1" s="1"/>
  <c r="Q43" i="1"/>
  <c r="I43" i="1"/>
  <c r="J43" i="1" s="1"/>
  <c r="Q42" i="1"/>
  <c r="I42" i="1"/>
  <c r="J42" i="1" s="1"/>
  <c r="Q41" i="1"/>
  <c r="I41" i="1"/>
  <c r="J41" i="1" s="1"/>
  <c r="Q40" i="1"/>
  <c r="I40" i="1"/>
  <c r="J40" i="1" s="1"/>
  <c r="Q39" i="1"/>
  <c r="I39" i="1"/>
  <c r="J39" i="1" s="1"/>
  <c r="Q38" i="1"/>
  <c r="I38" i="1"/>
  <c r="J38" i="1" s="1"/>
  <c r="Q37" i="1"/>
  <c r="I37" i="1"/>
  <c r="J37" i="1" s="1"/>
  <c r="Q36" i="1"/>
  <c r="I36" i="1"/>
  <c r="J36" i="1" s="1"/>
  <c r="Q35" i="1"/>
  <c r="I35" i="1"/>
  <c r="J35" i="1" s="1"/>
  <c r="Q34" i="1"/>
  <c r="I34" i="1"/>
  <c r="J34" i="1" s="1"/>
  <c r="Q33" i="1"/>
  <c r="I33" i="1"/>
  <c r="J33" i="1" s="1"/>
  <c r="Q32" i="1"/>
  <c r="I32" i="1"/>
  <c r="J32" i="1" s="1"/>
  <c r="Q31" i="1"/>
  <c r="I31" i="1"/>
  <c r="J31" i="1" s="1"/>
  <c r="Q30" i="1"/>
  <c r="I30" i="1"/>
  <c r="J30" i="1" s="1"/>
  <c r="Q29" i="1"/>
  <c r="I29" i="1"/>
  <c r="J29" i="1" s="1"/>
  <c r="Q28" i="1"/>
  <c r="I28" i="1"/>
  <c r="J28" i="1" s="1"/>
  <c r="Q27" i="1"/>
  <c r="I27" i="1"/>
  <c r="J27" i="1" s="1"/>
  <c r="Q26" i="1"/>
  <c r="I26" i="1"/>
  <c r="J26" i="1" s="1"/>
  <c r="Q25" i="1"/>
  <c r="I25" i="1"/>
  <c r="J25" i="1" s="1"/>
  <c r="Q24" i="1"/>
  <c r="I24" i="1"/>
  <c r="J24" i="1" s="1"/>
  <c r="Q23" i="1"/>
  <c r="I23" i="1"/>
  <c r="J23" i="1" s="1"/>
  <c r="Q22" i="1"/>
  <c r="I22" i="1"/>
  <c r="J22" i="1" s="1"/>
  <c r="Q21" i="1"/>
  <c r="I21" i="1"/>
  <c r="J21" i="1" s="1"/>
  <c r="Q20" i="1"/>
  <c r="I20" i="1"/>
  <c r="J20" i="1" s="1"/>
  <c r="Q19" i="1"/>
  <c r="I19" i="1"/>
  <c r="J19" i="1" s="1"/>
  <c r="Q18" i="1"/>
  <c r="I18" i="1"/>
  <c r="J18" i="1" s="1"/>
  <c r="Q17" i="1"/>
  <c r="I17" i="1"/>
  <c r="J17" i="1" s="1"/>
  <c r="Q16" i="1"/>
  <c r="I16" i="1"/>
  <c r="J16" i="1" s="1"/>
  <c r="Q15" i="1"/>
  <c r="I15" i="1"/>
  <c r="J15" i="1" s="1"/>
  <c r="Q14" i="1"/>
  <c r="I14" i="1"/>
  <c r="J14" i="1" s="1"/>
  <c r="Q13" i="1"/>
  <c r="I13" i="1"/>
  <c r="J13" i="1" s="1"/>
  <c r="Q12" i="1"/>
  <c r="J12" i="1"/>
  <c r="I12" i="1"/>
  <c r="Q11" i="1"/>
  <c r="I11" i="1"/>
  <c r="J11" i="1" s="1"/>
  <c r="Q10" i="1"/>
  <c r="I10" i="1"/>
  <c r="J10" i="1" s="1"/>
  <c r="Q9" i="1"/>
  <c r="I9" i="1"/>
  <c r="J9" i="1" s="1"/>
  <c r="Q8" i="1"/>
  <c r="I8" i="1"/>
  <c r="J8" i="1" s="1"/>
  <c r="Q7" i="1"/>
  <c r="J7" i="1"/>
  <c r="I7" i="1"/>
  <c r="AJ6" i="1"/>
  <c r="Q6" i="1"/>
  <c r="I6" i="1"/>
  <c r="J6" i="1" s="1"/>
  <c r="AJ5" i="1"/>
  <c r="Q5" i="1"/>
  <c r="I5" i="1"/>
  <c r="J5" i="1" s="1"/>
  <c r="AJ4" i="1"/>
  <c r="Q4" i="1"/>
  <c r="I4" i="1"/>
  <c r="J4" i="1" s="1"/>
  <c r="AJ3" i="1"/>
  <c r="Q3" i="1"/>
  <c r="I3" i="1"/>
  <c r="J3" i="1" s="1"/>
  <c r="AJ2" i="1"/>
  <c r="Q2" i="1"/>
  <c r="I2" i="1"/>
  <c r="D12" i="4" l="1"/>
  <c r="J1983" i="1"/>
  <c r="C12" i="4"/>
  <c r="J1936" i="1"/>
  <c r="D11" i="4"/>
  <c r="C11" i="4"/>
  <c r="C40" i="4"/>
  <c r="D25" i="4"/>
  <c r="J1906" i="1"/>
  <c r="C4" i="4"/>
  <c r="C8" i="4"/>
  <c r="D8" i="4"/>
  <c r="D9" i="4"/>
  <c r="C14" i="4"/>
  <c r="D14" i="4"/>
  <c r="C24" i="4"/>
  <c r="D24" i="4"/>
  <c r="C26" i="4"/>
  <c r="C9" i="4"/>
  <c r="D4" i="4"/>
  <c r="D26" i="4"/>
  <c r="C25" i="4"/>
  <c r="J2" i="1"/>
  <c r="D40" i="4"/>
</calcChain>
</file>

<file path=xl/sharedStrings.xml><?xml version="1.0" encoding="utf-8"?>
<sst xmlns="http://schemas.openxmlformats.org/spreadsheetml/2006/main" count="13052" uniqueCount="1749">
  <si>
    <t>Order ID</t>
  </si>
  <si>
    <t>Customer ID</t>
  </si>
  <si>
    <t>SalesPerson</t>
  </si>
  <si>
    <t>Order Date</t>
  </si>
  <si>
    <t>Order Priority</t>
  </si>
  <si>
    <t>SKU</t>
  </si>
  <si>
    <t>Order Quantity</t>
  </si>
  <si>
    <t>Unit Sell Price</t>
  </si>
  <si>
    <t>Gross</t>
  </si>
  <si>
    <t>Price Segmentations</t>
  </si>
  <si>
    <t>Context</t>
  </si>
  <si>
    <t>Discount</t>
  </si>
  <si>
    <t>Shipping Amount</t>
  </si>
  <si>
    <t>Ship Mode</t>
  </si>
  <si>
    <t>Product Container</t>
  </si>
  <si>
    <t>Ship Date</t>
  </si>
  <si>
    <t>JOT Delivery</t>
  </si>
  <si>
    <t>Result</t>
  </si>
  <si>
    <t>Note</t>
  </si>
  <si>
    <t>Used Formula</t>
  </si>
  <si>
    <t>C508</t>
  </si>
  <si>
    <t>Bob</t>
  </si>
  <si>
    <t>Not Specified</t>
  </si>
  <si>
    <t>SKU947</t>
  </si>
  <si>
    <t>&lt;1000 = low , otherwise high</t>
  </si>
  <si>
    <t>Express Air</t>
  </si>
  <si>
    <t>Large Box</t>
  </si>
  <si>
    <t>Total Sum</t>
  </si>
  <si>
    <t>sum</t>
  </si>
  <si>
    <t>C372</t>
  </si>
  <si>
    <t>John</t>
  </si>
  <si>
    <t>High</t>
  </si>
  <si>
    <t>SKU937</t>
  </si>
  <si>
    <t>Regular Air</t>
  </si>
  <si>
    <t>Small Box</t>
  </si>
  <si>
    <t>Order Qty when ship mode is Express</t>
  </si>
  <si>
    <t>sumif</t>
  </si>
  <si>
    <t>C212</t>
  </si>
  <si>
    <t>Critical</t>
  </si>
  <si>
    <t>SKU363</t>
  </si>
  <si>
    <t>Order Qty when ship mode is Express AND Large Box</t>
  </si>
  <si>
    <t>sumifs</t>
  </si>
  <si>
    <t>C015</t>
  </si>
  <si>
    <t>Low</t>
  </si>
  <si>
    <t>SKU052</t>
  </si>
  <si>
    <t>Delivery Truck</t>
  </si>
  <si>
    <t>Jumbo Drum</t>
  </si>
  <si>
    <t>MIN QTY</t>
  </si>
  <si>
    <t>SKU063</t>
  </si>
  <si>
    <t>Sales_ZarinHasan</t>
  </si>
  <si>
    <t>MAX QTY</t>
  </si>
  <si>
    <t>Richard</t>
  </si>
  <si>
    <t>SKU902</t>
  </si>
  <si>
    <t>C256</t>
  </si>
  <si>
    <t>SKU557</t>
  </si>
  <si>
    <t>Wrap Bag</t>
  </si>
  <si>
    <t>SKU603</t>
  </si>
  <si>
    <t>C089</t>
  </si>
  <si>
    <t>SKU731</t>
  </si>
  <si>
    <t>SKU1244</t>
  </si>
  <si>
    <t>C591</t>
  </si>
  <si>
    <t>SKU352</t>
  </si>
  <si>
    <t>SKU235</t>
  </si>
  <si>
    <t>Jumbo Box</t>
  </si>
  <si>
    <t>C036</t>
  </si>
  <si>
    <t>SKU989</t>
  </si>
  <si>
    <t>SKU1128</t>
  </si>
  <si>
    <t>SKU593</t>
  </si>
  <si>
    <t>C023</t>
  </si>
  <si>
    <t>SKU766</t>
  </si>
  <si>
    <t>C453</t>
  </si>
  <si>
    <t>SKU083</t>
  </si>
  <si>
    <t>Medium Box</t>
  </si>
  <si>
    <t>C042</t>
  </si>
  <si>
    <t>SKU1124</t>
  </si>
  <si>
    <t>C735</t>
  </si>
  <si>
    <t>SKU370</t>
  </si>
  <si>
    <t>SKU540</t>
  </si>
  <si>
    <t>C206</t>
  </si>
  <si>
    <t>SKU073</t>
  </si>
  <si>
    <t>C731</t>
  </si>
  <si>
    <t>SKU1092</t>
  </si>
  <si>
    <t>C507</t>
  </si>
  <si>
    <t>SKU1034</t>
  </si>
  <si>
    <t>Small Pack</t>
  </si>
  <si>
    <t>SKU1148</t>
  </si>
  <si>
    <t>C495</t>
  </si>
  <si>
    <t>SKU057</t>
  </si>
  <si>
    <t>C602</t>
  </si>
  <si>
    <t>SKU156</t>
  </si>
  <si>
    <t>SKU183</t>
  </si>
  <si>
    <t>SKU1123</t>
  </si>
  <si>
    <t>C199</t>
  </si>
  <si>
    <t>SKU065</t>
  </si>
  <si>
    <t>SKU054</t>
  </si>
  <si>
    <t>SKU202</t>
  </si>
  <si>
    <t>SKU251</t>
  </si>
  <si>
    <t>SKU1143</t>
  </si>
  <si>
    <t>C241</t>
  </si>
  <si>
    <t>SKU578</t>
  </si>
  <si>
    <t>C780</t>
  </si>
  <si>
    <t>Medium</t>
  </si>
  <si>
    <t>C648</t>
  </si>
  <si>
    <t>SKU567</t>
  </si>
  <si>
    <t>C408</t>
  </si>
  <si>
    <t>SKU022</t>
  </si>
  <si>
    <t>C177</t>
  </si>
  <si>
    <t>SKU008</t>
  </si>
  <si>
    <t>C784</t>
  </si>
  <si>
    <t>SKU412</t>
  </si>
  <si>
    <t>SKU169</t>
  </si>
  <si>
    <t>C181</t>
  </si>
  <si>
    <t>SKU068</t>
  </si>
  <si>
    <t>SKU906</t>
  </si>
  <si>
    <t>SKU1194</t>
  </si>
  <si>
    <t>C555</t>
  </si>
  <si>
    <t>SKU821</t>
  </si>
  <si>
    <t>C771</t>
  </si>
  <si>
    <t>SKU978</t>
  </si>
  <si>
    <t>SKU629</t>
  </si>
  <si>
    <t>C493</t>
  </si>
  <si>
    <t>SKU727</t>
  </si>
  <si>
    <t>SKU963</t>
  </si>
  <si>
    <t>C406</t>
  </si>
  <si>
    <t>SKU801</t>
  </si>
  <si>
    <t>SKU1209</t>
  </si>
  <si>
    <t>C302</t>
  </si>
  <si>
    <t>SKU433</t>
  </si>
  <si>
    <t>SKU1022</t>
  </si>
  <si>
    <t>C411</t>
  </si>
  <si>
    <t>SKU781</t>
  </si>
  <si>
    <t>C359</t>
  </si>
  <si>
    <t>SKU359</t>
  </si>
  <si>
    <t>SKU1074</t>
  </si>
  <si>
    <t>SKU1130</t>
  </si>
  <si>
    <t>C084</t>
  </si>
  <si>
    <t>C148</t>
  </si>
  <si>
    <t>SKU399</t>
  </si>
  <si>
    <t>C673</t>
  </si>
  <si>
    <t>SKU513</t>
  </si>
  <si>
    <t>SKU165</t>
  </si>
  <si>
    <t>C482</t>
  </si>
  <si>
    <t>SKU261</t>
  </si>
  <si>
    <t>C662</t>
  </si>
  <si>
    <t>SKU391</t>
  </si>
  <si>
    <t>C398</t>
  </si>
  <si>
    <t>SKU501</t>
  </si>
  <si>
    <t>C584</t>
  </si>
  <si>
    <t>SKU734</t>
  </si>
  <si>
    <t>C498</t>
  </si>
  <si>
    <t>SKU799</t>
  </si>
  <si>
    <t>C794</t>
  </si>
  <si>
    <t>SKU835</t>
  </si>
  <si>
    <t>C083</t>
  </si>
  <si>
    <t>SKU1225</t>
  </si>
  <si>
    <t>C188</t>
  </si>
  <si>
    <t>SKU750</t>
  </si>
  <si>
    <t>SKU338</t>
  </si>
  <si>
    <t>SKU797</t>
  </si>
  <si>
    <t>C450</t>
  </si>
  <si>
    <t>SKU012</t>
  </si>
  <si>
    <t>SKU779</t>
  </si>
  <si>
    <t>C692</t>
  </si>
  <si>
    <t>SKU481</t>
  </si>
  <si>
    <t>C489</t>
  </si>
  <si>
    <t>SKU988</t>
  </si>
  <si>
    <t>SKU923</t>
  </si>
  <si>
    <t>C201</t>
  </si>
  <si>
    <t>SKU122</t>
  </si>
  <si>
    <t>C642</t>
  </si>
  <si>
    <t>SKU1012</t>
  </si>
  <si>
    <t>C307</t>
  </si>
  <si>
    <t>SKU1016</t>
  </si>
  <si>
    <t>C539</t>
  </si>
  <si>
    <t>SKU120</t>
  </si>
  <si>
    <t>SKU1125</t>
  </si>
  <si>
    <t>SKU705</t>
  </si>
  <si>
    <t>C011</t>
  </si>
  <si>
    <t>SKU1063</t>
  </si>
  <si>
    <t>C101</t>
  </si>
  <si>
    <t>SKU209</t>
  </si>
  <si>
    <t>SKU300</t>
  </si>
  <si>
    <t>SKU137</t>
  </si>
  <si>
    <t>SKU612</t>
  </si>
  <si>
    <t>C035</t>
  </si>
  <si>
    <t>SKU1116</t>
  </si>
  <si>
    <t>C320</t>
  </si>
  <si>
    <t>SKU273</t>
  </si>
  <si>
    <t>C637</t>
  </si>
  <si>
    <t>SKU812</t>
  </si>
  <si>
    <t>C167</t>
  </si>
  <si>
    <t>SKU922</t>
  </si>
  <si>
    <t>C475</t>
  </si>
  <si>
    <t>SKU1054</t>
  </si>
  <si>
    <t>C315</t>
  </si>
  <si>
    <t>SKU045</t>
  </si>
  <si>
    <t>SKU464</t>
  </si>
  <si>
    <t>SKU845</t>
  </si>
  <si>
    <t>C537</t>
  </si>
  <si>
    <t>SKU152</t>
  </si>
  <si>
    <t>C545</t>
  </si>
  <si>
    <t>SKU631</t>
  </si>
  <si>
    <t>C112</t>
  </si>
  <si>
    <t>SKU638</t>
  </si>
  <si>
    <t>C174</t>
  </si>
  <si>
    <t>SKU309</t>
  </si>
  <si>
    <t>SKU1115</t>
  </si>
  <si>
    <t>SKU659</t>
  </si>
  <si>
    <t>C758</t>
  </si>
  <si>
    <t>SKU258</t>
  </si>
  <si>
    <t>SKU497</t>
  </si>
  <si>
    <t>SKU111</t>
  </si>
  <si>
    <t>SKU796</t>
  </si>
  <si>
    <t>C367</t>
  </si>
  <si>
    <t>SKU1108</t>
  </si>
  <si>
    <t>C736</t>
  </si>
  <si>
    <t>SKU1122</t>
  </si>
  <si>
    <t>SKU053</t>
  </si>
  <si>
    <t>C706</t>
  </si>
  <si>
    <t>SKU564</t>
  </si>
  <si>
    <t>SKU596</t>
  </si>
  <si>
    <t>C308</t>
  </si>
  <si>
    <t>SKU358</t>
  </si>
  <si>
    <t>C030</t>
  </si>
  <si>
    <t>SKU606</t>
  </si>
  <si>
    <t>C366</t>
  </si>
  <si>
    <t>SKU087</t>
  </si>
  <si>
    <t>C031</t>
  </si>
  <si>
    <t>SKU795</t>
  </si>
  <si>
    <t>C733</t>
  </si>
  <si>
    <t>SKU379</t>
  </si>
  <si>
    <t>SKU842</t>
  </si>
  <si>
    <t>C677</t>
  </si>
  <si>
    <t>SKU194</t>
  </si>
  <si>
    <t>SKU597</t>
  </si>
  <si>
    <t>C358</t>
  </si>
  <si>
    <t>SKU862</t>
  </si>
  <si>
    <t>SKU227</t>
  </si>
  <si>
    <t>C793</t>
  </si>
  <si>
    <t>SKU813</t>
  </si>
  <si>
    <t>C384</t>
  </si>
  <si>
    <t>SKU917</t>
  </si>
  <si>
    <t>C152</t>
  </si>
  <si>
    <t>C131</t>
  </si>
  <si>
    <t>SKU502</t>
  </si>
  <si>
    <t>SKU788</t>
  </si>
  <si>
    <t>C599</t>
  </si>
  <si>
    <t>SKU324</t>
  </si>
  <si>
    <t>C392</t>
  </si>
  <si>
    <t>SKU1031</t>
  </si>
  <si>
    <t>C426</t>
  </si>
  <si>
    <t>SKU700</t>
  </si>
  <si>
    <t>C386</t>
  </si>
  <si>
    <t>SKU301</t>
  </si>
  <si>
    <t>SKU568</t>
  </si>
  <si>
    <t>C625</t>
  </si>
  <si>
    <t>SKU757</t>
  </si>
  <si>
    <t>SKU487</t>
  </si>
  <si>
    <t>SKU1163</t>
  </si>
  <si>
    <t>C266</t>
  </si>
  <si>
    <t>SKU468</t>
  </si>
  <si>
    <t>C449</t>
  </si>
  <si>
    <t>SKU1085</t>
  </si>
  <si>
    <t>C562</t>
  </si>
  <si>
    <t>SKU345</t>
  </si>
  <si>
    <t>SKU483</t>
  </si>
  <si>
    <t>SKU620</t>
  </si>
  <si>
    <t>SKU959</t>
  </si>
  <si>
    <t>C149</t>
  </si>
  <si>
    <t>SKU558</t>
  </si>
  <si>
    <t>C722</t>
  </si>
  <si>
    <t>SKU321</t>
  </si>
  <si>
    <t>SKU1103</t>
  </si>
  <si>
    <t>C061</t>
  </si>
  <si>
    <t>SKU800</t>
  </si>
  <si>
    <t>C186</t>
  </si>
  <si>
    <t>SKU005</t>
  </si>
  <si>
    <t>C738</t>
  </si>
  <si>
    <t>SKU293</t>
  </si>
  <si>
    <t>SKU432</t>
  </si>
  <si>
    <t>C003</t>
  </si>
  <si>
    <t>C062</t>
  </si>
  <si>
    <t>SKU248</t>
  </si>
  <si>
    <t>C325</t>
  </si>
  <si>
    <t>SKU463</t>
  </si>
  <si>
    <t>SKU1039</t>
  </si>
  <si>
    <t>SKU323</t>
  </si>
  <si>
    <t>SKU525</t>
  </si>
  <si>
    <t>C743</t>
  </si>
  <si>
    <t>SKU735</t>
  </si>
  <si>
    <t>C032</t>
  </si>
  <si>
    <t>SKU584</t>
  </si>
  <si>
    <t>C659</t>
  </si>
  <si>
    <t>SKU115</t>
  </si>
  <si>
    <t>C447</t>
  </si>
  <si>
    <t>SKU094</t>
  </si>
  <si>
    <t>C669</t>
  </si>
  <si>
    <t>C565</t>
  </si>
  <si>
    <t>SKU410</t>
  </si>
  <si>
    <t>C319</t>
  </si>
  <si>
    <t>SKU893</t>
  </si>
  <si>
    <t>SKU1049</t>
  </si>
  <si>
    <t>SKU119</t>
  </si>
  <si>
    <t>SKU1175</t>
  </si>
  <si>
    <t>C663</t>
  </si>
  <si>
    <t>SKU519</t>
  </si>
  <si>
    <t>SKU240</t>
  </si>
  <si>
    <t>SKU1051</t>
  </si>
  <si>
    <t>C383</t>
  </si>
  <si>
    <t>SKU866</t>
  </si>
  <si>
    <t>C785</t>
  </si>
  <si>
    <t>SKU1020</t>
  </si>
  <si>
    <t>C282</t>
  </si>
  <si>
    <t>SKU078</t>
  </si>
  <si>
    <t>SKU1076</t>
  </si>
  <si>
    <t>C526</t>
  </si>
  <si>
    <t>SKU295</t>
  </si>
  <si>
    <t>C220</t>
  </si>
  <si>
    <t>SKU290</t>
  </si>
  <si>
    <t>C187</t>
  </si>
  <si>
    <t>C455</t>
  </si>
  <si>
    <t>SKU1154</t>
  </si>
  <si>
    <t>SKU141</t>
  </si>
  <si>
    <t>C300</t>
  </si>
  <si>
    <t>SKU192</t>
  </si>
  <si>
    <t>C443</t>
  </si>
  <si>
    <t>SKU128</t>
  </si>
  <si>
    <t>SKU663</t>
  </si>
  <si>
    <t>C711</t>
  </si>
  <si>
    <t>SKU1000</t>
  </si>
  <si>
    <t>SKU233</t>
  </si>
  <si>
    <t>SKU1090</t>
  </si>
  <si>
    <t>SKU049</t>
  </si>
  <si>
    <t>SKU915</t>
  </si>
  <si>
    <t>C691</t>
  </si>
  <si>
    <t>SKU798</t>
  </si>
  <si>
    <t>SKU1260</t>
  </si>
  <si>
    <t>SKU748</t>
  </si>
  <si>
    <t>SKU849</t>
  </si>
  <si>
    <t>C166</t>
  </si>
  <si>
    <t>SKU457</t>
  </si>
  <si>
    <t>C005</t>
  </si>
  <si>
    <t>SKU660</t>
  </si>
  <si>
    <t>C124</t>
  </si>
  <si>
    <t>SKU544</t>
  </si>
  <si>
    <t>C473</t>
  </si>
  <si>
    <t>SKU001</t>
  </si>
  <si>
    <t>SKU386</t>
  </si>
  <si>
    <t>C427</t>
  </si>
  <si>
    <t>SKU1248</t>
  </si>
  <si>
    <t>C173</t>
  </si>
  <si>
    <t>SKU1035</t>
  </si>
  <si>
    <t>C275</t>
  </si>
  <si>
    <t>SKU1006</t>
  </si>
  <si>
    <t>C506</t>
  </si>
  <si>
    <t>SKU072</t>
  </si>
  <si>
    <t>SKU526</t>
  </si>
  <si>
    <t>SKU577</t>
  </si>
  <si>
    <t>C059</t>
  </si>
  <si>
    <t>SKU307</t>
  </si>
  <si>
    <t>SKU873</t>
  </si>
  <si>
    <t>C205</t>
  </si>
  <si>
    <t>SKU228</t>
  </si>
  <si>
    <t>SKU1060</t>
  </si>
  <si>
    <t>C491</t>
  </si>
  <si>
    <t>SKU545</t>
  </si>
  <si>
    <t>SKU518</t>
  </si>
  <si>
    <t>C405</t>
  </si>
  <si>
    <t>SKU1067</t>
  </si>
  <si>
    <t>C487</t>
  </si>
  <si>
    <t>SKU1112</t>
  </si>
  <si>
    <t>SKU1043</t>
  </si>
  <si>
    <t>C091</t>
  </si>
  <si>
    <t>SKU253</t>
  </si>
  <si>
    <t>C018</t>
  </si>
  <si>
    <t>SKU042</t>
  </si>
  <si>
    <t>C133</t>
  </si>
  <si>
    <t>SKU187</t>
  </si>
  <si>
    <t>SKU1188</t>
  </si>
  <si>
    <t>SKU1066</t>
  </si>
  <si>
    <t>SKU582</t>
  </si>
  <si>
    <t>C708</t>
  </si>
  <si>
    <t>SKU413</t>
  </si>
  <si>
    <t>C158</t>
  </si>
  <si>
    <t>C333</t>
  </si>
  <si>
    <t>SKU429</t>
  </si>
  <si>
    <t>SKU714</t>
  </si>
  <si>
    <t>SKU229</t>
  </si>
  <si>
    <t>C301</t>
  </si>
  <si>
    <t>SKU427</t>
  </si>
  <si>
    <t>SKU839</t>
  </si>
  <si>
    <t>C527</t>
  </si>
  <si>
    <t>SKU515</t>
  </si>
  <si>
    <t>SKU553</t>
  </si>
  <si>
    <t>SKU565</t>
  </si>
  <si>
    <t>C216</t>
  </si>
  <si>
    <t>SKU802</t>
  </si>
  <si>
    <t>C154</t>
  </si>
  <si>
    <t>SKU819</t>
  </si>
  <si>
    <t>SKU1231</t>
  </si>
  <si>
    <t>C053</t>
  </si>
  <si>
    <t>C542</t>
  </si>
  <si>
    <t>SKU574</t>
  </si>
  <si>
    <t>C629</t>
  </si>
  <si>
    <t>SKU149</t>
  </si>
  <si>
    <t>C645</t>
  </si>
  <si>
    <t>SKU1105</t>
  </si>
  <si>
    <t>SKU929</t>
  </si>
  <si>
    <t>SKU1237</t>
  </si>
  <si>
    <t>C095</t>
  </si>
  <si>
    <t>SKU1127</t>
  </si>
  <si>
    <t>C573</t>
  </si>
  <si>
    <t>SKU255</t>
  </si>
  <si>
    <t>SKU1239</t>
  </si>
  <si>
    <t>C438</t>
  </si>
  <si>
    <t>SKU224</t>
  </si>
  <si>
    <t>SKU644</t>
  </si>
  <si>
    <t>SKU940</t>
  </si>
  <si>
    <t>C646</t>
  </si>
  <si>
    <t>SKU444</t>
  </si>
  <si>
    <t>C248</t>
  </si>
  <si>
    <t>SKU1253</t>
  </si>
  <si>
    <t>C102</t>
  </si>
  <si>
    <t>C332</t>
  </si>
  <si>
    <t>SKU385</t>
  </si>
  <si>
    <t>C517</t>
  </si>
  <si>
    <t>C311</t>
  </si>
  <si>
    <t>SKU203</t>
  </si>
  <si>
    <t>C155</t>
  </si>
  <si>
    <t>C251</t>
  </si>
  <si>
    <t>SKU373</t>
  </si>
  <si>
    <t>C340</t>
  </si>
  <si>
    <t>C279</t>
  </si>
  <si>
    <t>SKU1132</t>
  </si>
  <si>
    <t>C741</t>
  </si>
  <si>
    <t>SKU092</t>
  </si>
  <si>
    <t>SKU287</t>
  </si>
  <si>
    <t>C530</t>
  </si>
  <si>
    <t>SKU039</t>
  </si>
  <si>
    <t>C638</t>
  </si>
  <si>
    <t>SKU1251</t>
  </si>
  <si>
    <t>SKU1255</t>
  </si>
  <si>
    <t>C574</t>
  </si>
  <si>
    <t>SKU1111</t>
  </si>
  <si>
    <t>C138</t>
  </si>
  <si>
    <t>SKU702</t>
  </si>
  <si>
    <t>C286</t>
  </si>
  <si>
    <t>SKU913</t>
  </si>
  <si>
    <t>C213</t>
  </si>
  <si>
    <t>SKU537</t>
  </si>
  <si>
    <t>SKU832</t>
  </si>
  <si>
    <t>SKU402</t>
  </si>
  <si>
    <t>SKU395</t>
  </si>
  <si>
    <t>SKU855</t>
  </si>
  <si>
    <t>SKU1238</t>
  </si>
  <si>
    <t>C789</t>
  </si>
  <si>
    <t>SKU456</t>
  </si>
  <si>
    <t>C777</t>
  </si>
  <si>
    <t>SKU721</t>
  </si>
  <si>
    <t>C783</t>
  </si>
  <si>
    <t>SKU1110</t>
  </si>
  <si>
    <t>SKU706</t>
  </si>
  <si>
    <t>C461</t>
  </si>
  <si>
    <t>SKU019</t>
  </si>
  <si>
    <t>SKU585</t>
  </si>
  <si>
    <t>SKU208</t>
  </si>
  <si>
    <t>C352</t>
  </si>
  <si>
    <t>SKU231</t>
  </si>
  <si>
    <t>C144</t>
  </si>
  <si>
    <t>SKU241</t>
  </si>
  <si>
    <t>SKU375</t>
  </si>
  <si>
    <t>SKU548</t>
  </si>
  <si>
    <t>SKU230</t>
  </si>
  <si>
    <t>C090</t>
  </si>
  <si>
    <t>SKU925</t>
  </si>
  <si>
    <t>C617</t>
  </si>
  <si>
    <t>C541</t>
  </si>
  <si>
    <t>SKU993</t>
  </si>
  <si>
    <t>SKU174</t>
  </si>
  <si>
    <t>SKU1073</t>
  </si>
  <si>
    <t>C269</t>
  </si>
  <si>
    <t>SKU1010</t>
  </si>
  <si>
    <t>C697</t>
  </si>
  <si>
    <t>SKU492</t>
  </si>
  <si>
    <t>C209</t>
  </si>
  <si>
    <t>SKU549</t>
  </si>
  <si>
    <t>C287</t>
  </si>
  <si>
    <t>SKU451</t>
  </si>
  <si>
    <t>SKU118</t>
  </si>
  <si>
    <t>SKU130</t>
  </si>
  <si>
    <t>SKU1129</t>
  </si>
  <si>
    <t>C576</t>
  </si>
  <si>
    <t>C416</t>
  </si>
  <si>
    <t>SKU784</t>
  </si>
  <si>
    <t>SKU881</t>
  </si>
  <si>
    <t>SKU693</t>
  </si>
  <si>
    <t>C652</t>
  </si>
  <si>
    <t>SKU972</t>
  </si>
  <si>
    <t>SKU681</t>
  </si>
  <si>
    <t>SKU974</t>
  </si>
  <si>
    <t>SKU135</t>
  </si>
  <si>
    <t>C667</t>
  </si>
  <si>
    <t>SKU282</t>
  </si>
  <si>
    <t>SKU527</t>
  </si>
  <si>
    <t>SKU101</t>
  </si>
  <si>
    <t>SKU160</t>
  </si>
  <si>
    <t>C569</t>
  </si>
  <si>
    <t>C040</t>
  </si>
  <si>
    <t>SKU1068</t>
  </si>
  <si>
    <t>C609</t>
  </si>
  <si>
    <t>SKU172</t>
  </si>
  <si>
    <t>C054</t>
  </si>
  <si>
    <t>SKU1117</t>
  </si>
  <si>
    <t>C006</t>
  </si>
  <si>
    <t>SKU773</t>
  </si>
  <si>
    <t>C502</t>
  </si>
  <si>
    <t>SKU896</t>
  </si>
  <si>
    <t>C661</t>
  </si>
  <si>
    <t>SKU088</t>
  </si>
  <si>
    <t>SKU912</t>
  </si>
  <si>
    <t>C111</t>
  </si>
  <si>
    <t>SKU966</t>
  </si>
  <si>
    <t>C430</t>
  </si>
  <si>
    <t>SKU044</t>
  </si>
  <si>
    <t>C611</t>
  </si>
  <si>
    <t>SKU946</t>
  </si>
  <si>
    <t>C370</t>
  </si>
  <si>
    <t>SKU277</t>
  </si>
  <si>
    <t>C194</t>
  </si>
  <si>
    <t>SKU364</t>
  </si>
  <si>
    <t>SKU975</t>
  </si>
  <si>
    <t>C191</t>
  </si>
  <si>
    <t>SKU099</t>
  </si>
  <si>
    <t>SKU458</t>
  </si>
  <si>
    <t>C139</t>
  </si>
  <si>
    <t>SKU559</t>
  </si>
  <si>
    <t>SKU1246</t>
  </si>
  <si>
    <t>C204</t>
  </si>
  <si>
    <t>SKU1199</t>
  </si>
  <si>
    <t>C375</t>
  </si>
  <si>
    <t>SKU595</t>
  </si>
  <si>
    <t>C712</t>
  </si>
  <si>
    <t>SKU1081</t>
  </si>
  <si>
    <t>C348</t>
  </si>
  <si>
    <t>SKU259</t>
  </si>
  <si>
    <t>C436</t>
  </si>
  <si>
    <t>SKU1136</t>
  </si>
  <si>
    <t>SKU018</t>
  </si>
  <si>
    <t>SKU1236</t>
  </si>
  <si>
    <t>C719</t>
  </si>
  <si>
    <t>SKU688</t>
  </si>
  <si>
    <t>C786</t>
  </si>
  <si>
    <t>SKU411</t>
  </si>
  <si>
    <t>SKU1003</t>
  </si>
  <si>
    <t>SKU1258</t>
  </si>
  <si>
    <t>C281</t>
  </si>
  <si>
    <t>SKU589</t>
  </si>
  <si>
    <t>C561</t>
  </si>
  <si>
    <t>SKU1113</t>
  </si>
  <si>
    <t>SKU1072</t>
  </si>
  <si>
    <t>C224</t>
  </si>
  <si>
    <t>SKU1220</t>
  </si>
  <si>
    <t>SKU985</t>
  </si>
  <si>
    <t>C665</t>
  </si>
  <si>
    <t>C746</t>
  </si>
  <si>
    <t>SKU023</t>
  </si>
  <si>
    <t>C014</t>
  </si>
  <si>
    <t>SKU520</t>
  </si>
  <si>
    <t>SKU1152</t>
  </si>
  <si>
    <t>C381</t>
  </si>
  <si>
    <t>C222</t>
  </si>
  <si>
    <t>C128</t>
  </si>
  <si>
    <t>SKU051</t>
  </si>
  <si>
    <t>C318</t>
  </si>
  <si>
    <t>SKU489</t>
  </si>
  <si>
    <t>SKU987</t>
  </si>
  <si>
    <t>SKU1161</t>
  </si>
  <si>
    <t>C619</t>
  </si>
  <si>
    <t>SKU207</t>
  </si>
  <si>
    <t>SKU415</t>
  </si>
  <si>
    <t>C153</t>
  </si>
  <si>
    <t>SKU247</t>
  </si>
  <si>
    <t>C403</t>
  </si>
  <si>
    <t>C779</t>
  </si>
  <si>
    <t>SKU055</t>
  </si>
  <si>
    <t>SKU711</t>
  </si>
  <si>
    <t>C626</t>
  </si>
  <si>
    <t>SKU236</t>
  </si>
  <si>
    <t>C225</t>
  </si>
  <si>
    <t>SKU1126</t>
  </si>
  <si>
    <t>C654</t>
  </si>
  <si>
    <t>SKU1089</t>
  </si>
  <si>
    <t>C391</t>
  </si>
  <si>
    <t>C631</t>
  </si>
  <si>
    <t>C238</t>
  </si>
  <si>
    <t>C419</t>
  </si>
  <si>
    <t>SKU1202</t>
  </si>
  <si>
    <t>C520</t>
  </si>
  <si>
    <t>SKU465</t>
  </si>
  <si>
    <t>SKU1106</t>
  </si>
  <si>
    <t>SKU280</t>
  </si>
  <si>
    <t>C748</t>
  </si>
  <si>
    <t>SKU674</t>
  </si>
  <si>
    <t>C582</t>
  </si>
  <si>
    <t>SKU1084</t>
  </si>
  <si>
    <t>C329</t>
  </si>
  <si>
    <t>SKU1059</t>
  </si>
  <si>
    <t>SKU919</t>
  </si>
  <si>
    <t>SKU1197</t>
  </si>
  <si>
    <t>C180</t>
  </si>
  <si>
    <t>C226</t>
  </si>
  <si>
    <t>C454</t>
  </si>
  <si>
    <t>SKU560</t>
  </si>
  <si>
    <t>C640</t>
  </si>
  <si>
    <t>SKU007</t>
  </si>
  <si>
    <t>SKU984</t>
  </si>
  <si>
    <t>C628</t>
  </si>
  <si>
    <t>C466</t>
  </si>
  <si>
    <t>C129</t>
  </si>
  <si>
    <t>SKU342</t>
  </si>
  <si>
    <t>C132</t>
  </si>
  <si>
    <t>SKU715</t>
  </si>
  <si>
    <t>C228</t>
  </si>
  <si>
    <t>SKU1211</t>
  </si>
  <si>
    <t>C134</t>
  </si>
  <si>
    <t>SKU046</t>
  </si>
  <si>
    <t>C086</t>
  </si>
  <si>
    <t>SKU020</t>
  </si>
  <si>
    <t>SKU1198</t>
  </si>
  <si>
    <t>C546</t>
  </si>
  <si>
    <t>C557</t>
  </si>
  <si>
    <t>SKU089</t>
  </si>
  <si>
    <t>C165</t>
  </si>
  <si>
    <t>SKU1233</t>
  </si>
  <si>
    <t>SKU980</t>
  </si>
  <si>
    <t>C195</t>
  </si>
  <si>
    <t>SKU096</t>
  </si>
  <si>
    <t>C197</t>
  </si>
  <si>
    <t>SKU482</t>
  </si>
  <si>
    <t>C389</t>
  </si>
  <si>
    <t>SKU189</t>
  </si>
  <si>
    <t>C534</t>
  </si>
  <si>
    <t>SKU303</t>
  </si>
  <si>
    <t>SKU752</t>
  </si>
  <si>
    <t>C689</t>
  </si>
  <si>
    <t>SKU555</t>
  </si>
  <si>
    <t>C412</t>
  </si>
  <si>
    <t>SKU1017</t>
  </si>
  <si>
    <t>C448</t>
  </si>
  <si>
    <t>C488</t>
  </si>
  <si>
    <t>SKU684</t>
  </si>
  <si>
    <t>C747</t>
  </si>
  <si>
    <t>SKU1138</t>
  </si>
  <si>
    <t>C263</t>
  </si>
  <si>
    <t>SKU004</t>
  </si>
  <si>
    <t>C044</t>
  </si>
  <si>
    <t>C106</t>
  </si>
  <si>
    <t>SKU512</t>
  </si>
  <si>
    <t>C577</t>
  </si>
  <si>
    <t>SKU408</t>
  </si>
  <si>
    <t>SKU1099</t>
  </si>
  <si>
    <t>SKU592</t>
  </si>
  <si>
    <t>SKU1234</t>
  </si>
  <si>
    <t>C088</t>
  </si>
  <si>
    <t>SKU435</t>
  </si>
  <si>
    <t>SKU1174</t>
  </si>
  <si>
    <t>C072</t>
  </si>
  <si>
    <t>SKU880</t>
  </si>
  <si>
    <t>SKU505</t>
  </si>
  <si>
    <t>C787</t>
  </si>
  <si>
    <t>SKU190</t>
  </si>
  <si>
    <t>SKU979</t>
  </si>
  <si>
    <t>SKU024</t>
  </si>
  <si>
    <t>C262</t>
  </si>
  <si>
    <t>C769</t>
  </si>
  <si>
    <t>SKU961</t>
  </si>
  <si>
    <t>C159</t>
  </si>
  <si>
    <t>SKU710</t>
  </si>
  <si>
    <t>C766</t>
  </si>
  <si>
    <t>SKU990</t>
  </si>
  <si>
    <t>C460</t>
  </si>
  <si>
    <t>C441</t>
  </si>
  <si>
    <t>SKU977</t>
  </si>
  <si>
    <t>SKU1095</t>
  </si>
  <si>
    <t>SKU786</t>
  </si>
  <si>
    <t>C215</t>
  </si>
  <si>
    <t>C586</t>
  </si>
  <si>
    <t>SKU1023</t>
  </si>
  <si>
    <t>C346</t>
  </si>
  <si>
    <t>SKU909</t>
  </si>
  <si>
    <t>SKU733</t>
  </si>
  <si>
    <t>SKU958</t>
  </si>
  <si>
    <t>SKU436</t>
  </si>
  <si>
    <t>C792</t>
  </si>
  <si>
    <t>SKU1075</t>
  </si>
  <si>
    <t>SKU831</t>
  </si>
  <si>
    <t>C558</t>
  </si>
  <si>
    <t>SKU357</t>
  </si>
  <si>
    <t>C734</t>
  </si>
  <si>
    <t>SKU898</t>
  </si>
  <si>
    <t>C776</t>
  </si>
  <si>
    <t>C234</t>
  </si>
  <si>
    <t>SKU218</t>
  </si>
  <si>
    <t>C532</t>
  </si>
  <si>
    <t>SKU134</t>
  </si>
  <si>
    <t>C385</t>
  </si>
  <si>
    <t>SKU422</t>
  </si>
  <si>
    <t>SKU712</t>
  </si>
  <si>
    <t>SKU653</t>
  </si>
  <si>
    <t>C198</t>
  </si>
  <si>
    <t>SKU677</t>
  </si>
  <si>
    <t>C160</t>
  </si>
  <si>
    <t>SKU009</t>
  </si>
  <si>
    <t>C474</t>
  </si>
  <si>
    <t>SKU932</t>
  </si>
  <si>
    <t>C485</t>
  </si>
  <si>
    <t>SKU822</t>
  </si>
  <si>
    <t>SKU298</t>
  </si>
  <si>
    <t>C636</t>
  </si>
  <si>
    <t>C161</t>
  </si>
  <si>
    <t>SKU116</t>
  </si>
  <si>
    <t>SKU1141</t>
  </si>
  <si>
    <t>SKU326</t>
  </si>
  <si>
    <t>SKU426</t>
  </si>
  <si>
    <t>SKU1033</t>
  </si>
  <si>
    <t>C328</t>
  </si>
  <si>
    <t>SKU575</t>
  </si>
  <si>
    <t>C364</t>
  </si>
  <si>
    <t>SKU615</t>
  </si>
  <si>
    <t>SKU934</t>
  </si>
  <si>
    <t>C237</t>
  </si>
  <si>
    <t>SKU043</t>
  </si>
  <si>
    <t>SKU161</t>
  </si>
  <si>
    <t>C207</t>
  </si>
  <si>
    <t>SKU1091</t>
  </si>
  <si>
    <t>C612</t>
  </si>
  <si>
    <t>SKU166</t>
  </si>
  <si>
    <t>SKU675</t>
  </si>
  <si>
    <t>C254</t>
  </si>
  <si>
    <t>C666</t>
  </si>
  <si>
    <t>C396</t>
  </si>
  <si>
    <t>C310</t>
  </si>
  <si>
    <t>SKU566</t>
  </si>
  <si>
    <t>C580</t>
  </si>
  <si>
    <t>C764</t>
  </si>
  <si>
    <t>C064</t>
  </si>
  <si>
    <t>C291</t>
  </si>
  <si>
    <t>SKU336</t>
  </si>
  <si>
    <t>SKU1200</t>
  </si>
  <si>
    <t>C752</t>
  </si>
  <si>
    <t>SKU1046</t>
  </si>
  <si>
    <t>C240</t>
  </si>
  <si>
    <t>SKU1195</t>
  </si>
  <si>
    <t>SKU416</t>
  </si>
  <si>
    <t>SKU994</t>
  </si>
  <si>
    <t>SKU302</t>
  </si>
  <si>
    <t>C423</t>
  </si>
  <si>
    <t>SKU066</t>
  </si>
  <si>
    <t>C684</t>
  </si>
  <si>
    <t>SKU580</t>
  </si>
  <si>
    <t>SKU318</t>
  </si>
  <si>
    <t>SKU658</t>
  </si>
  <si>
    <t>C051</t>
  </si>
  <si>
    <t>SKU048</t>
  </si>
  <si>
    <t>SKU722</t>
  </si>
  <si>
    <t>SKU397</t>
  </si>
  <si>
    <t>C583</t>
  </si>
  <si>
    <t>SKU1191</t>
  </si>
  <si>
    <t>SKU890</t>
  </si>
  <si>
    <t>C274</t>
  </si>
  <si>
    <t>SKU350</t>
  </si>
  <si>
    <t>SKU168</t>
  </si>
  <si>
    <t>C685</t>
  </si>
  <si>
    <t>SKU768</t>
  </si>
  <si>
    <t>C322</t>
  </si>
  <si>
    <t>SKU1193</t>
  </si>
  <si>
    <t>C362</t>
  </si>
  <si>
    <t>SKU884</t>
  </si>
  <si>
    <t>C536</t>
  </si>
  <si>
    <t>C208</t>
  </si>
  <si>
    <t>SKU838</t>
  </si>
  <si>
    <t>C022</t>
  </si>
  <si>
    <t>SKU003</t>
  </si>
  <si>
    <t>SKU106</t>
  </si>
  <si>
    <t>SKU1159</t>
  </si>
  <si>
    <t>C516</t>
  </si>
  <si>
    <t>C770</t>
  </si>
  <si>
    <t>SKU916</t>
  </si>
  <si>
    <t>C176</t>
  </si>
  <si>
    <t>SKU1021</t>
  </si>
  <si>
    <t>C156</t>
  </si>
  <si>
    <t>SKU158</t>
  </si>
  <si>
    <t>C581</t>
  </si>
  <si>
    <t>SKU510</t>
  </si>
  <si>
    <t>SKU490</t>
  </si>
  <si>
    <t>SKU131</t>
  </si>
  <si>
    <t>C312</t>
  </si>
  <si>
    <t>SKU1208</t>
  </si>
  <si>
    <t>C587</t>
  </si>
  <si>
    <t>C440</t>
  </si>
  <si>
    <t>SKU276</t>
  </si>
  <si>
    <t>C360</t>
  </si>
  <si>
    <t>SKU1057</t>
  </si>
  <si>
    <t>SKU476</t>
  </si>
  <si>
    <t>C723</t>
  </si>
  <si>
    <t>SKU652</t>
  </si>
  <si>
    <t>C658</t>
  </si>
  <si>
    <t>SKU1156</t>
  </si>
  <si>
    <t>SKU785</t>
  </si>
  <si>
    <t>C260</t>
  </si>
  <si>
    <t>SKU310</t>
  </si>
  <si>
    <t>SKU257</t>
  </si>
  <si>
    <t>C657</t>
  </si>
  <si>
    <t>SKU110</t>
  </si>
  <si>
    <t>C280</t>
  </si>
  <si>
    <t>SKU1235</t>
  </si>
  <si>
    <t>SKU992</t>
  </si>
  <si>
    <t>SKU790</t>
  </si>
  <si>
    <t>C696</t>
  </si>
  <si>
    <t>SKU879</t>
  </si>
  <si>
    <t>C245</t>
  </si>
  <si>
    <t>SKU824</t>
  </si>
  <si>
    <t>SKU388</t>
  </si>
  <si>
    <t>C257</t>
  </si>
  <si>
    <t>SKU193</t>
  </si>
  <si>
    <t>C100</t>
  </si>
  <si>
    <t>SKU1082</t>
  </si>
  <si>
    <t>C211</t>
  </si>
  <si>
    <t>SKU232</t>
  </si>
  <si>
    <t>C098</t>
  </si>
  <si>
    <t>SKU354</t>
  </si>
  <si>
    <t>SKU542</t>
  </si>
  <si>
    <t>C660</t>
  </si>
  <si>
    <t>SKU956</t>
  </si>
  <si>
    <t>SKU382</t>
  </si>
  <si>
    <t>SKU1096</t>
  </si>
  <si>
    <t>SKU441</t>
  </si>
  <si>
    <t>C627</t>
  </si>
  <si>
    <t>C210</t>
  </si>
  <si>
    <t>C077</t>
  </si>
  <si>
    <t>SKU976</t>
  </si>
  <si>
    <t>SKU329</t>
  </si>
  <si>
    <t>SKU082</t>
  </si>
  <si>
    <t>C347</t>
  </si>
  <si>
    <t>SKU1037</t>
  </si>
  <si>
    <t>SKU059</t>
  </si>
  <si>
    <t>SKU460</t>
  </si>
  <si>
    <t>C594</t>
  </si>
  <si>
    <t>SKU952</t>
  </si>
  <si>
    <t>C230</t>
  </si>
  <si>
    <t>SKU506</t>
  </si>
  <si>
    <t>SKU1247</t>
  </si>
  <si>
    <t>SKU926</t>
  </si>
  <si>
    <t>C610</t>
  </si>
  <si>
    <t>SKU047</t>
  </si>
  <si>
    <t>SKU995</t>
  </si>
  <si>
    <t>SKU211</t>
  </si>
  <si>
    <t>SKU070</t>
  </si>
  <si>
    <t>SKU848</t>
  </si>
  <si>
    <t>SKU387</t>
  </si>
  <si>
    <t>SKU126</t>
  </si>
  <si>
    <t>C509</t>
  </si>
  <si>
    <t>SKU1018</t>
  </si>
  <si>
    <t>C277</t>
  </si>
  <si>
    <t>SKU475</t>
  </si>
  <si>
    <t>SKU498</t>
  </si>
  <si>
    <t>C055</t>
  </si>
  <si>
    <t>SKU732</t>
  </si>
  <si>
    <t>SKU622</t>
  </si>
  <si>
    <t>SKU668</t>
  </si>
  <si>
    <t>SKU756</t>
  </si>
  <si>
    <t>SKU938</t>
  </si>
  <si>
    <t>C686</t>
  </si>
  <si>
    <t>SKU314</t>
  </si>
  <si>
    <t>SKU605</t>
  </si>
  <si>
    <t>C634</t>
  </si>
  <si>
    <t>SKU751</t>
  </si>
  <si>
    <t>SKU888</t>
  </si>
  <si>
    <t>SKU1025</t>
  </si>
  <si>
    <t>SKU428</t>
  </si>
  <si>
    <t>SKU899</t>
  </si>
  <si>
    <t>C276</t>
  </si>
  <si>
    <t>SKU279</t>
  </si>
  <si>
    <t>SKU030</t>
  </si>
  <si>
    <t>SKU500</t>
  </si>
  <si>
    <t>C162</t>
  </si>
  <si>
    <t>SKU671</t>
  </si>
  <si>
    <t>SKU524</t>
  </si>
  <si>
    <t>SKU583</t>
  </si>
  <si>
    <t>C377</t>
  </si>
  <si>
    <t>SKU1014</t>
  </si>
  <si>
    <t>SKU933</t>
  </si>
  <si>
    <t>C548</t>
  </si>
  <si>
    <t>SKU740</t>
  </si>
  <si>
    <t>SKU041</t>
  </si>
  <si>
    <t>C294</t>
  </si>
  <si>
    <t>SKU1172</t>
  </si>
  <si>
    <t>C045</t>
  </si>
  <si>
    <t>C219</t>
  </si>
  <si>
    <t>C568</t>
  </si>
  <si>
    <t>SKU771</t>
  </si>
  <si>
    <t>C674</t>
  </si>
  <si>
    <t>SKU623</t>
  </si>
  <si>
    <t>C268</t>
  </si>
  <si>
    <t>C668</t>
  </si>
  <si>
    <t>C353</t>
  </si>
  <si>
    <t>SKU928</t>
  </si>
  <si>
    <t>C795</t>
  </si>
  <si>
    <t>SKU1221</t>
  </si>
  <si>
    <t>C649</t>
  </si>
  <si>
    <t>SKU807</t>
  </si>
  <si>
    <t>SKU900</t>
  </si>
  <si>
    <t>C551</t>
  </si>
  <si>
    <t>SKU378</t>
  </si>
  <si>
    <t>SKU643</t>
  </si>
  <si>
    <t>C305</t>
  </si>
  <si>
    <t>SKU139</t>
  </si>
  <si>
    <t>C713</t>
  </si>
  <si>
    <t>C029</t>
  </si>
  <si>
    <t>SKU686</t>
  </si>
  <si>
    <t>C379</t>
  </si>
  <si>
    <t>SKU491</t>
  </si>
  <si>
    <t>SKU155</t>
  </si>
  <si>
    <t>SKU268</t>
  </si>
  <si>
    <t>C425</t>
  </si>
  <si>
    <t>C094</t>
  </si>
  <si>
    <t>SKU1142</t>
  </si>
  <si>
    <t>C078</t>
  </si>
  <si>
    <t>SKU077</t>
  </si>
  <si>
    <t>SKU144</t>
  </si>
  <si>
    <t>SKU409</t>
  </si>
  <si>
    <t>C524</t>
  </si>
  <si>
    <t>SKU215</t>
  </si>
  <si>
    <t>C578</t>
  </si>
  <si>
    <t>C313</t>
  </si>
  <si>
    <t>C393</t>
  </si>
  <si>
    <t>C716</t>
  </si>
  <si>
    <t>SKU1252</t>
  </si>
  <si>
    <t>C782</t>
  </si>
  <si>
    <t>SKU716</t>
  </si>
  <si>
    <t>SKU982</t>
  </si>
  <si>
    <t>SKU611</t>
  </si>
  <si>
    <t>C503</t>
  </si>
  <si>
    <t>SKU474</t>
  </si>
  <si>
    <t>SKU197</t>
  </si>
  <si>
    <t>SKU1053</t>
  </si>
  <si>
    <t>SKU666</t>
  </si>
  <si>
    <t>SKU1212</t>
  </si>
  <si>
    <t>C679</t>
  </si>
  <si>
    <t>C567</t>
  </si>
  <si>
    <t>SKU250</t>
  </si>
  <si>
    <t>SKU467</t>
  </si>
  <si>
    <t>SKU1182</t>
  </si>
  <si>
    <t>SKU608</t>
  </si>
  <si>
    <t>SKU717</t>
  </si>
  <si>
    <t>SKU787</t>
  </si>
  <si>
    <t>SKU805</t>
  </si>
  <si>
    <t>SKU079</t>
  </si>
  <si>
    <t>SKU1005</t>
  </si>
  <si>
    <t>C130</t>
  </si>
  <si>
    <t>SKU868</t>
  </si>
  <si>
    <t>SKU856</t>
  </si>
  <si>
    <t>C169</t>
  </si>
  <si>
    <t>SKU127</t>
  </si>
  <si>
    <t>SKU669</t>
  </si>
  <si>
    <t>C073</t>
  </si>
  <si>
    <t>SKU665</t>
  </si>
  <si>
    <t>C082</t>
  </si>
  <si>
    <t>SKU1029</t>
  </si>
  <si>
    <t>SKU627</t>
  </si>
  <si>
    <t>SKU865</t>
  </si>
  <si>
    <t>SKU423</t>
  </si>
  <si>
    <t>SKU448</t>
  </si>
  <si>
    <t>C004</t>
  </si>
  <si>
    <t>SKU109</t>
  </si>
  <si>
    <t>SKU981</t>
  </si>
  <si>
    <t>SKU602</t>
  </si>
  <si>
    <t>C107</t>
  </si>
  <si>
    <t>SKU969</t>
  </si>
  <si>
    <t>C597</t>
  </si>
  <si>
    <t>SKU330</t>
  </si>
  <si>
    <t>SKU599</t>
  </si>
  <si>
    <t>C710</t>
  </si>
  <si>
    <t>C020</t>
  </si>
  <si>
    <t>SKU576</t>
  </si>
  <si>
    <t>SKU626</t>
  </si>
  <si>
    <t>SKU814</t>
  </si>
  <si>
    <t>SKU242</t>
  </si>
  <si>
    <t>C063</t>
  </si>
  <si>
    <t>SKU1187</t>
  </si>
  <si>
    <t>SKU327</t>
  </si>
  <si>
    <t>C422</t>
  </si>
  <si>
    <t>SKU417</t>
  </si>
  <si>
    <t>C768</t>
  </si>
  <si>
    <t>SKU563</t>
  </si>
  <si>
    <t>SKU317</t>
  </si>
  <si>
    <t>C246</t>
  </si>
  <si>
    <t>SKU414</t>
  </si>
  <si>
    <t>SKU1155</t>
  </si>
  <si>
    <t>SKU442</t>
  </si>
  <si>
    <t>SKU730</t>
  </si>
  <si>
    <t>SKU377</t>
  </si>
  <si>
    <t>C065</t>
  </si>
  <si>
    <t>C092</t>
  </si>
  <si>
    <t>SKU064</t>
  </si>
  <si>
    <t>C471</t>
  </si>
  <si>
    <t>SKU188</t>
  </si>
  <si>
    <t>SKU837</t>
  </si>
  <si>
    <t>SKU1102</t>
  </si>
  <si>
    <t>C185</t>
  </si>
  <si>
    <t>SKU552</t>
  </si>
  <si>
    <t>SKU741</t>
  </si>
  <si>
    <t>SKU996</t>
  </si>
  <si>
    <t>C505</t>
  </si>
  <si>
    <t>SKU753</t>
  </si>
  <si>
    <t>SKU369</t>
  </si>
  <si>
    <t>C549</t>
  </si>
  <si>
    <t>C564</t>
  </si>
  <si>
    <t>SKU780</t>
  </si>
  <si>
    <t>SKU455</t>
  </si>
  <si>
    <t>C414</t>
  </si>
  <si>
    <t>SKU1041</t>
  </si>
  <si>
    <t>C261</t>
  </si>
  <si>
    <t>SKU516</t>
  </si>
  <si>
    <t>C556</t>
  </si>
  <si>
    <t>SKU033</t>
  </si>
  <si>
    <t>SKU319</t>
  </si>
  <si>
    <t>SKU222</t>
  </si>
  <si>
    <t>C223</t>
  </si>
  <si>
    <t>SKU538</t>
  </si>
  <si>
    <t>C550</t>
  </si>
  <si>
    <t>SKU495</t>
  </si>
  <si>
    <t>C116</t>
  </si>
  <si>
    <t>C232</t>
  </si>
  <si>
    <t>SKU452</t>
  </si>
  <si>
    <t>SKU616</t>
  </si>
  <si>
    <t>SKU1196</t>
  </si>
  <si>
    <t>SKU1257</t>
  </si>
  <si>
    <t>C772</t>
  </si>
  <si>
    <t>C522</t>
  </si>
  <si>
    <t>SKU1145</t>
  </si>
  <si>
    <t>C193</t>
  </si>
  <si>
    <t>C085</t>
  </si>
  <si>
    <t>C621</t>
  </si>
  <si>
    <t>SKU328</t>
  </si>
  <si>
    <t>SKU764</t>
  </si>
  <si>
    <t>SKU494</t>
  </si>
  <si>
    <t>C700</t>
  </si>
  <si>
    <t>C170</t>
  </si>
  <si>
    <t>SKU720</t>
  </si>
  <si>
    <t>SKU1137</t>
  </si>
  <si>
    <t>C714</t>
  </si>
  <si>
    <t>SKU058</t>
  </si>
  <si>
    <t>SKU093</t>
  </si>
  <si>
    <t>SKU488</t>
  </si>
  <si>
    <t>C647</t>
  </si>
  <si>
    <t>SKU850</t>
  </si>
  <si>
    <t>SKU1192</t>
  </si>
  <si>
    <t>SKU905</t>
  </si>
  <si>
    <t>SKU355</t>
  </si>
  <si>
    <t>SKU508</t>
  </si>
  <si>
    <t>SKU767</t>
  </si>
  <si>
    <t>SKU953</t>
  </si>
  <si>
    <t>C258</t>
  </si>
  <si>
    <t>SKU1151</t>
  </si>
  <si>
    <t>C791</t>
  </si>
  <si>
    <t>SKU1087</t>
  </si>
  <si>
    <t>C299</t>
  </si>
  <si>
    <t>C523</t>
  </si>
  <si>
    <t>SKU778</t>
  </si>
  <si>
    <t>C737</t>
  </si>
  <si>
    <t>SKU223</t>
  </si>
  <si>
    <t>C019</t>
  </si>
  <si>
    <t>C309</t>
  </si>
  <si>
    <t>SKU967</t>
  </si>
  <si>
    <t>SKU1232</t>
  </si>
  <si>
    <t>SKU729</t>
  </si>
  <si>
    <t>C168</t>
  </si>
  <si>
    <t>C762</t>
  </si>
  <si>
    <t>SKU823</t>
  </si>
  <si>
    <t>SKU830</t>
  </si>
  <si>
    <t>SKU381</t>
  </si>
  <si>
    <t>SKU205</t>
  </si>
  <si>
    <t>SKU657</t>
  </si>
  <si>
    <t>SKU035</t>
  </si>
  <si>
    <t>C304</t>
  </si>
  <si>
    <t>SKU263</t>
  </si>
  <si>
    <t>SKU843</t>
  </si>
  <si>
    <t>C604</t>
  </si>
  <si>
    <t>C081</t>
  </si>
  <si>
    <t>C559</t>
  </si>
  <si>
    <t>SKU406</t>
  </si>
  <si>
    <t>C763</t>
  </si>
  <si>
    <t>SKU1007</t>
  </si>
  <si>
    <t>C324</t>
  </si>
  <si>
    <t>C278</t>
  </si>
  <si>
    <t>SKU648</t>
  </si>
  <si>
    <t>C608</t>
  </si>
  <si>
    <t>C744</t>
  </si>
  <si>
    <t>SKU634</t>
  </si>
  <si>
    <t>C671</t>
  </si>
  <si>
    <t>SKU138</t>
  </si>
  <si>
    <t>SKU485</t>
  </si>
  <si>
    <t>SKU1077</t>
  </si>
  <si>
    <t>SKU125</t>
  </si>
  <si>
    <t>C335</t>
  </si>
  <si>
    <t>SKU1028</t>
  </si>
  <si>
    <t>C635</t>
  </si>
  <si>
    <t>SKU320</t>
  </si>
  <si>
    <t>C492</t>
  </si>
  <si>
    <t>SKU891</t>
  </si>
  <si>
    <t>C231</t>
  </si>
  <si>
    <t>C730</t>
  </si>
  <si>
    <t>SKU403</t>
  </si>
  <si>
    <t>C424</t>
  </si>
  <si>
    <t>SKU351</t>
  </si>
  <si>
    <t>SKU633</t>
  </si>
  <si>
    <t>SKU443</t>
  </si>
  <si>
    <t>C624</t>
  </si>
  <si>
    <t>C066</t>
  </si>
  <si>
    <t>SKU343</t>
  </si>
  <si>
    <t>C146</t>
  </si>
  <si>
    <t>SKU986</t>
  </si>
  <si>
    <t>SKU176</t>
  </si>
  <si>
    <t>SKU924</t>
  </si>
  <si>
    <t>SKU150</t>
  </si>
  <si>
    <t>SKU650</t>
  </si>
  <si>
    <t>SKU270</t>
  </si>
  <si>
    <t>SKU201</t>
  </si>
  <si>
    <t>C459</t>
  </si>
  <si>
    <t>SKU829</t>
  </si>
  <si>
    <t>C373</t>
  </si>
  <si>
    <t>SKU772</t>
  </si>
  <si>
    <t>SKU480</t>
  </si>
  <si>
    <t>SKU507</t>
  </si>
  <si>
    <t>C147</t>
  </si>
  <si>
    <t>SKU159</t>
  </si>
  <si>
    <t>C622</t>
  </si>
  <si>
    <t>SKU514</t>
  </si>
  <si>
    <t>C178</t>
  </si>
  <si>
    <t>SKU1094</t>
  </si>
  <si>
    <t>SKU419</t>
  </si>
  <si>
    <t>SKU1256</t>
  </si>
  <si>
    <t>C097</t>
  </si>
  <si>
    <t>SKU1242</t>
  </si>
  <si>
    <t>SKU931</t>
  </si>
  <si>
    <t>SKU348</t>
  </si>
  <si>
    <t>SKU472</t>
  </si>
  <si>
    <t>SKU794</t>
  </si>
  <si>
    <t>SKU1245</t>
  </si>
  <si>
    <t>C164</t>
  </si>
  <si>
    <t>SKU811</t>
  </si>
  <si>
    <t>SKU214</t>
  </si>
  <si>
    <t>C468</t>
  </si>
  <si>
    <t>C702</t>
  </si>
  <si>
    <t>C767</t>
  </si>
  <si>
    <t>C099</t>
  </si>
  <si>
    <t>SKU1140</t>
  </si>
  <si>
    <t>SKU252</t>
  </si>
  <si>
    <t>C479</t>
  </si>
  <si>
    <t>SKU400</t>
  </si>
  <si>
    <t>C693</t>
  </si>
  <si>
    <t>SKU356</t>
  </si>
  <si>
    <t>SKU673</t>
  </si>
  <si>
    <t>C644</t>
  </si>
  <si>
    <t>SKU278</t>
  </si>
  <si>
    <t>C563</t>
  </si>
  <si>
    <t>SKU718</t>
  </si>
  <si>
    <t>SKU742</t>
  </si>
  <si>
    <t>SKU177</t>
  </si>
  <si>
    <t>C729</t>
  </si>
  <si>
    <t>SKU860</t>
  </si>
  <si>
    <t>C288</t>
  </si>
  <si>
    <t>C434</t>
  </si>
  <si>
    <t>SKU368</t>
  </si>
  <si>
    <t>SKU782</t>
  </si>
  <si>
    <t>C001</t>
  </si>
  <si>
    <t>C252</t>
  </si>
  <si>
    <t>SKU367</t>
  </si>
  <si>
    <t>SKU171</t>
  </si>
  <si>
    <t>SKU1032</t>
  </si>
  <si>
    <t>C034</t>
  </si>
  <si>
    <t>SKU579</t>
  </si>
  <si>
    <t>C566</t>
  </si>
  <si>
    <t>SKU809</t>
  </si>
  <si>
    <t>SKU006</t>
  </si>
  <si>
    <t>C477</t>
  </si>
  <si>
    <t>SKU844</t>
  </si>
  <si>
    <t>SKU536</t>
  </si>
  <si>
    <t>SKU226</t>
  </si>
  <si>
    <t>C253</t>
  </si>
  <si>
    <t>SKU486</t>
  </si>
  <si>
    <t>SKU636</t>
  </si>
  <si>
    <t>SKU245</t>
  </si>
  <si>
    <t>SKU903</t>
  </si>
  <si>
    <t>SKU394</t>
  </si>
  <si>
    <t>SKU529</t>
  </si>
  <si>
    <t>SKU894</t>
  </si>
  <si>
    <t>SKU453</t>
  </si>
  <si>
    <t>SKU440</t>
  </si>
  <si>
    <t>C528</t>
  </si>
  <si>
    <t>SKU299</t>
  </si>
  <si>
    <t>SKU532</t>
  </si>
  <si>
    <t>C048</t>
  </si>
  <si>
    <t>SKU1144</t>
  </si>
  <si>
    <t>SKU1204</t>
  </si>
  <si>
    <t>C444</t>
  </si>
  <si>
    <t>SKU696</t>
  </si>
  <si>
    <t>SKU017</t>
  </si>
  <si>
    <t>C775</t>
  </si>
  <si>
    <t>SKU186</t>
  </si>
  <si>
    <t>SKU758</t>
  </si>
  <si>
    <t>SKU334</t>
  </si>
  <si>
    <t>C183</t>
  </si>
  <si>
    <t>SKU1263</t>
  </si>
  <si>
    <t>C202</t>
  </si>
  <si>
    <t>SKU1114</t>
  </si>
  <si>
    <t>SKU132</t>
  </si>
  <si>
    <t>SKU002</t>
  </si>
  <si>
    <t>SKU086</t>
  </si>
  <si>
    <t>SKU1056</t>
  </si>
  <si>
    <t>C024</t>
  </si>
  <si>
    <t>SKU1166</t>
  </si>
  <si>
    <t>C120</t>
  </si>
  <si>
    <t>SKU1203</t>
  </si>
  <si>
    <t>SKU1210</t>
  </si>
  <si>
    <t>SKU604</t>
  </si>
  <si>
    <t>SKU434</t>
  </si>
  <si>
    <t>C641</t>
  </si>
  <si>
    <t>SKU803</t>
  </si>
  <si>
    <t>C096</t>
  </si>
  <si>
    <t>SKU1183</t>
  </si>
  <si>
    <t>SKU296</t>
  </si>
  <si>
    <t>SKU1226</t>
  </si>
  <si>
    <t>SKU870</t>
  </si>
  <si>
    <t>SKU1009</t>
  </si>
  <si>
    <t>SKU863</t>
  </si>
  <si>
    <t>C388</t>
  </si>
  <si>
    <t>C341</t>
  </si>
  <si>
    <t>C472</t>
  </si>
  <si>
    <t>SKU1065</t>
  </si>
  <si>
    <t>SKU687</t>
  </si>
  <si>
    <t>SKU407</t>
  </si>
  <si>
    <t>C115</t>
  </si>
  <si>
    <t>C123</t>
  </si>
  <si>
    <t>C759</t>
  </si>
  <si>
    <t>SKU425</t>
  </si>
  <si>
    <t>SKU692</t>
  </si>
  <si>
    <t>SKU1036</t>
  </si>
  <si>
    <t>C407</t>
  </si>
  <si>
    <t>SKU418</t>
  </si>
  <si>
    <t>C235</t>
  </si>
  <si>
    <t>SKU346</t>
  </si>
  <si>
    <t>C401</t>
  </si>
  <si>
    <t>C720</t>
  </si>
  <si>
    <t>SKU283</t>
  </si>
  <si>
    <t>SKU437</t>
  </si>
  <si>
    <t>SKU285</t>
  </si>
  <si>
    <t>C382</t>
  </si>
  <si>
    <t>SKU1169</t>
  </si>
  <si>
    <t>C371</t>
  </si>
  <si>
    <t>SKU968</t>
  </si>
  <si>
    <t>SKU1176</t>
  </si>
  <si>
    <t>SKU944</t>
  </si>
  <si>
    <t>C518</t>
  </si>
  <si>
    <t>SKU050</t>
  </si>
  <si>
    <t>C105</t>
  </si>
  <si>
    <t>C027</t>
  </si>
  <si>
    <t>C500</t>
  </si>
  <si>
    <t>C297</t>
  </si>
  <si>
    <t>SKU1222</t>
  </si>
  <si>
    <t>C519</t>
  </si>
  <si>
    <t>C012</t>
  </si>
  <si>
    <t>SKU1121</t>
  </si>
  <si>
    <t>SKU333</t>
  </si>
  <si>
    <t>SKU175</t>
  </si>
  <si>
    <t>SKU1185</t>
  </si>
  <si>
    <t>C271</t>
  </si>
  <si>
    <t>C080</t>
  </si>
  <si>
    <t>SKU216</t>
  </si>
  <si>
    <t>SKU1104</t>
  </si>
  <si>
    <t>SKU1013</t>
  </si>
  <si>
    <t>SKU586</t>
  </si>
  <si>
    <t>SKU234</t>
  </si>
  <si>
    <t>C749</t>
  </si>
  <si>
    <t>SKU1109</t>
  </si>
  <si>
    <t>SKU143</t>
  </si>
  <si>
    <t>SKU071</t>
  </si>
  <si>
    <t>SKU1027</t>
  </si>
  <si>
    <t>SKU951</t>
  </si>
  <si>
    <t>C681</t>
  </si>
  <si>
    <t>SKU867</t>
  </si>
  <si>
    <t>C316</t>
  </si>
  <si>
    <t>C415</t>
  </si>
  <si>
    <t>C218</t>
  </si>
  <si>
    <t>C481</t>
  </si>
  <si>
    <t>SKU704</t>
  </si>
  <si>
    <t>C342</t>
  </si>
  <si>
    <t>SKU876</t>
  </si>
  <si>
    <t>SKU1153</t>
  </si>
  <si>
    <t>C490</t>
  </si>
  <si>
    <t>SKU1214</t>
  </si>
  <si>
    <t>C601</t>
  </si>
  <si>
    <t>SKU362</t>
  </si>
  <si>
    <t>SKU1186</t>
  </si>
  <si>
    <t>SKU1008</t>
  </si>
  <si>
    <t>C698</t>
  </si>
  <si>
    <t>SKU651</t>
  </si>
  <si>
    <t>SKU212</t>
  </si>
  <si>
    <t>SKU642</t>
  </si>
  <si>
    <t>C298</t>
  </si>
  <si>
    <t>SKU534</t>
  </si>
  <si>
    <t>C041</t>
  </si>
  <si>
    <t>SKU265</t>
  </si>
  <si>
    <t>C397</t>
  </si>
  <si>
    <t>SKU1189</t>
  </si>
  <si>
    <t>SKU105</t>
  </si>
  <si>
    <t>SKU221</t>
  </si>
  <si>
    <t>SKU777</t>
  </si>
  <si>
    <t>C380</t>
  </si>
  <si>
    <t>SKU1150</t>
  </si>
  <si>
    <t>C070</t>
  </si>
  <si>
    <t>C504</t>
  </si>
  <si>
    <t>SKU828</t>
  </si>
  <si>
    <t>SKU1146</t>
  </si>
  <si>
    <t>SKU025</t>
  </si>
  <si>
    <t>C754</t>
  </si>
  <si>
    <t>C682</t>
  </si>
  <si>
    <t>C002</t>
  </si>
  <si>
    <t>C521</t>
  </si>
  <si>
    <t>SKU1180</t>
  </si>
  <si>
    <t>SKU153</t>
  </si>
  <si>
    <t>SKU243</t>
  </si>
  <si>
    <t>SKU759</t>
  </si>
  <si>
    <t>SKU067</t>
  </si>
  <si>
    <t>SKU591</t>
  </si>
  <si>
    <t>C355</t>
  </si>
  <si>
    <t>SKU630</t>
  </si>
  <si>
    <t>C765</t>
  </si>
  <si>
    <t>SKU1080</t>
  </si>
  <si>
    <t>SKU935</t>
  </si>
  <si>
    <t>SKU901</t>
  </si>
  <si>
    <t>C470</t>
  </si>
  <si>
    <t>SKU1149</t>
  </si>
  <si>
    <t>SKU927</t>
  </si>
  <si>
    <t>SKU964</t>
  </si>
  <si>
    <t>C512</t>
  </si>
  <si>
    <t>SKU075</t>
  </si>
  <si>
    <t>SKU965</t>
  </si>
  <si>
    <t>C196</t>
  </si>
  <si>
    <t>SKU284</t>
  </si>
  <si>
    <t>C590</t>
  </si>
  <si>
    <t>C688</t>
  </si>
  <si>
    <t>SKU610</t>
  </si>
  <si>
    <t>C057</t>
  </si>
  <si>
    <t>C552</t>
  </si>
  <si>
    <t>C250</t>
  </si>
  <si>
    <t>SKU496</t>
  </si>
  <si>
    <t>SKU421</t>
  </si>
  <si>
    <t>SKU695</t>
  </si>
  <si>
    <t>SKU1050</t>
  </si>
  <si>
    <t>SKU698</t>
  </si>
  <si>
    <t>C400</t>
  </si>
  <si>
    <t>SKU997</t>
  </si>
  <si>
    <t>SKU1158</t>
  </si>
  <si>
    <t>C593</t>
  </si>
  <si>
    <t>SKU709</t>
  </si>
  <si>
    <t>C511</t>
  </si>
  <si>
    <t>SKU878</t>
  </si>
  <si>
    <t>C529</t>
  </si>
  <si>
    <t>SKU393</t>
  </si>
  <si>
    <t>SKU885</t>
  </si>
  <si>
    <t>C715</t>
  </si>
  <si>
    <t>C163</t>
  </si>
  <si>
    <t>SKU920</t>
  </si>
  <si>
    <t>C623</t>
  </si>
  <si>
    <t>SKU570</t>
  </si>
  <si>
    <t>C428</t>
  </si>
  <si>
    <t>SKU1100</t>
  </si>
  <si>
    <t>SKU163</t>
  </si>
  <si>
    <t>SKU815</t>
  </si>
  <si>
    <t>SKU550</t>
  </si>
  <si>
    <t>SKU1002</t>
  </si>
  <si>
    <t>SKU170</t>
  </si>
  <si>
    <t>SKU1147</t>
  </si>
  <si>
    <t>SKU635</t>
  </si>
  <si>
    <t>SKU256</t>
  </si>
  <si>
    <t>SKU312</t>
  </si>
  <si>
    <t>SKU420</t>
  </si>
  <si>
    <t>C680</t>
  </si>
  <si>
    <t>C709</t>
  </si>
  <si>
    <t>C458</t>
  </si>
  <si>
    <t>SKU667</t>
  </si>
  <si>
    <t>C547</t>
  </si>
  <si>
    <t>SKU907</t>
  </si>
  <si>
    <t>C699</t>
  </si>
  <si>
    <t>SKU625</t>
  </si>
  <si>
    <t>SKU725</t>
  </si>
  <si>
    <t>SKU366</t>
  </si>
  <si>
    <t>SKU833</t>
  </si>
  <si>
    <t>SKU297</t>
  </si>
  <si>
    <t>SKU1213</t>
  </si>
  <si>
    <t>C727</t>
  </si>
  <si>
    <t>SKU1162</t>
  </si>
  <si>
    <t>SKU897</t>
  </si>
  <si>
    <t>C598</t>
  </si>
  <si>
    <t>SKU683</t>
  </si>
  <si>
    <t>C203</t>
  </si>
  <si>
    <t>C572</t>
  </si>
  <si>
    <t>SKU918</t>
  </si>
  <si>
    <t>SKU179</t>
  </si>
  <si>
    <t>C369</t>
  </si>
  <si>
    <t>C264</t>
  </si>
  <si>
    <t>SKU124</t>
  </si>
  <si>
    <t>C249</t>
  </si>
  <si>
    <t>SKU344</t>
  </si>
  <si>
    <t>C236</t>
  </si>
  <si>
    <t>C497</t>
  </si>
  <si>
    <t>C272</t>
  </si>
  <si>
    <t>SKU380</t>
  </si>
  <si>
    <t>C464</t>
  </si>
  <si>
    <t>SKU1086</t>
  </si>
  <si>
    <t>SKU1170</t>
  </si>
  <si>
    <t>C079</t>
  </si>
  <si>
    <t>C607</t>
  </si>
  <si>
    <t>SKU140</t>
  </si>
  <si>
    <t>SKU146</t>
  </si>
  <si>
    <t>SKU484</t>
  </si>
  <si>
    <t>C615</t>
  </si>
  <si>
    <t>SKU479</t>
  </si>
  <si>
    <t>C655</t>
  </si>
  <si>
    <t>C757</t>
  </si>
  <si>
    <t>SKU818</t>
  </si>
  <si>
    <t>SKU1070</t>
  </si>
  <si>
    <t>SKU114</t>
  </si>
  <si>
    <t>C725</t>
  </si>
  <si>
    <t>SKU685</t>
  </si>
  <si>
    <t>C596</t>
  </si>
  <si>
    <t>SKU869</t>
  </si>
  <si>
    <t>SKU1184</t>
  </si>
  <si>
    <t>SKU291</t>
  </si>
  <si>
    <t>C535</t>
  </si>
  <si>
    <t>SKU836</t>
  </si>
  <si>
    <t>SKU069</t>
  </si>
  <si>
    <t>SKU210</t>
  </si>
  <si>
    <t>C651</t>
  </si>
  <si>
    <t>C724</t>
  </si>
  <si>
    <t>SKU1181</t>
  </si>
  <si>
    <t>C067</t>
  </si>
  <si>
    <t>C344</t>
  </si>
  <si>
    <t>C402</t>
  </si>
  <si>
    <t>SKU1047</t>
  </si>
  <si>
    <t>SKU656</t>
  </si>
  <si>
    <t>SKU117</t>
  </si>
  <si>
    <t>SKU775</t>
  </si>
  <si>
    <t>SKU511</t>
  </si>
  <si>
    <t>SKU184</t>
  </si>
  <si>
    <t>C192</t>
  </si>
  <si>
    <t>SKU1171</t>
  </si>
  <si>
    <t>SKU1240</t>
  </si>
  <si>
    <t>C420</t>
  </si>
  <si>
    <t>C540</t>
  </si>
  <si>
    <t>SKU056</t>
  </si>
  <si>
    <t>SKU462</t>
  </si>
  <si>
    <t>C242</t>
  </si>
  <si>
    <t>SKU014</t>
  </si>
  <si>
    <t>SKU372</t>
  </si>
  <si>
    <t>SKU864</t>
  </si>
  <si>
    <t>C043</t>
  </si>
  <si>
    <t>C247</t>
  </si>
  <si>
    <t>SKU349</t>
  </si>
  <si>
    <t>SKU311</t>
  </si>
  <si>
    <t>C074</t>
  </si>
  <si>
    <t>C395</t>
  </si>
  <si>
    <t>SKU136</t>
  </si>
  <si>
    <t>SKU133</t>
  </si>
  <si>
    <t>C143</t>
  </si>
  <si>
    <t>SKU949</t>
  </si>
  <si>
    <t>C429</t>
  </si>
  <si>
    <t>SKU237</t>
  </si>
  <si>
    <t>C571</t>
  </si>
  <si>
    <t>C446</t>
  </si>
  <si>
    <t>SKU921</t>
  </si>
  <si>
    <t>C394</t>
  </si>
  <si>
    <t>SKU810</t>
  </si>
  <si>
    <t>SKU477</t>
  </si>
  <si>
    <t>SKU573</t>
  </si>
  <si>
    <t>SKU011</t>
  </si>
  <si>
    <t>C270</t>
  </si>
  <si>
    <t>SKU1107</t>
  </si>
  <si>
    <t>SKU724</t>
  </si>
  <si>
    <t>C025</t>
  </si>
  <si>
    <t>SKU875</t>
  </si>
  <si>
    <t>SKU112</t>
  </si>
  <si>
    <t>C543</t>
  </si>
  <si>
    <t>SKU286</t>
  </si>
  <si>
    <t>SKU774</t>
  </si>
  <si>
    <t>SKU091</t>
  </si>
  <si>
    <t>SKU1045</t>
  </si>
  <si>
    <t>SKU085</t>
  </si>
  <si>
    <t>C190</t>
  </si>
  <si>
    <t>C087</t>
  </si>
  <si>
    <t>SKU260</t>
  </si>
  <si>
    <t>SKU954</t>
  </si>
  <si>
    <t>C457</t>
  </si>
  <si>
    <t>C486</t>
  </si>
  <si>
    <t>SKU062</t>
  </si>
  <si>
    <t>C013</t>
  </si>
  <si>
    <t>C217</t>
  </si>
  <si>
    <t>C718</t>
  </si>
  <si>
    <t>SKU859</t>
  </si>
  <si>
    <t>C140</t>
  </si>
  <si>
    <t>C118</t>
  </si>
  <si>
    <t>SKU613</t>
  </si>
  <si>
    <t>SKU882</t>
  </si>
  <si>
    <t>SKU339</t>
  </si>
  <si>
    <t>SKU769</t>
  </si>
  <si>
    <t>C589</t>
  </si>
  <si>
    <t>SKU121</t>
  </si>
  <si>
    <t>C778</t>
  </si>
  <si>
    <t>C171</t>
  </si>
  <si>
    <t>SKU304</t>
  </si>
  <si>
    <t>SKU662</t>
  </si>
  <si>
    <t>SKU640</t>
  </si>
  <si>
    <t>C182</t>
  </si>
  <si>
    <t>SKU031</t>
  </si>
  <si>
    <t>SKU337</t>
  </si>
  <si>
    <t>SKU541</t>
  </si>
  <si>
    <t>C296</t>
  </si>
  <si>
    <t>C620</t>
  </si>
  <si>
    <t>SKU825</t>
  </si>
  <si>
    <t>SKU886</t>
  </si>
  <si>
    <t>C093</t>
  </si>
  <si>
    <t>SKU523</t>
  </si>
  <si>
    <t>SKU217</t>
  </si>
  <si>
    <t>C021</t>
  </si>
  <si>
    <t>SKU936</t>
  </si>
  <si>
    <t>SKU942</t>
  </si>
  <si>
    <t>SKU347</t>
  </si>
  <si>
    <t>SKU737</t>
  </si>
  <si>
    <t>C618</t>
  </si>
  <si>
    <t>SKU517</t>
  </si>
  <si>
    <t>SKU1040</t>
  </si>
  <si>
    <t>SKU793</t>
  </si>
  <si>
    <t>C244</t>
  </si>
  <si>
    <t>C060</t>
  </si>
  <si>
    <t>C452</t>
  </si>
  <si>
    <t>C334</t>
  </si>
  <si>
    <t>C694</t>
  </si>
  <si>
    <t>C009</t>
  </si>
  <si>
    <t>C356</t>
  </si>
  <si>
    <t>SKU792</t>
  </si>
  <si>
    <t>C349</t>
  </si>
  <si>
    <t>SKU1042</t>
  </si>
  <si>
    <t>SKU390</t>
  </si>
  <si>
    <t>SKU405</t>
  </si>
  <si>
    <t>SKU1190</t>
  </si>
  <si>
    <t>SKU504</t>
  </si>
  <si>
    <t>SKU749</t>
  </si>
  <si>
    <t>C108</t>
  </si>
  <si>
    <t>SKU908</t>
  </si>
  <si>
    <t>C451</t>
  </si>
  <si>
    <t>SKU609</t>
  </si>
  <si>
    <t>SKU264</t>
  </si>
  <si>
    <t>C433</t>
  </si>
  <si>
    <t>SKU1133</t>
  </si>
  <si>
    <t>SKU404</t>
  </si>
  <si>
    <t>SKU614</t>
  </si>
  <si>
    <t>SKU808</t>
  </si>
  <si>
    <t>SKU1069</t>
  </si>
  <si>
    <t>C465</t>
  </si>
  <si>
    <t>SKU851</t>
  </si>
  <si>
    <t>SKU249</t>
  </si>
  <si>
    <t>C650</t>
  </si>
  <si>
    <t>SKU874</t>
  </si>
  <si>
    <t>C690</t>
  </si>
  <si>
    <t>SKU1134</t>
  </si>
  <si>
    <t>SKU962</t>
  </si>
  <si>
    <t>SKU196</t>
  </si>
  <si>
    <t>C579</t>
  </si>
  <si>
    <t>SKU892</t>
  </si>
  <si>
    <t>C363</t>
  </si>
  <si>
    <t>SKU1131</t>
  </si>
  <si>
    <t>SKU1228</t>
  </si>
  <si>
    <t>C678</t>
  </si>
  <si>
    <t>C058</t>
  </si>
  <si>
    <t>SKU765</t>
  </si>
  <si>
    <t>SKU1241</t>
  </si>
  <si>
    <t>SKU971</t>
  </si>
  <si>
    <t>SKU854</t>
  </si>
  <si>
    <t>C151</t>
  </si>
  <si>
    <t>SKU103</t>
  </si>
  <si>
    <t>C613</t>
  </si>
  <si>
    <t>SKU776</t>
  </si>
  <si>
    <t>SKU707</t>
  </si>
  <si>
    <t>SKU746</t>
  </si>
  <si>
    <t>C323</t>
  </si>
  <si>
    <t>SKU384</t>
  </si>
  <si>
    <t>SKU852</t>
  </si>
  <si>
    <t>SKU198</t>
  </si>
  <si>
    <t>C456</t>
  </si>
  <si>
    <t>SKU770</t>
  </si>
  <si>
    <t>C113</t>
  </si>
  <si>
    <t>SKU694</t>
  </si>
  <si>
    <t>SKU1118</t>
  </si>
  <si>
    <t>SKU726</t>
  </si>
  <si>
    <t>SKU204</t>
  </si>
  <si>
    <t>C484</t>
  </si>
  <si>
    <t>SKU703</t>
  </si>
  <si>
    <t>SKU061</t>
  </si>
  <si>
    <t>SKU206</t>
  </si>
  <si>
    <t>SKU999</t>
  </si>
  <si>
    <t>C592</t>
  </si>
  <si>
    <t>SKU1119</t>
  </si>
  <si>
    <t>SKU598</t>
  </si>
  <si>
    <t>C676</t>
  </si>
  <si>
    <t>C076</t>
  </si>
  <si>
    <t>C255</t>
  </si>
  <si>
    <t>C050</t>
  </si>
  <si>
    <t>SKU621</t>
  </si>
  <si>
    <t>SKU1250</t>
  </si>
  <si>
    <t>C039</t>
  </si>
  <si>
    <t>C469</t>
  </si>
  <si>
    <t>SKU699</t>
  </si>
  <si>
    <t>SKU1139</t>
  </si>
  <si>
    <t>SKU581</t>
  </si>
  <si>
    <t>SKU639</t>
  </si>
  <si>
    <t>C339</t>
  </si>
  <si>
    <t>C368</t>
  </si>
  <si>
    <t>SKU619</t>
  </si>
  <si>
    <t>C122</t>
  </si>
  <si>
    <t>C501</t>
  </si>
  <si>
    <t>C554</t>
  </si>
  <si>
    <t>SKU655</t>
  </si>
  <si>
    <t>C331</t>
  </si>
  <si>
    <t>C229</t>
  </si>
  <si>
    <t>C409</t>
  </si>
  <si>
    <t>SKU316</t>
  </si>
  <si>
    <t>C683</t>
  </si>
  <si>
    <t>SKU1206</t>
  </si>
  <si>
    <t>SKU649</t>
  </si>
  <si>
    <t>SKU084</t>
  </si>
  <si>
    <t>C068</t>
  </si>
  <si>
    <t>SKU239</t>
  </si>
  <si>
    <t>C531</t>
  </si>
  <si>
    <t>C337</t>
  </si>
  <si>
    <t>C463</t>
  </si>
  <si>
    <t>SKU661</t>
  </si>
  <si>
    <t>C114</t>
  </si>
  <si>
    <t>C345</t>
  </si>
  <si>
    <t>SKU1071</t>
  </si>
  <si>
    <t>C732</t>
  </si>
  <si>
    <t>SKU1093</t>
  </si>
  <si>
    <t>SKU680</t>
  </si>
  <si>
    <t>SKU1064</t>
  </si>
  <si>
    <t>C753</t>
  </si>
  <si>
    <t>C705</t>
  </si>
  <si>
    <t>SKU816</t>
  </si>
  <si>
    <t>SKU294</t>
  </si>
  <si>
    <t>SKU1079</t>
  </si>
  <si>
    <t>SKU600</t>
  </si>
  <si>
    <t>C525</t>
  </si>
  <si>
    <t>SUM</t>
  </si>
  <si>
    <t>AVERAGE</t>
  </si>
  <si>
    <t>COUNT</t>
  </si>
  <si>
    <t>MIN</t>
  </si>
  <si>
    <t>MAX</t>
  </si>
  <si>
    <t>IF</t>
  </si>
  <si>
    <t>SUMIF</t>
  </si>
  <si>
    <t>COUNTIF</t>
  </si>
  <si>
    <t>AVERAGEIF</t>
  </si>
  <si>
    <t>SUMIFS</t>
  </si>
  <si>
    <t>COUNTIFS</t>
  </si>
  <si>
    <t>AVERAGEIFS</t>
  </si>
  <si>
    <t>IFERROR</t>
  </si>
  <si>
    <t>TEXT</t>
  </si>
  <si>
    <t>CONCATENATE</t>
  </si>
  <si>
    <t>TRIM</t>
  </si>
  <si>
    <t>LEFT</t>
  </si>
  <si>
    <t>RIGHT</t>
  </si>
  <si>
    <t>LEN</t>
  </si>
  <si>
    <t>AND</t>
  </si>
  <si>
    <t>OR</t>
  </si>
  <si>
    <t>Category</t>
  </si>
  <si>
    <t>Description</t>
  </si>
  <si>
    <t>Formula Used</t>
  </si>
  <si>
    <t>Total Gross Sales</t>
  </si>
  <si>
    <t>Average Unit Sell Price</t>
  </si>
  <si>
    <t>Minimum Order Quantity</t>
  </si>
  <si>
    <t>Maximum Order Quantity</t>
  </si>
  <si>
    <t>STDEV</t>
  </si>
  <si>
    <t>Std Dev of Gross Sales</t>
  </si>
  <si>
    <t>VAR</t>
  </si>
  <si>
    <t>Variance of Gross Sales</t>
  </si>
  <si>
    <t>Total Gross — Express Air + Large Box</t>
  </si>
  <si>
    <t>Count of numeric Gross values</t>
  </si>
  <si>
    <t>COUNTA</t>
  </si>
  <si>
    <t>Count of non-blank SalesPerson entries</t>
  </si>
  <si>
    <t>Count of Critical priority orders</t>
  </si>
  <si>
    <t>Count of Critical orders by Bob</t>
  </si>
  <si>
    <t>First row: "High Value" if Gross≥1000 else "Low Value"</t>
  </si>
  <si>
    <t>IFS</t>
  </si>
  <si>
    <t>First row priority label (Critical/High/Medium/Low/Other)</t>
  </si>
  <si>
    <t>First row: TRUE if Gross&gt;500 AND Discount&gt;0.05</t>
  </si>
  <si>
    <t>First row: TRUE if Ship Mode is Express Air OR Delivery Truck</t>
  </si>
  <si>
    <t>RANK</t>
  </si>
  <si>
    <t>Rank of first row Gross among all Gross values</t>
  </si>
  <si>
    <t>LARGE</t>
  </si>
  <si>
    <t>Top 3rd largest Gross sale</t>
  </si>
  <si>
    <t>SMALL</t>
  </si>
  <si>
    <t>Bottom 3rd smallest Gross sale</t>
  </si>
  <si>
    <t>MID</t>
  </si>
  <si>
    <t>Chars 4-7 of first SKU (digits after "SKU")</t>
  </si>
  <si>
    <t>CONCAT</t>
  </si>
  <si>
    <t>Concatenate SalesPerson + " | " + Ship Mode (row 1)</t>
  </si>
  <si>
    <t>TEXT (date)</t>
  </si>
  <si>
    <t>Format Order Date (row 1) as "DD-MMM-YYYY"</t>
  </si>
  <si>
    <t>TEXT (currency)</t>
  </si>
  <si>
    <t>Format Gross (row 1) as "$#,##0.00"</t>
  </si>
  <si>
    <t>UPPER</t>
  </si>
  <si>
    <t>SalesPerson name (row 1) in UPPERCASE</t>
  </si>
  <si>
    <t>LOWER</t>
  </si>
  <si>
    <t>Order Priority (row 1) in lowercase</t>
  </si>
  <si>
    <t>PROPER</t>
  </si>
  <si>
    <t>Ship Mode (row 1) in Proper Case</t>
  </si>
  <si>
    <t>Character length of first SKU code</t>
  </si>
  <si>
    <t>Trimmed SalesPerson name (row 1)</t>
  </si>
  <si>
    <t>⚡  COMBINED / ADVANCED FORMULAS</t>
  </si>
  <si>
    <t>SUMIF + TEXT</t>
  </si>
  <si>
    <t>Total Gross for orders in Jan 2014</t>
  </si>
  <si>
    <t>IF + AND</t>
  </si>
  <si>
    <t>First row: "Priority Express" if Critical AND Express Air</t>
  </si>
  <si>
    <t>COUNTIF ratio</t>
  </si>
  <si>
    <t>% of orders that are High priority</t>
  </si>
  <si>
    <t>CONCAT + UPPER</t>
  </si>
  <si>
    <t>Full label: "ORDER: &lt;ID&gt; | SALESPERSON: &lt;NAME&gt;"</t>
  </si>
  <si>
    <t>Sales - Formula Practice</t>
  </si>
  <si>
    <t xml:space="preserve">  STATISTICAL FUNCTIONS</t>
  </si>
  <si>
    <t>Total Gross - Express Air orders</t>
  </si>
  <si>
    <t xml:space="preserve">  CONDITIONAL SUM FUNCTIONS</t>
  </si>
  <si>
    <t xml:space="preserve">  COUNT FUNCTIONS</t>
  </si>
  <si>
    <t>LOGICAL FUNCTIONS</t>
  </si>
  <si>
    <t xml:space="preserve"> SORT / RANK FUNCTIONS</t>
  </si>
  <si>
    <t xml:space="preserve">  TEXT FUNCTIONS</t>
  </si>
  <si>
    <t xml:space="preserve">First 3 chars of first SKU </t>
  </si>
  <si>
    <t xml:space="preserve">Last 3 chars of first SKU </t>
  </si>
  <si>
    <t>Column1</t>
  </si>
  <si>
    <t>Column2</t>
  </si>
  <si>
    <t>Column3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</si>
</sst>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7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F4E79"/>
      <name val="Arial"/>
      <family val="2"/>
    </font>
    <font>
      <sz val="10"/>
      <name val="Arial"/>
      <family val="2"/>
    </font>
    <font>
      <i/>
      <sz val="9"/>
      <color rgb="FF7F6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F2F7FC"/>
        <bgColor rgb="FFEBF3FB"/>
      </patternFill>
    </fill>
    <fill>
      <patternFill patternType="solid">
        <fgColor rgb="FFFFF2CC"/>
        <bgColor rgb="FFF2F7FC"/>
      </patternFill>
    </fill>
    <fill>
      <patternFill patternType="solid">
        <fgColor rgb="FFEBF3FB"/>
        <bgColor rgb="FFF2F7FC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4" fontId="5" fillId="6" borderId="1" xfId="0" applyNumberFormat="1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10" fontId="5" fillId="6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3" fillId="3" borderId="0" xfId="0" applyFont="1" applyFill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vertical="center" wrapText="1"/>
    </xf>
    <xf numFmtId="0" fontId="6" fillId="5" borderId="2" xfId="0" applyFont="1" applyFill="1" applyBorder="1" applyAlignment="1">
      <alignment vertical="center" wrapText="1"/>
    </xf>
    <xf numFmtId="0" fontId="5" fillId="6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5"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Arial"/>
        <family val="2"/>
        <scheme val="none"/>
      </font>
      <fill>
        <patternFill patternType="solid">
          <fgColor rgb="FF003366"/>
          <bgColor rgb="FF1F4E79"/>
        </patternFill>
      </fill>
      <alignment horizontal="center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rgb="FF7F6000"/>
        <name val="Arial"/>
        <family val="2"/>
        <scheme val="none"/>
      </font>
      <fill>
        <patternFill patternType="solid">
          <fgColor rgb="FFF2F7FC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4E79"/>
        <name val="Arial"/>
        <family val="2"/>
        <scheme val="none"/>
      </font>
      <fill>
        <patternFill patternType="solid">
          <fgColor rgb="FFEBF3FB"/>
          <bgColor rgb="FFF2F7F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bottom style="thin">
          <color rgb="FFBFBFBF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C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A0B409-4628-F744-89AE-CFF63DE48FE0}" name="Table1" displayName="Table1" ref="A1:D43" totalsRowShown="0" headerRowDxfId="0" tableBorderDxfId="4">
  <autoFilter ref="A1:D43" xr:uid="{33A0B409-4628-F744-89AE-CFF63DE48FE0}"/>
  <tableColumns count="4">
    <tableColumn id="1" xr3:uid="{93F6B129-0936-024F-9AF6-F23FEAA33BD2}" name="Sales - Formula Practice" dataDxfId="3"/>
    <tableColumn id="2" xr3:uid="{A80B7A81-B867-234A-BD06-65B898CA5699}" name="Column1" dataDxfId="2"/>
    <tableColumn id="3" xr3:uid="{9A7942B5-E016-3D42-8FFB-CC3114D8F6F1}" name="Column2" dataDxfId="1"/>
    <tableColumn id="4" xr3:uid="{863D5A1E-B204-394B-B8A9-D1193211C5C8}" name="Column3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54"/>
  <sheetViews>
    <sheetView zoomScale="145" zoomScaleNormal="145" workbookViewId="0">
      <pane ySplit="1" topLeftCell="A2" activePane="bottomLeft" state="frozen"/>
      <selection activeCell="H1" sqref="H1"/>
      <selection pane="bottomLeft" activeCell="D1" sqref="D1:D1048576"/>
    </sheetView>
  </sheetViews>
  <sheetFormatPr baseColWidth="10" defaultColWidth="8.6640625" defaultRowHeight="15" x14ac:dyDescent="0.2"/>
  <cols>
    <col min="1" max="1" width="8.5" customWidth="1"/>
    <col min="2" max="2" width="11.83203125" customWidth="1"/>
    <col min="3" max="3" width="11.6640625" customWidth="1"/>
    <col min="4" max="4" width="10.6640625" customWidth="1"/>
    <col min="5" max="5" width="13.33203125" customWidth="1"/>
    <col min="6" max="6" width="8.5" customWidth="1"/>
    <col min="7" max="7" width="14.5" customWidth="1"/>
    <col min="8" max="9" width="13.5" customWidth="1"/>
    <col min="10" max="11" width="28.83203125" customWidth="1"/>
    <col min="13" max="13" width="16.5" customWidth="1"/>
    <col min="14" max="14" width="13.6640625" customWidth="1"/>
    <col min="15" max="15" width="17.33203125" customWidth="1"/>
    <col min="16" max="16" width="10.6640625" customWidth="1"/>
    <col min="17" max="17" width="13.6640625" customWidth="1"/>
    <col min="18" max="35" width="10.6640625" customWidth="1"/>
    <col min="37" max="37" width="45.5" customWidth="1"/>
    <col min="38" max="38" width="12.5" customWidth="1"/>
  </cols>
  <sheetData>
    <row r="1" spans="1:38" ht="14.2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 t="s">
        <v>17</v>
      </c>
      <c r="AK1" s="1" t="s">
        <v>18</v>
      </c>
      <c r="AL1" s="1" t="s">
        <v>19</v>
      </c>
    </row>
    <row r="2" spans="1:38" ht="14.25" customHeight="1" x14ac:dyDescent="0.2">
      <c r="A2" s="1">
        <v>13729</v>
      </c>
      <c r="B2" s="1" t="s">
        <v>20</v>
      </c>
      <c r="C2" s="1" t="s">
        <v>21</v>
      </c>
      <c r="D2" s="2">
        <v>41640</v>
      </c>
      <c r="E2" s="1" t="s">
        <v>22</v>
      </c>
      <c r="F2" s="1" t="s">
        <v>23</v>
      </c>
      <c r="G2" s="1">
        <v>9</v>
      </c>
      <c r="H2" s="1">
        <v>95.99</v>
      </c>
      <c r="I2" s="1">
        <f t="shared" ref="I2:I65" si="0">G2*H2</f>
        <v>863.91</v>
      </c>
      <c r="J2" t="str">
        <f t="shared" ref="J2:J65" si="1">IF(I2&lt;1000,"Low","High")</f>
        <v>Low</v>
      </c>
      <c r="K2" t="s">
        <v>24</v>
      </c>
      <c r="L2" s="1">
        <v>0.08</v>
      </c>
      <c r="M2" s="1">
        <v>35</v>
      </c>
      <c r="N2" s="1" t="s">
        <v>25</v>
      </c>
      <c r="O2" s="1" t="s">
        <v>26</v>
      </c>
      <c r="P2" s="2">
        <v>41642</v>
      </c>
      <c r="Q2" s="2" t="b">
        <f t="shared" ref="Q2:Q65" si="2">AND(N2="Express Air",O2="Large Box")</f>
        <v>1</v>
      </c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>
        <f>SUM(G2:G2154)</f>
        <v>54380</v>
      </c>
      <c r="AK2" t="s">
        <v>27</v>
      </c>
      <c r="AL2" t="s">
        <v>28</v>
      </c>
    </row>
    <row r="3" spans="1:38" ht="14.25" customHeight="1" x14ac:dyDescent="0.2">
      <c r="A3" s="1">
        <v>28774</v>
      </c>
      <c r="B3" s="1" t="s">
        <v>29</v>
      </c>
      <c r="C3" s="1" t="s">
        <v>30</v>
      </c>
      <c r="D3" s="2">
        <v>41640</v>
      </c>
      <c r="E3" s="1" t="s">
        <v>31</v>
      </c>
      <c r="F3" s="1" t="s">
        <v>32</v>
      </c>
      <c r="G3" s="1">
        <v>32</v>
      </c>
      <c r="H3" s="1">
        <v>5.98</v>
      </c>
      <c r="I3" s="1">
        <f t="shared" si="0"/>
        <v>191.36</v>
      </c>
      <c r="J3" t="str">
        <f t="shared" si="1"/>
        <v>Low</v>
      </c>
      <c r="K3" s="1"/>
      <c r="L3" s="1">
        <v>0.1</v>
      </c>
      <c r="M3" s="1">
        <v>4.6900000000000004</v>
      </c>
      <c r="N3" s="1" t="s">
        <v>33</v>
      </c>
      <c r="O3" s="1" t="s">
        <v>34</v>
      </c>
      <c r="P3" s="2">
        <v>41641</v>
      </c>
      <c r="Q3" s="2" t="b">
        <f t="shared" si="2"/>
        <v>0</v>
      </c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>
        <f ca="1">SUMIF(N1:N2154,"Express Air",G2:G2154)</f>
        <v>6397</v>
      </c>
      <c r="AK3" t="s">
        <v>35</v>
      </c>
      <c r="AL3" t="s">
        <v>36</v>
      </c>
    </row>
    <row r="4" spans="1:38" ht="14.25" customHeight="1" x14ac:dyDescent="0.2">
      <c r="A4" s="1">
        <v>9285</v>
      </c>
      <c r="B4" s="1" t="s">
        <v>37</v>
      </c>
      <c r="C4" s="1" t="s">
        <v>21</v>
      </c>
      <c r="D4" s="2">
        <v>41641</v>
      </c>
      <c r="E4" s="1" t="s">
        <v>38</v>
      </c>
      <c r="F4" s="1" t="s">
        <v>39</v>
      </c>
      <c r="G4" s="1">
        <v>3</v>
      </c>
      <c r="H4" s="1">
        <v>40.98</v>
      </c>
      <c r="I4" s="1">
        <f t="shared" si="0"/>
        <v>122.94</v>
      </c>
      <c r="J4" t="str">
        <f t="shared" si="1"/>
        <v>Low</v>
      </c>
      <c r="K4" s="1"/>
      <c r="L4" s="1">
        <v>0.06</v>
      </c>
      <c r="M4" s="1">
        <v>2.99</v>
      </c>
      <c r="N4" s="1" t="s">
        <v>33</v>
      </c>
      <c r="O4" s="1" t="s">
        <v>34</v>
      </c>
      <c r="P4" s="2">
        <v>41643</v>
      </c>
      <c r="Q4" s="2" t="b">
        <f t="shared" si="2"/>
        <v>0</v>
      </c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>
        <f>SUMIFS(G1:G2154,N1:N2154,"Express Air",O1:O2154,"Large Box")</f>
        <v>456</v>
      </c>
      <c r="AK4" t="s">
        <v>40</v>
      </c>
      <c r="AL4" t="s">
        <v>41</v>
      </c>
    </row>
    <row r="5" spans="1:38" ht="14.25" customHeight="1" x14ac:dyDescent="0.2">
      <c r="A5" s="1">
        <v>37537</v>
      </c>
      <c r="B5" s="1" t="s">
        <v>42</v>
      </c>
      <c r="C5" s="1" t="s">
        <v>21</v>
      </c>
      <c r="D5" s="2">
        <v>41641</v>
      </c>
      <c r="E5" s="1" t="s">
        <v>43</v>
      </c>
      <c r="F5" s="1" t="s">
        <v>44</v>
      </c>
      <c r="G5" s="1">
        <v>4</v>
      </c>
      <c r="H5" s="1">
        <v>291.73</v>
      </c>
      <c r="I5" s="1">
        <f t="shared" si="0"/>
        <v>1166.92</v>
      </c>
      <c r="J5" t="str">
        <f t="shared" si="1"/>
        <v>High</v>
      </c>
      <c r="K5" s="1"/>
      <c r="L5" s="1">
        <v>0</v>
      </c>
      <c r="M5" s="1">
        <v>48.8</v>
      </c>
      <c r="N5" s="1" t="s">
        <v>45</v>
      </c>
      <c r="O5" s="1" t="s">
        <v>46</v>
      </c>
      <c r="P5" s="2">
        <v>41641</v>
      </c>
      <c r="Q5" s="2" t="b">
        <f t="shared" si="2"/>
        <v>0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>
        <f>MIN(G2:G2154)</f>
        <v>1</v>
      </c>
      <c r="AK5" t="s">
        <v>47</v>
      </c>
    </row>
    <row r="6" spans="1:38" ht="14.25" customHeight="1" x14ac:dyDescent="0.2">
      <c r="A6" s="1">
        <v>37537</v>
      </c>
      <c r="B6" s="1" t="s">
        <v>42</v>
      </c>
      <c r="C6" s="1" t="s">
        <v>21</v>
      </c>
      <c r="D6" s="2">
        <v>41641</v>
      </c>
      <c r="E6" s="1" t="s">
        <v>43</v>
      </c>
      <c r="F6" s="1" t="s">
        <v>48</v>
      </c>
      <c r="G6" s="1">
        <v>43</v>
      </c>
      <c r="H6" s="1">
        <v>100.98</v>
      </c>
      <c r="I6" s="1">
        <f t="shared" si="0"/>
        <v>4342.1400000000003</v>
      </c>
      <c r="J6" t="str">
        <f t="shared" si="1"/>
        <v>High</v>
      </c>
      <c r="K6" s="1" t="s">
        <v>49</v>
      </c>
      <c r="L6" s="1">
        <v>7.0000000000000007E-2</v>
      </c>
      <c r="M6" s="1">
        <v>45</v>
      </c>
      <c r="N6" s="1" t="s">
        <v>45</v>
      </c>
      <c r="O6" s="1" t="s">
        <v>46</v>
      </c>
      <c r="P6" s="2">
        <v>41643</v>
      </c>
      <c r="Q6" s="2" t="b">
        <f t="shared" si="2"/>
        <v>0</v>
      </c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>
        <f>MAX(G2:G2154)</f>
        <v>50</v>
      </c>
      <c r="AK6" t="s">
        <v>50</v>
      </c>
    </row>
    <row r="7" spans="1:38" ht="14.25" customHeight="1" x14ac:dyDescent="0.2">
      <c r="A7" s="1">
        <v>37537</v>
      </c>
      <c r="B7" s="1" t="s">
        <v>42</v>
      </c>
      <c r="C7" s="1" t="s">
        <v>51</v>
      </c>
      <c r="D7" s="2">
        <v>41641</v>
      </c>
      <c r="E7" s="1" t="s">
        <v>43</v>
      </c>
      <c r="F7" s="1" t="s">
        <v>52</v>
      </c>
      <c r="G7" s="1">
        <v>32</v>
      </c>
      <c r="H7" s="1">
        <v>155.06</v>
      </c>
      <c r="I7" s="1">
        <f t="shared" si="0"/>
        <v>4961.92</v>
      </c>
      <c r="J7" t="str">
        <f t="shared" si="1"/>
        <v>High</v>
      </c>
      <c r="K7" s="1"/>
      <c r="L7" s="1">
        <v>0.05</v>
      </c>
      <c r="M7" s="1">
        <v>7.07</v>
      </c>
      <c r="N7" s="1" t="s">
        <v>33</v>
      </c>
      <c r="O7" s="1" t="s">
        <v>34</v>
      </c>
      <c r="P7" s="2">
        <v>41648</v>
      </c>
      <c r="Q7" s="2" t="b">
        <f t="shared" si="2"/>
        <v>0</v>
      </c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8" spans="1:38" ht="14.25" customHeight="1" x14ac:dyDescent="0.2">
      <c r="A8" s="1">
        <v>44069</v>
      </c>
      <c r="B8" s="1" t="s">
        <v>53</v>
      </c>
      <c r="C8" s="1" t="s">
        <v>30</v>
      </c>
      <c r="D8" s="2">
        <v>41641</v>
      </c>
      <c r="E8" s="1" t="s">
        <v>38</v>
      </c>
      <c r="F8" s="1" t="s">
        <v>54</v>
      </c>
      <c r="G8" s="1">
        <v>16</v>
      </c>
      <c r="H8" s="1">
        <v>9.11</v>
      </c>
      <c r="I8" s="1">
        <f t="shared" si="0"/>
        <v>145.76</v>
      </c>
      <c r="J8" t="str">
        <f t="shared" si="1"/>
        <v>Low</v>
      </c>
      <c r="K8" s="1"/>
      <c r="L8" s="1">
        <v>0.09</v>
      </c>
      <c r="M8" s="1">
        <v>2.15</v>
      </c>
      <c r="N8" s="1" t="s">
        <v>25</v>
      </c>
      <c r="O8" s="1" t="s">
        <v>55</v>
      </c>
      <c r="P8" s="2">
        <v>41643</v>
      </c>
      <c r="Q8" s="2" t="b">
        <f t="shared" si="2"/>
        <v>0</v>
      </c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9" spans="1:38" ht="14.25" customHeight="1" x14ac:dyDescent="0.2">
      <c r="A9" s="1">
        <v>44069</v>
      </c>
      <c r="B9" s="1" t="s">
        <v>53</v>
      </c>
      <c r="C9" s="1" t="s">
        <v>30</v>
      </c>
      <c r="D9" s="2">
        <v>41641</v>
      </c>
      <c r="E9" s="1" t="s">
        <v>38</v>
      </c>
      <c r="F9" s="1" t="s">
        <v>56</v>
      </c>
      <c r="G9" s="1">
        <v>43</v>
      </c>
      <c r="H9" s="1">
        <v>15.04</v>
      </c>
      <c r="I9" s="1">
        <f t="shared" si="0"/>
        <v>646.71999999999991</v>
      </c>
      <c r="J9" t="str">
        <f t="shared" si="1"/>
        <v>Low</v>
      </c>
      <c r="K9" s="1"/>
      <c r="L9" s="1">
        <v>0.08</v>
      </c>
      <c r="M9" s="1">
        <v>1.97</v>
      </c>
      <c r="N9" s="1" t="s">
        <v>33</v>
      </c>
      <c r="O9" s="1" t="s">
        <v>55</v>
      </c>
      <c r="P9" s="2">
        <v>41641</v>
      </c>
      <c r="Q9" s="2" t="b">
        <f t="shared" si="2"/>
        <v>0</v>
      </c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</row>
    <row r="10" spans="1:38" ht="14.25" customHeight="1" x14ac:dyDescent="0.2">
      <c r="A10" s="1">
        <v>30016</v>
      </c>
      <c r="B10" s="1" t="s">
        <v>57</v>
      </c>
      <c r="C10" s="1" t="s">
        <v>30</v>
      </c>
      <c r="D10" s="2">
        <v>41642</v>
      </c>
      <c r="E10" s="1" t="s">
        <v>38</v>
      </c>
      <c r="F10" s="1" t="s">
        <v>58</v>
      </c>
      <c r="G10" s="1">
        <v>15</v>
      </c>
      <c r="H10" s="1">
        <v>5.28</v>
      </c>
      <c r="I10" s="1">
        <f t="shared" si="0"/>
        <v>79.2</v>
      </c>
      <c r="J10" t="str">
        <f t="shared" si="1"/>
        <v>Low</v>
      </c>
      <c r="K10" s="1"/>
      <c r="L10" s="1">
        <v>0.03</v>
      </c>
      <c r="M10" s="1">
        <v>5.66</v>
      </c>
      <c r="N10" s="1" t="s">
        <v>33</v>
      </c>
      <c r="O10" s="1" t="s">
        <v>34</v>
      </c>
      <c r="P10" s="2">
        <v>41644</v>
      </c>
      <c r="Q10" s="2" t="b">
        <f t="shared" si="2"/>
        <v>0</v>
      </c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</row>
    <row r="11" spans="1:38" ht="14.25" customHeight="1" x14ac:dyDescent="0.2">
      <c r="A11" s="1">
        <v>30016</v>
      </c>
      <c r="B11" s="1" t="s">
        <v>57</v>
      </c>
      <c r="C11" s="1" t="s">
        <v>30</v>
      </c>
      <c r="D11" s="2">
        <v>41642</v>
      </c>
      <c r="E11" s="1" t="s">
        <v>38</v>
      </c>
      <c r="F11" s="1" t="s">
        <v>59</v>
      </c>
      <c r="G11" s="1">
        <v>8</v>
      </c>
      <c r="H11" s="1">
        <v>110.99</v>
      </c>
      <c r="I11" s="1">
        <f t="shared" si="0"/>
        <v>887.92</v>
      </c>
      <c r="J11" t="str">
        <f t="shared" si="1"/>
        <v>Low</v>
      </c>
      <c r="K11" s="1"/>
      <c r="L11" s="1">
        <v>0.01</v>
      </c>
      <c r="M11" s="1">
        <v>2.5</v>
      </c>
      <c r="N11" s="1" t="s">
        <v>33</v>
      </c>
      <c r="O11" s="1" t="s">
        <v>34</v>
      </c>
      <c r="P11" s="2">
        <v>41645</v>
      </c>
      <c r="Q11" s="2" t="b">
        <f t="shared" si="2"/>
        <v>0</v>
      </c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</row>
    <row r="12" spans="1:38" ht="14.25" customHeight="1" x14ac:dyDescent="0.2">
      <c r="A12" s="1">
        <v>40354</v>
      </c>
      <c r="B12" s="1" t="s">
        <v>60</v>
      </c>
      <c r="C12" s="1" t="s">
        <v>51</v>
      </c>
      <c r="D12" s="2">
        <v>41642</v>
      </c>
      <c r="E12" s="1" t="s">
        <v>31</v>
      </c>
      <c r="F12" s="1" t="s">
        <v>61</v>
      </c>
      <c r="G12" s="1">
        <v>29</v>
      </c>
      <c r="H12" s="1">
        <v>5.58</v>
      </c>
      <c r="I12" s="1">
        <f t="shared" si="0"/>
        <v>161.82</v>
      </c>
      <c r="J12" t="str">
        <f t="shared" si="1"/>
        <v>Low</v>
      </c>
      <c r="K12" s="1"/>
      <c r="L12" s="1">
        <v>0.03</v>
      </c>
      <c r="M12" s="1">
        <v>2.99</v>
      </c>
      <c r="N12" s="1" t="s">
        <v>33</v>
      </c>
      <c r="O12" s="1" t="s">
        <v>34</v>
      </c>
      <c r="P12" s="2">
        <v>41643</v>
      </c>
      <c r="Q12" s="2" t="b">
        <f t="shared" si="2"/>
        <v>0</v>
      </c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</row>
    <row r="13" spans="1:38" ht="14.25" customHeight="1" x14ac:dyDescent="0.2">
      <c r="A13" s="1">
        <v>40354</v>
      </c>
      <c r="B13" s="1" t="s">
        <v>60</v>
      </c>
      <c r="C13" s="1" t="s">
        <v>30</v>
      </c>
      <c r="D13" s="2">
        <v>41642</v>
      </c>
      <c r="E13" s="1" t="s">
        <v>31</v>
      </c>
      <c r="F13" s="1" t="s">
        <v>62</v>
      </c>
      <c r="G13" s="1">
        <v>4</v>
      </c>
      <c r="H13" s="1">
        <v>212.6</v>
      </c>
      <c r="I13" s="1">
        <f t="shared" si="0"/>
        <v>850.4</v>
      </c>
      <c r="J13" t="str">
        <f t="shared" si="1"/>
        <v>Low</v>
      </c>
      <c r="K13" s="1"/>
      <c r="L13" s="1">
        <v>0.09</v>
      </c>
      <c r="M13" s="1">
        <v>52.2</v>
      </c>
      <c r="N13" s="1" t="s">
        <v>45</v>
      </c>
      <c r="O13" s="1" t="s">
        <v>63</v>
      </c>
      <c r="P13" s="2">
        <v>41643</v>
      </c>
      <c r="Q13" s="2" t="b">
        <f t="shared" si="2"/>
        <v>0</v>
      </c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</row>
    <row r="14" spans="1:38" ht="14.25" customHeight="1" x14ac:dyDescent="0.2">
      <c r="A14" s="1">
        <v>9637</v>
      </c>
      <c r="B14" s="1" t="s">
        <v>64</v>
      </c>
      <c r="C14" s="1" t="s">
        <v>30</v>
      </c>
      <c r="D14" s="2">
        <v>41642</v>
      </c>
      <c r="E14" s="1" t="s">
        <v>43</v>
      </c>
      <c r="F14" s="1" t="s">
        <v>65</v>
      </c>
      <c r="G14" s="1">
        <v>12</v>
      </c>
      <c r="H14" s="1">
        <v>43.22</v>
      </c>
      <c r="I14" s="1">
        <f t="shared" si="0"/>
        <v>518.64</v>
      </c>
      <c r="J14" t="str">
        <f t="shared" si="1"/>
        <v>Low</v>
      </c>
      <c r="K14" s="1"/>
      <c r="L14" s="1">
        <v>0.08</v>
      </c>
      <c r="M14" s="1">
        <v>16.71</v>
      </c>
      <c r="N14" s="1" t="s">
        <v>33</v>
      </c>
      <c r="O14" s="1" t="s">
        <v>34</v>
      </c>
      <c r="P14" s="2">
        <v>41644</v>
      </c>
      <c r="Q14" s="2" t="b">
        <f t="shared" si="2"/>
        <v>0</v>
      </c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</row>
    <row r="15" spans="1:38" ht="14.25" customHeight="1" x14ac:dyDescent="0.2">
      <c r="A15" s="1">
        <v>9637</v>
      </c>
      <c r="B15" s="1" t="s">
        <v>64</v>
      </c>
      <c r="C15" s="1" t="s">
        <v>21</v>
      </c>
      <c r="D15" s="2">
        <v>41642</v>
      </c>
      <c r="E15" s="1" t="s">
        <v>43</v>
      </c>
      <c r="F15" s="1" t="s">
        <v>66</v>
      </c>
      <c r="G15" s="1">
        <v>49</v>
      </c>
      <c r="H15" s="1">
        <v>574.74</v>
      </c>
      <c r="I15" s="1">
        <f t="shared" si="0"/>
        <v>28162.260000000002</v>
      </c>
      <c r="J15" t="str">
        <f t="shared" si="1"/>
        <v>High</v>
      </c>
      <c r="K15" s="1"/>
      <c r="L15" s="1">
        <v>0.05</v>
      </c>
      <c r="M15" s="1">
        <v>24.49</v>
      </c>
      <c r="N15" s="1" t="s">
        <v>33</v>
      </c>
      <c r="O15" s="1" t="s">
        <v>26</v>
      </c>
      <c r="P15" s="2">
        <v>41649</v>
      </c>
      <c r="Q15" s="2" t="b">
        <f t="shared" si="2"/>
        <v>0</v>
      </c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</row>
    <row r="16" spans="1:38" ht="14.25" customHeight="1" x14ac:dyDescent="0.2">
      <c r="A16" s="1">
        <v>9637</v>
      </c>
      <c r="B16" s="1" t="s">
        <v>64</v>
      </c>
      <c r="C16" s="1" t="s">
        <v>51</v>
      </c>
      <c r="D16" s="2">
        <v>41642</v>
      </c>
      <c r="E16" s="1" t="s">
        <v>43</v>
      </c>
      <c r="F16" s="1" t="s">
        <v>67</v>
      </c>
      <c r="G16" s="1">
        <v>12</v>
      </c>
      <c r="H16" s="1">
        <v>10.14</v>
      </c>
      <c r="I16" s="1">
        <f t="shared" si="0"/>
        <v>121.68</v>
      </c>
      <c r="J16" t="str">
        <f t="shared" si="1"/>
        <v>Low</v>
      </c>
      <c r="K16" s="1"/>
      <c r="L16" s="1">
        <v>0.04</v>
      </c>
      <c r="M16" s="1">
        <v>2.27</v>
      </c>
      <c r="N16" s="1" t="s">
        <v>33</v>
      </c>
      <c r="O16" s="1" t="s">
        <v>55</v>
      </c>
      <c r="P16" s="2">
        <v>41646</v>
      </c>
      <c r="Q16" s="2" t="b">
        <f t="shared" si="2"/>
        <v>0</v>
      </c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</row>
    <row r="17" spans="1:35" ht="14.25" customHeight="1" x14ac:dyDescent="0.2">
      <c r="A17" s="1">
        <v>7909</v>
      </c>
      <c r="B17" s="1" t="s">
        <v>68</v>
      </c>
      <c r="C17" s="1" t="s">
        <v>51</v>
      </c>
      <c r="D17" s="2">
        <v>41642</v>
      </c>
      <c r="E17" s="1" t="s">
        <v>31</v>
      </c>
      <c r="F17" s="1" t="s">
        <v>69</v>
      </c>
      <c r="G17" s="1">
        <v>29</v>
      </c>
      <c r="H17" s="1">
        <v>4.26</v>
      </c>
      <c r="I17" s="1">
        <f t="shared" si="0"/>
        <v>123.53999999999999</v>
      </c>
      <c r="J17" t="str">
        <f t="shared" si="1"/>
        <v>Low</v>
      </c>
      <c r="K17" s="1"/>
      <c r="L17" s="1">
        <v>0.03</v>
      </c>
      <c r="M17" s="1">
        <v>1.2</v>
      </c>
      <c r="N17" s="1" t="s">
        <v>33</v>
      </c>
      <c r="O17" s="1" t="s">
        <v>55</v>
      </c>
      <c r="P17" s="2">
        <v>41643</v>
      </c>
      <c r="Q17" s="2" t="b">
        <f t="shared" si="2"/>
        <v>0</v>
      </c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</row>
    <row r="18" spans="1:35" ht="14.25" customHeight="1" x14ac:dyDescent="0.2">
      <c r="A18" s="1">
        <v>9762</v>
      </c>
      <c r="B18" s="1" t="s">
        <v>70</v>
      </c>
      <c r="C18" s="1" t="s">
        <v>21</v>
      </c>
      <c r="D18" s="2">
        <v>41642</v>
      </c>
      <c r="E18" s="1" t="s">
        <v>31</v>
      </c>
      <c r="F18" s="1" t="s">
        <v>71</v>
      </c>
      <c r="G18" s="1">
        <v>12</v>
      </c>
      <c r="H18" s="1">
        <v>20.98</v>
      </c>
      <c r="I18" s="1">
        <f t="shared" si="0"/>
        <v>251.76</v>
      </c>
      <c r="J18" t="str">
        <f t="shared" si="1"/>
        <v>Low</v>
      </c>
      <c r="K18" s="1"/>
      <c r="L18" s="1">
        <v>0.05</v>
      </c>
      <c r="M18" s="1">
        <v>21.2</v>
      </c>
      <c r="N18" s="1" t="s">
        <v>33</v>
      </c>
      <c r="O18" s="1" t="s">
        <v>72</v>
      </c>
      <c r="P18" s="2">
        <v>41643</v>
      </c>
      <c r="Q18" s="2" t="b">
        <f t="shared" si="2"/>
        <v>0</v>
      </c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</row>
    <row r="19" spans="1:35" ht="14.25" customHeight="1" x14ac:dyDescent="0.2">
      <c r="A19" s="1">
        <v>11972</v>
      </c>
      <c r="B19" s="1" t="s">
        <v>73</v>
      </c>
      <c r="C19" s="1" t="s">
        <v>30</v>
      </c>
      <c r="D19" s="2">
        <v>41642</v>
      </c>
      <c r="E19" s="1" t="s">
        <v>22</v>
      </c>
      <c r="F19" s="1" t="s">
        <v>74</v>
      </c>
      <c r="G19" s="1">
        <v>4</v>
      </c>
      <c r="H19" s="1">
        <v>213.45</v>
      </c>
      <c r="I19" s="1">
        <f t="shared" si="0"/>
        <v>853.8</v>
      </c>
      <c r="J19" t="str">
        <f t="shared" si="1"/>
        <v>Low</v>
      </c>
      <c r="K19" s="1"/>
      <c r="L19" s="1">
        <v>0</v>
      </c>
      <c r="M19" s="1">
        <v>14.7</v>
      </c>
      <c r="N19" s="1" t="s">
        <v>45</v>
      </c>
      <c r="O19" s="1" t="s">
        <v>46</v>
      </c>
      <c r="P19" s="2">
        <v>41644</v>
      </c>
      <c r="Q19" s="2" t="b">
        <f t="shared" si="2"/>
        <v>0</v>
      </c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</row>
    <row r="20" spans="1:35" ht="14.25" customHeight="1" x14ac:dyDescent="0.2">
      <c r="A20" s="1">
        <v>8710</v>
      </c>
      <c r="B20" s="1" t="s">
        <v>75</v>
      </c>
      <c r="C20" s="1" t="s">
        <v>21</v>
      </c>
      <c r="D20" s="2">
        <v>41643</v>
      </c>
      <c r="E20" s="1" t="s">
        <v>38</v>
      </c>
      <c r="F20" s="1" t="s">
        <v>76</v>
      </c>
      <c r="G20" s="1">
        <v>17</v>
      </c>
      <c r="H20" s="1">
        <v>3.36</v>
      </c>
      <c r="I20" s="1">
        <f t="shared" si="0"/>
        <v>57.12</v>
      </c>
      <c r="J20" t="str">
        <f t="shared" si="1"/>
        <v>Low</v>
      </c>
      <c r="K20" s="1"/>
      <c r="L20" s="1">
        <v>0.03</v>
      </c>
      <c r="M20" s="1">
        <v>6.27</v>
      </c>
      <c r="N20" s="1" t="s">
        <v>33</v>
      </c>
      <c r="O20" s="1" t="s">
        <v>34</v>
      </c>
      <c r="P20" s="2">
        <v>41644</v>
      </c>
      <c r="Q20" s="2" t="b">
        <f t="shared" si="2"/>
        <v>0</v>
      </c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</row>
    <row r="21" spans="1:35" ht="14.25" customHeight="1" x14ac:dyDescent="0.2">
      <c r="A21" s="1">
        <v>8710</v>
      </c>
      <c r="B21" s="1" t="s">
        <v>75</v>
      </c>
      <c r="C21" s="1" t="s">
        <v>30</v>
      </c>
      <c r="D21" s="2">
        <v>41643</v>
      </c>
      <c r="E21" s="1" t="s">
        <v>38</v>
      </c>
      <c r="F21" s="1" t="s">
        <v>77</v>
      </c>
      <c r="G21" s="1">
        <v>42</v>
      </c>
      <c r="H21" s="1">
        <v>3.71</v>
      </c>
      <c r="I21" s="1">
        <f t="shared" si="0"/>
        <v>155.82</v>
      </c>
      <c r="J21" t="str">
        <f t="shared" si="1"/>
        <v>Low</v>
      </c>
      <c r="K21" s="1"/>
      <c r="L21" s="1">
        <v>7.0000000000000007E-2</v>
      </c>
      <c r="M21" s="1">
        <v>1.93</v>
      </c>
      <c r="N21" s="1" t="s">
        <v>25</v>
      </c>
      <c r="O21" s="1" t="s">
        <v>55</v>
      </c>
      <c r="P21" s="2">
        <v>41645</v>
      </c>
      <c r="Q21" s="2" t="b">
        <f t="shared" si="2"/>
        <v>0</v>
      </c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</row>
    <row r="22" spans="1:35" ht="14.25" customHeight="1" x14ac:dyDescent="0.2">
      <c r="A22" s="1">
        <v>49730</v>
      </c>
      <c r="B22" s="1" t="s">
        <v>78</v>
      </c>
      <c r="C22" s="1" t="s">
        <v>21</v>
      </c>
      <c r="D22" s="2">
        <v>41643</v>
      </c>
      <c r="E22" s="1" t="s">
        <v>31</v>
      </c>
      <c r="F22" s="1" t="s">
        <v>79</v>
      </c>
      <c r="G22" s="1">
        <v>3</v>
      </c>
      <c r="H22" s="1">
        <v>350.98</v>
      </c>
      <c r="I22" s="1">
        <f t="shared" si="0"/>
        <v>1052.94</v>
      </c>
      <c r="J22" t="str">
        <f t="shared" si="1"/>
        <v>High</v>
      </c>
      <c r="K22" s="1"/>
      <c r="L22" s="1">
        <v>0.06</v>
      </c>
      <c r="M22" s="1">
        <v>30</v>
      </c>
      <c r="N22" s="1" t="s">
        <v>45</v>
      </c>
      <c r="O22" s="1" t="s">
        <v>46</v>
      </c>
      <c r="P22" s="2">
        <v>41644</v>
      </c>
      <c r="Q22" s="2" t="b">
        <f t="shared" si="2"/>
        <v>0</v>
      </c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</row>
    <row r="23" spans="1:35" ht="14.25" customHeight="1" x14ac:dyDescent="0.2">
      <c r="A23" s="1">
        <v>52386</v>
      </c>
      <c r="B23" s="1" t="s">
        <v>80</v>
      </c>
      <c r="C23" s="1" t="s">
        <v>51</v>
      </c>
      <c r="D23" s="2">
        <v>41644</v>
      </c>
      <c r="E23" s="1" t="s">
        <v>31</v>
      </c>
      <c r="F23" s="1" t="s">
        <v>81</v>
      </c>
      <c r="G23" s="1">
        <v>6</v>
      </c>
      <c r="H23" s="1">
        <v>120.97</v>
      </c>
      <c r="I23" s="1">
        <f t="shared" si="0"/>
        <v>725.81999999999994</v>
      </c>
      <c r="J23" t="str">
        <f t="shared" si="1"/>
        <v>Low</v>
      </c>
      <c r="K23" s="1"/>
      <c r="L23" s="1">
        <v>0.08</v>
      </c>
      <c r="M23" s="1">
        <v>26.3</v>
      </c>
      <c r="N23" s="1" t="s">
        <v>45</v>
      </c>
      <c r="O23" s="1" t="s">
        <v>46</v>
      </c>
      <c r="P23" s="2">
        <v>41646</v>
      </c>
      <c r="Q23" s="2" t="b">
        <f t="shared" si="2"/>
        <v>0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</row>
    <row r="24" spans="1:35" ht="14.25" customHeight="1" x14ac:dyDescent="0.2">
      <c r="A24" s="1">
        <v>1028</v>
      </c>
      <c r="B24" s="1" t="s">
        <v>82</v>
      </c>
      <c r="C24" s="1" t="s">
        <v>51</v>
      </c>
      <c r="D24" s="2">
        <v>41644</v>
      </c>
      <c r="E24" s="1" t="s">
        <v>31</v>
      </c>
      <c r="F24" s="1" t="s">
        <v>83</v>
      </c>
      <c r="G24" s="1">
        <v>6</v>
      </c>
      <c r="H24" s="1">
        <v>28.48</v>
      </c>
      <c r="I24" s="1">
        <f t="shared" si="0"/>
        <v>170.88</v>
      </c>
      <c r="J24" t="str">
        <f t="shared" si="1"/>
        <v>Low</v>
      </c>
      <c r="K24" s="1"/>
      <c r="L24" s="1">
        <v>0.03</v>
      </c>
      <c r="M24" s="1">
        <v>1.99</v>
      </c>
      <c r="N24" s="1" t="s">
        <v>33</v>
      </c>
      <c r="O24" s="1" t="s">
        <v>84</v>
      </c>
      <c r="P24" s="2">
        <v>41645</v>
      </c>
      <c r="Q24" s="2" t="b">
        <f t="shared" si="2"/>
        <v>0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</row>
    <row r="25" spans="1:35" ht="14.25" customHeight="1" x14ac:dyDescent="0.2">
      <c r="A25" s="1">
        <v>1028</v>
      </c>
      <c r="B25" s="1" t="s">
        <v>82</v>
      </c>
      <c r="C25" s="1" t="s">
        <v>21</v>
      </c>
      <c r="D25" s="2">
        <v>41644</v>
      </c>
      <c r="E25" s="1" t="s">
        <v>31</v>
      </c>
      <c r="F25" s="1" t="s">
        <v>85</v>
      </c>
      <c r="G25" s="1">
        <v>11</v>
      </c>
      <c r="H25" s="1">
        <v>205.99</v>
      </c>
      <c r="I25" s="1">
        <f t="shared" si="0"/>
        <v>2265.8900000000003</v>
      </c>
      <c r="J25" t="str">
        <f t="shared" si="1"/>
        <v>High</v>
      </c>
      <c r="K25" s="1"/>
      <c r="L25" s="1">
        <v>0.01</v>
      </c>
      <c r="M25" s="1">
        <v>5.99</v>
      </c>
      <c r="N25" s="1" t="s">
        <v>33</v>
      </c>
      <c r="O25" s="1" t="s">
        <v>34</v>
      </c>
      <c r="P25" s="2">
        <v>41646</v>
      </c>
      <c r="Q25" s="2" t="b">
        <f t="shared" si="2"/>
        <v>0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</row>
    <row r="26" spans="1:35" ht="14.25" customHeight="1" x14ac:dyDescent="0.2">
      <c r="A26" s="1">
        <v>32418</v>
      </c>
      <c r="B26" s="1" t="s">
        <v>86</v>
      </c>
      <c r="C26" s="1" t="s">
        <v>21</v>
      </c>
      <c r="D26" s="2">
        <v>41644</v>
      </c>
      <c r="E26" s="1" t="s">
        <v>22</v>
      </c>
      <c r="F26" s="1" t="s">
        <v>87</v>
      </c>
      <c r="G26" s="1">
        <v>5</v>
      </c>
      <c r="H26" s="1">
        <v>243.98</v>
      </c>
      <c r="I26" s="1">
        <f t="shared" si="0"/>
        <v>1219.8999999999999</v>
      </c>
      <c r="J26" t="str">
        <f t="shared" si="1"/>
        <v>High</v>
      </c>
      <c r="K26" s="1"/>
      <c r="L26" s="1">
        <v>0.08</v>
      </c>
      <c r="M26" s="1">
        <v>43.32</v>
      </c>
      <c r="N26" s="1" t="s">
        <v>45</v>
      </c>
      <c r="O26" s="1" t="s">
        <v>46</v>
      </c>
      <c r="P26" s="2">
        <v>41645</v>
      </c>
      <c r="Q26" s="2" t="b">
        <f t="shared" si="2"/>
        <v>0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</row>
    <row r="27" spans="1:35" ht="14.25" customHeight="1" x14ac:dyDescent="0.2">
      <c r="A27" s="1">
        <v>28451</v>
      </c>
      <c r="B27" s="1" t="s">
        <v>88</v>
      </c>
      <c r="C27" s="1" t="s">
        <v>30</v>
      </c>
      <c r="D27" s="2">
        <v>41644</v>
      </c>
      <c r="E27" s="1" t="s">
        <v>38</v>
      </c>
      <c r="F27" s="1" t="s">
        <v>89</v>
      </c>
      <c r="G27" s="1">
        <v>21</v>
      </c>
      <c r="H27" s="1">
        <v>194.3</v>
      </c>
      <c r="I27" s="1">
        <f t="shared" si="0"/>
        <v>4080.3</v>
      </c>
      <c r="J27" t="str">
        <f t="shared" si="1"/>
        <v>High</v>
      </c>
      <c r="K27" s="1"/>
      <c r="L27" s="1">
        <v>0.01</v>
      </c>
      <c r="M27" s="1">
        <v>11.54</v>
      </c>
      <c r="N27" s="1" t="s">
        <v>33</v>
      </c>
      <c r="O27" s="1" t="s">
        <v>26</v>
      </c>
      <c r="P27" s="2">
        <v>41646</v>
      </c>
      <c r="Q27" s="2" t="b">
        <f t="shared" si="2"/>
        <v>0</v>
      </c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</row>
    <row r="28" spans="1:35" ht="14.25" customHeight="1" x14ac:dyDescent="0.2">
      <c r="A28" s="1">
        <v>28451</v>
      </c>
      <c r="B28" s="1" t="s">
        <v>88</v>
      </c>
      <c r="C28" s="1" t="s">
        <v>30</v>
      </c>
      <c r="D28" s="2">
        <v>41644</v>
      </c>
      <c r="E28" s="1" t="s">
        <v>38</v>
      </c>
      <c r="F28" s="1" t="s">
        <v>90</v>
      </c>
      <c r="G28" s="1">
        <v>41</v>
      </c>
      <c r="H28" s="1">
        <v>209.84</v>
      </c>
      <c r="I28" s="1">
        <f t="shared" si="0"/>
        <v>8603.44</v>
      </c>
      <c r="J28" t="str">
        <f t="shared" si="1"/>
        <v>High</v>
      </c>
      <c r="K28" s="1"/>
      <c r="L28" s="1">
        <v>0.02</v>
      </c>
      <c r="M28" s="1">
        <v>21.21</v>
      </c>
      <c r="N28" s="1" t="s">
        <v>33</v>
      </c>
      <c r="O28" s="1" t="s">
        <v>26</v>
      </c>
      <c r="P28" s="2">
        <v>41645</v>
      </c>
      <c r="Q28" s="2" t="b">
        <f t="shared" si="2"/>
        <v>0</v>
      </c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</row>
    <row r="29" spans="1:35" ht="14.25" customHeight="1" x14ac:dyDescent="0.2">
      <c r="A29" s="1">
        <v>28451</v>
      </c>
      <c r="B29" s="1" t="s">
        <v>88</v>
      </c>
      <c r="C29" s="1" t="s">
        <v>30</v>
      </c>
      <c r="D29" s="2">
        <v>41644</v>
      </c>
      <c r="E29" s="1" t="s">
        <v>38</v>
      </c>
      <c r="F29" s="1" t="s">
        <v>91</v>
      </c>
      <c r="G29" s="1">
        <v>33</v>
      </c>
      <c r="H29" s="1">
        <v>145.44999999999999</v>
      </c>
      <c r="I29" s="1">
        <f t="shared" si="0"/>
        <v>4799.8499999999995</v>
      </c>
      <c r="J29" t="str">
        <f t="shared" si="1"/>
        <v>High</v>
      </c>
      <c r="K29" s="1"/>
      <c r="L29" s="1">
        <v>0</v>
      </c>
      <c r="M29" s="1">
        <v>17.850000000000001</v>
      </c>
      <c r="N29" s="1" t="s">
        <v>45</v>
      </c>
      <c r="O29" s="1" t="s">
        <v>46</v>
      </c>
      <c r="P29" s="2">
        <v>41646</v>
      </c>
      <c r="Q29" s="2" t="b">
        <f t="shared" si="2"/>
        <v>0</v>
      </c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</row>
    <row r="30" spans="1:35" ht="14.25" customHeight="1" x14ac:dyDescent="0.2">
      <c r="A30" s="1">
        <v>57253</v>
      </c>
      <c r="B30" s="1" t="s">
        <v>92</v>
      </c>
      <c r="C30" s="1" t="s">
        <v>51</v>
      </c>
      <c r="D30" s="2">
        <v>41644</v>
      </c>
      <c r="E30" s="1" t="s">
        <v>38</v>
      </c>
      <c r="F30" s="1" t="s">
        <v>93</v>
      </c>
      <c r="G30" s="1">
        <v>43</v>
      </c>
      <c r="H30" s="1">
        <v>1.81</v>
      </c>
      <c r="I30" s="1">
        <f t="shared" si="0"/>
        <v>77.83</v>
      </c>
      <c r="J30" t="str">
        <f t="shared" si="1"/>
        <v>Low</v>
      </c>
      <c r="K30" s="1"/>
      <c r="L30" s="1">
        <v>0.08</v>
      </c>
      <c r="M30" s="1">
        <v>0.75</v>
      </c>
      <c r="N30" s="1" t="s">
        <v>33</v>
      </c>
      <c r="O30" s="1" t="s">
        <v>46</v>
      </c>
      <c r="P30" s="2">
        <v>41645</v>
      </c>
      <c r="Q30" s="2" t="b">
        <f t="shared" si="2"/>
        <v>0</v>
      </c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</row>
    <row r="31" spans="1:35" ht="14.25" customHeight="1" x14ac:dyDescent="0.2">
      <c r="A31" s="1">
        <v>57253</v>
      </c>
      <c r="B31" s="1" t="s">
        <v>92</v>
      </c>
      <c r="C31" s="1" t="s">
        <v>51</v>
      </c>
      <c r="D31" s="2">
        <v>41644</v>
      </c>
      <c r="E31" s="1" t="s">
        <v>38</v>
      </c>
      <c r="F31" s="1" t="s">
        <v>94</v>
      </c>
      <c r="G31" s="1">
        <v>29</v>
      </c>
      <c r="H31" s="1">
        <v>20.98</v>
      </c>
      <c r="I31" s="1">
        <f t="shared" si="0"/>
        <v>608.41999999999996</v>
      </c>
      <c r="J31" t="str">
        <f t="shared" si="1"/>
        <v>Low</v>
      </c>
      <c r="K31" s="1"/>
      <c r="L31" s="1">
        <v>0.06</v>
      </c>
      <c r="M31" s="1">
        <v>53.03</v>
      </c>
      <c r="N31" s="1" t="s">
        <v>45</v>
      </c>
      <c r="O31" s="1" t="s">
        <v>46</v>
      </c>
      <c r="P31" s="2">
        <v>41646</v>
      </c>
      <c r="Q31" s="2" t="b">
        <f t="shared" si="2"/>
        <v>0</v>
      </c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</row>
    <row r="32" spans="1:35" ht="14.25" customHeight="1" x14ac:dyDescent="0.2">
      <c r="A32" s="1">
        <v>57253</v>
      </c>
      <c r="B32" s="1" t="s">
        <v>92</v>
      </c>
      <c r="C32" s="1" t="s">
        <v>51</v>
      </c>
      <c r="D32" s="2">
        <v>41644</v>
      </c>
      <c r="E32" s="1" t="s">
        <v>38</v>
      </c>
      <c r="F32" s="1" t="s">
        <v>95</v>
      </c>
      <c r="G32" s="1">
        <v>48</v>
      </c>
      <c r="H32" s="1">
        <v>279.48</v>
      </c>
      <c r="I32" s="1">
        <f t="shared" si="0"/>
        <v>13415.04</v>
      </c>
      <c r="J32" t="str">
        <f t="shared" si="1"/>
        <v>High</v>
      </c>
      <c r="K32" s="1"/>
      <c r="L32" s="1">
        <v>7.0000000000000007E-2</v>
      </c>
      <c r="M32" s="1">
        <v>35</v>
      </c>
      <c r="N32" s="1" t="s">
        <v>33</v>
      </c>
      <c r="O32" s="1" t="s">
        <v>26</v>
      </c>
      <c r="P32" s="2">
        <v>41644</v>
      </c>
      <c r="Q32" s="2" t="b">
        <f t="shared" si="2"/>
        <v>0</v>
      </c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</row>
    <row r="33" spans="1:35" ht="14.25" customHeight="1" x14ac:dyDescent="0.2">
      <c r="A33" s="1">
        <v>57253</v>
      </c>
      <c r="B33" s="1" t="s">
        <v>92</v>
      </c>
      <c r="C33" s="1" t="s">
        <v>51</v>
      </c>
      <c r="D33" s="2">
        <v>41644</v>
      </c>
      <c r="E33" s="1" t="s">
        <v>38</v>
      </c>
      <c r="F33" s="1" t="s">
        <v>96</v>
      </c>
      <c r="G33" s="1">
        <v>49</v>
      </c>
      <c r="H33" s="1">
        <v>4.91</v>
      </c>
      <c r="I33" s="1">
        <f t="shared" si="0"/>
        <v>240.59</v>
      </c>
      <c r="J33" t="str">
        <f t="shared" si="1"/>
        <v>Low</v>
      </c>
      <c r="K33" s="1"/>
      <c r="L33" s="1">
        <v>0.08</v>
      </c>
      <c r="M33" s="1">
        <v>5.68</v>
      </c>
      <c r="N33" s="1" t="s">
        <v>33</v>
      </c>
      <c r="O33" s="1" t="s">
        <v>63</v>
      </c>
      <c r="P33" s="2">
        <v>41645</v>
      </c>
      <c r="Q33" s="2" t="b">
        <f t="shared" si="2"/>
        <v>0</v>
      </c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</row>
    <row r="34" spans="1:35" ht="14.25" customHeight="1" x14ac:dyDescent="0.2">
      <c r="A34" s="1">
        <v>57253</v>
      </c>
      <c r="B34" s="1" t="s">
        <v>92</v>
      </c>
      <c r="C34" s="1" t="s">
        <v>21</v>
      </c>
      <c r="D34" s="2">
        <v>41644</v>
      </c>
      <c r="E34" s="1" t="s">
        <v>38</v>
      </c>
      <c r="F34" s="1" t="s">
        <v>97</v>
      </c>
      <c r="G34" s="1">
        <v>25</v>
      </c>
      <c r="H34" s="1">
        <v>125.99</v>
      </c>
      <c r="I34" s="1">
        <f t="shared" si="0"/>
        <v>3149.75</v>
      </c>
      <c r="J34" t="str">
        <f t="shared" si="1"/>
        <v>High</v>
      </c>
      <c r="K34" s="1"/>
      <c r="L34" s="1">
        <v>0.04</v>
      </c>
      <c r="M34" s="1">
        <v>5.26</v>
      </c>
      <c r="N34" s="1" t="s">
        <v>33</v>
      </c>
      <c r="O34" s="1" t="s">
        <v>34</v>
      </c>
      <c r="P34" s="2">
        <v>41644</v>
      </c>
      <c r="Q34" s="2" t="b">
        <f t="shared" si="2"/>
        <v>0</v>
      </c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</row>
    <row r="35" spans="1:35" ht="14.25" customHeight="1" x14ac:dyDescent="0.2">
      <c r="A35" s="1">
        <v>290</v>
      </c>
      <c r="B35" s="1" t="s">
        <v>98</v>
      </c>
      <c r="C35" s="1" t="s">
        <v>30</v>
      </c>
      <c r="D35" s="2">
        <v>41644</v>
      </c>
      <c r="E35" s="1" t="s">
        <v>22</v>
      </c>
      <c r="F35" s="1" t="s">
        <v>99</v>
      </c>
      <c r="G35" s="1">
        <v>24</v>
      </c>
      <c r="H35" s="1">
        <v>7.64</v>
      </c>
      <c r="I35" s="1">
        <f t="shared" si="0"/>
        <v>183.35999999999999</v>
      </c>
      <c r="J35" t="str">
        <f t="shared" si="1"/>
        <v>Low</v>
      </c>
      <c r="K35" s="1"/>
      <c r="L35" s="1">
        <v>0.05</v>
      </c>
      <c r="M35" s="1">
        <v>5.83</v>
      </c>
      <c r="N35" s="1" t="s">
        <v>33</v>
      </c>
      <c r="O35" s="1" t="s">
        <v>55</v>
      </c>
      <c r="P35" s="2">
        <v>41645</v>
      </c>
      <c r="Q35" s="2" t="b">
        <f t="shared" si="2"/>
        <v>0</v>
      </c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</row>
    <row r="36" spans="1:35" ht="14.25" customHeight="1" x14ac:dyDescent="0.2">
      <c r="A36" s="1">
        <v>25601</v>
      </c>
      <c r="B36" s="1" t="s">
        <v>100</v>
      </c>
      <c r="C36" s="1" t="s">
        <v>51</v>
      </c>
      <c r="D36" s="2">
        <v>41644</v>
      </c>
      <c r="E36" s="1" t="s">
        <v>101</v>
      </c>
      <c r="F36" s="1" t="s">
        <v>32</v>
      </c>
      <c r="G36" s="1">
        <v>43</v>
      </c>
      <c r="H36" s="1">
        <v>5.98</v>
      </c>
      <c r="I36" s="1">
        <f t="shared" si="0"/>
        <v>257.14000000000004</v>
      </c>
      <c r="J36" t="str">
        <f t="shared" si="1"/>
        <v>Low</v>
      </c>
      <c r="K36" s="1"/>
      <c r="L36" s="1">
        <v>0.09</v>
      </c>
      <c r="M36" s="1">
        <v>4.6900000000000004</v>
      </c>
      <c r="N36" s="1" t="s">
        <v>33</v>
      </c>
      <c r="O36" s="1" t="s">
        <v>34</v>
      </c>
      <c r="P36" s="2">
        <v>41645</v>
      </c>
      <c r="Q36" s="2" t="b">
        <f t="shared" si="2"/>
        <v>0</v>
      </c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</row>
    <row r="37" spans="1:35" ht="14.25" customHeight="1" x14ac:dyDescent="0.2">
      <c r="A37" s="1">
        <v>59232</v>
      </c>
      <c r="B37" s="1" t="s">
        <v>102</v>
      </c>
      <c r="C37" s="1" t="s">
        <v>21</v>
      </c>
      <c r="D37" s="2">
        <v>41644</v>
      </c>
      <c r="E37" s="1" t="s">
        <v>31</v>
      </c>
      <c r="F37" s="1" t="s">
        <v>103</v>
      </c>
      <c r="G37" s="1">
        <v>23</v>
      </c>
      <c r="H37" s="1">
        <v>30.98</v>
      </c>
      <c r="I37" s="1">
        <f t="shared" si="0"/>
        <v>712.54</v>
      </c>
      <c r="J37" t="str">
        <f t="shared" si="1"/>
        <v>Low</v>
      </c>
      <c r="K37" s="1"/>
      <c r="L37" s="1">
        <v>0</v>
      </c>
      <c r="M37" s="1">
        <v>5.76</v>
      </c>
      <c r="N37" s="1" t="s">
        <v>33</v>
      </c>
      <c r="O37" s="1" t="s">
        <v>34</v>
      </c>
      <c r="P37" s="2">
        <v>41646</v>
      </c>
      <c r="Q37" s="2" t="b">
        <f t="shared" si="2"/>
        <v>0</v>
      </c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</row>
    <row r="38" spans="1:35" ht="14.25" customHeight="1" x14ac:dyDescent="0.2">
      <c r="A38" s="1">
        <v>23488</v>
      </c>
      <c r="B38" s="1" t="s">
        <v>104</v>
      </c>
      <c r="C38" s="1" t="s">
        <v>30</v>
      </c>
      <c r="D38" s="2">
        <v>41645</v>
      </c>
      <c r="E38" s="1" t="s">
        <v>38</v>
      </c>
      <c r="F38" s="1" t="s">
        <v>105</v>
      </c>
      <c r="G38" s="1">
        <v>30</v>
      </c>
      <c r="H38" s="1">
        <v>880.98</v>
      </c>
      <c r="I38" s="1">
        <f t="shared" si="0"/>
        <v>26429.4</v>
      </c>
      <c r="J38" t="str">
        <f t="shared" si="1"/>
        <v>High</v>
      </c>
      <c r="K38" s="1"/>
      <c r="L38" s="1">
        <v>0.04</v>
      </c>
      <c r="M38" s="1">
        <v>44.55</v>
      </c>
      <c r="N38" s="1" t="s">
        <v>45</v>
      </c>
      <c r="O38" s="1" t="s">
        <v>63</v>
      </c>
      <c r="P38" s="2">
        <v>41646</v>
      </c>
      <c r="Q38" s="2" t="b">
        <f t="shared" si="2"/>
        <v>0</v>
      </c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</row>
    <row r="39" spans="1:35" ht="14.25" customHeight="1" x14ac:dyDescent="0.2">
      <c r="A39" s="1">
        <v>48226</v>
      </c>
      <c r="B39" s="1" t="s">
        <v>106</v>
      </c>
      <c r="C39" s="1" t="s">
        <v>51</v>
      </c>
      <c r="D39" s="2">
        <v>41645</v>
      </c>
      <c r="E39" s="1" t="s">
        <v>43</v>
      </c>
      <c r="F39" s="1" t="s">
        <v>107</v>
      </c>
      <c r="G39" s="1">
        <v>23</v>
      </c>
      <c r="H39" s="1">
        <v>100.98</v>
      </c>
      <c r="I39" s="1">
        <f t="shared" si="0"/>
        <v>2322.54</v>
      </c>
      <c r="J39" t="str">
        <f t="shared" si="1"/>
        <v>High</v>
      </c>
      <c r="K39" s="1"/>
      <c r="L39" s="1">
        <v>0.02</v>
      </c>
      <c r="M39" s="1">
        <v>35.840000000000003</v>
      </c>
      <c r="N39" s="1" t="s">
        <v>45</v>
      </c>
      <c r="O39" s="1" t="s">
        <v>63</v>
      </c>
      <c r="P39" s="2">
        <v>41645</v>
      </c>
      <c r="Q39" s="2" t="b">
        <f t="shared" si="2"/>
        <v>0</v>
      </c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</row>
    <row r="40" spans="1:35" ht="14.25" customHeight="1" x14ac:dyDescent="0.2">
      <c r="A40" s="1">
        <v>6854</v>
      </c>
      <c r="B40" s="1" t="s">
        <v>108</v>
      </c>
      <c r="C40" s="1" t="s">
        <v>51</v>
      </c>
      <c r="D40" s="2">
        <v>41645</v>
      </c>
      <c r="E40" s="1" t="s">
        <v>101</v>
      </c>
      <c r="F40" s="1" t="s">
        <v>109</v>
      </c>
      <c r="G40" s="1">
        <v>1</v>
      </c>
      <c r="H40" s="1">
        <v>7.68</v>
      </c>
      <c r="I40" s="1">
        <f t="shared" si="0"/>
        <v>7.68</v>
      </c>
      <c r="J40" t="str">
        <f t="shared" si="1"/>
        <v>Low</v>
      </c>
      <c r="K40" s="1"/>
      <c r="L40" s="1">
        <v>7.0000000000000007E-2</v>
      </c>
      <c r="M40" s="1">
        <v>6.16</v>
      </c>
      <c r="N40" s="1" t="s">
        <v>25</v>
      </c>
      <c r="O40" s="1" t="s">
        <v>34</v>
      </c>
      <c r="P40" s="2">
        <v>41647</v>
      </c>
      <c r="Q40" s="2" t="b">
        <f t="shared" si="2"/>
        <v>0</v>
      </c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</row>
    <row r="41" spans="1:35" ht="14.25" customHeight="1" x14ac:dyDescent="0.2">
      <c r="A41" s="1">
        <v>6854</v>
      </c>
      <c r="B41" s="1" t="s">
        <v>108</v>
      </c>
      <c r="C41" s="1" t="s">
        <v>21</v>
      </c>
      <c r="D41" s="2">
        <v>41645</v>
      </c>
      <c r="E41" s="1" t="s">
        <v>101</v>
      </c>
      <c r="F41" s="1" t="s">
        <v>110</v>
      </c>
      <c r="G41" s="1">
        <v>19</v>
      </c>
      <c r="H41" s="1">
        <v>6.64</v>
      </c>
      <c r="I41" s="1">
        <f t="shared" si="0"/>
        <v>126.16</v>
      </c>
      <c r="J41" t="str">
        <f t="shared" si="1"/>
        <v>Low</v>
      </c>
      <c r="K41" s="1"/>
      <c r="L41" s="1">
        <v>0.05</v>
      </c>
      <c r="M41" s="1">
        <v>4.95</v>
      </c>
      <c r="N41" s="1" t="s">
        <v>25</v>
      </c>
      <c r="O41" s="1" t="s">
        <v>84</v>
      </c>
      <c r="P41" s="2">
        <v>41647</v>
      </c>
      <c r="Q41" s="2" t="b">
        <f t="shared" si="2"/>
        <v>0</v>
      </c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</row>
    <row r="42" spans="1:35" ht="14.25" customHeight="1" x14ac:dyDescent="0.2">
      <c r="A42" s="1">
        <v>14274</v>
      </c>
      <c r="B42" s="1" t="s">
        <v>111</v>
      </c>
      <c r="C42" s="1" t="s">
        <v>51</v>
      </c>
      <c r="D42" s="2">
        <v>41645</v>
      </c>
      <c r="E42" s="1" t="s">
        <v>22</v>
      </c>
      <c r="F42" s="1" t="s">
        <v>112</v>
      </c>
      <c r="G42" s="1">
        <v>23</v>
      </c>
      <c r="H42" s="1">
        <v>150.97999999999999</v>
      </c>
      <c r="I42" s="1">
        <f t="shared" si="0"/>
        <v>3472.54</v>
      </c>
      <c r="J42" t="str">
        <f t="shared" si="1"/>
        <v>High</v>
      </c>
      <c r="K42" s="1"/>
      <c r="L42" s="1">
        <v>0.01</v>
      </c>
      <c r="M42" s="1">
        <v>30</v>
      </c>
      <c r="N42" s="1" t="s">
        <v>45</v>
      </c>
      <c r="O42" s="1" t="s">
        <v>46</v>
      </c>
      <c r="P42" s="2">
        <v>41647</v>
      </c>
      <c r="Q42" s="2" t="b">
        <f t="shared" si="2"/>
        <v>0</v>
      </c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</row>
    <row r="43" spans="1:35" ht="14.25" customHeight="1" x14ac:dyDescent="0.2">
      <c r="A43" s="1">
        <v>14274</v>
      </c>
      <c r="B43" s="1" t="s">
        <v>111</v>
      </c>
      <c r="C43" s="1" t="s">
        <v>51</v>
      </c>
      <c r="D43" s="2">
        <v>41645</v>
      </c>
      <c r="E43" s="1" t="s">
        <v>22</v>
      </c>
      <c r="F43" s="1" t="s">
        <v>113</v>
      </c>
      <c r="G43" s="1">
        <v>46</v>
      </c>
      <c r="H43" s="1">
        <v>28.28</v>
      </c>
      <c r="I43" s="1">
        <f t="shared" si="0"/>
        <v>1300.8800000000001</v>
      </c>
      <c r="J43" t="str">
        <f t="shared" si="1"/>
        <v>High</v>
      </c>
      <c r="K43" s="1"/>
      <c r="L43" s="1">
        <v>0.01</v>
      </c>
      <c r="M43" s="1">
        <v>13.99</v>
      </c>
      <c r="N43" s="1" t="s">
        <v>25</v>
      </c>
      <c r="O43" s="1" t="s">
        <v>72</v>
      </c>
      <c r="P43" s="2">
        <v>41647</v>
      </c>
      <c r="Q43" s="2" t="b">
        <f t="shared" si="2"/>
        <v>0</v>
      </c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</row>
    <row r="44" spans="1:35" ht="14.25" customHeight="1" x14ac:dyDescent="0.2">
      <c r="A44" s="1">
        <v>14274</v>
      </c>
      <c r="B44" s="1" t="s">
        <v>111</v>
      </c>
      <c r="C44" s="1" t="s">
        <v>30</v>
      </c>
      <c r="D44" s="2">
        <v>41645</v>
      </c>
      <c r="E44" s="1" t="s">
        <v>22</v>
      </c>
      <c r="F44" s="1" t="s">
        <v>114</v>
      </c>
      <c r="G44" s="1">
        <v>2</v>
      </c>
      <c r="H44" s="1">
        <v>35.99</v>
      </c>
      <c r="I44" s="1">
        <f t="shared" si="0"/>
        <v>71.98</v>
      </c>
      <c r="J44" t="str">
        <f t="shared" si="1"/>
        <v>Low</v>
      </c>
      <c r="K44" s="1"/>
      <c r="L44" s="1">
        <v>0.03</v>
      </c>
      <c r="M44" s="1">
        <v>1.1000000000000001</v>
      </c>
      <c r="N44" s="1" t="s">
        <v>33</v>
      </c>
      <c r="O44" s="1" t="s">
        <v>34</v>
      </c>
      <c r="P44" s="2">
        <v>41646</v>
      </c>
      <c r="Q44" s="2" t="b">
        <f t="shared" si="2"/>
        <v>0</v>
      </c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</row>
    <row r="45" spans="1:35" ht="14.25" customHeight="1" x14ac:dyDescent="0.2">
      <c r="A45" s="1">
        <v>16770</v>
      </c>
      <c r="B45" s="1" t="s">
        <v>115</v>
      </c>
      <c r="C45" s="1" t="s">
        <v>21</v>
      </c>
      <c r="D45" s="2">
        <v>41645</v>
      </c>
      <c r="E45" s="1" t="s">
        <v>38</v>
      </c>
      <c r="F45" s="1" t="s">
        <v>116</v>
      </c>
      <c r="G45" s="1">
        <v>17</v>
      </c>
      <c r="H45" s="1">
        <v>2.1</v>
      </c>
      <c r="I45" s="1">
        <f t="shared" si="0"/>
        <v>35.700000000000003</v>
      </c>
      <c r="J45" t="str">
        <f t="shared" si="1"/>
        <v>Low</v>
      </c>
      <c r="K45" s="1"/>
      <c r="L45" s="1">
        <v>0.03</v>
      </c>
      <c r="M45" s="1">
        <v>0.7</v>
      </c>
      <c r="N45" s="1" t="s">
        <v>33</v>
      </c>
      <c r="O45" s="1" t="s">
        <v>55</v>
      </c>
      <c r="P45" s="2">
        <v>41646</v>
      </c>
      <c r="Q45" s="2" t="b">
        <f t="shared" si="2"/>
        <v>0</v>
      </c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</row>
    <row r="46" spans="1:35" ht="14.25" customHeight="1" x14ac:dyDescent="0.2">
      <c r="A46" s="1">
        <v>16961</v>
      </c>
      <c r="B46" s="1" t="s">
        <v>117</v>
      </c>
      <c r="C46" s="1" t="s">
        <v>30</v>
      </c>
      <c r="D46" s="2">
        <v>41645</v>
      </c>
      <c r="E46" s="1" t="s">
        <v>22</v>
      </c>
      <c r="F46" s="1" t="s">
        <v>118</v>
      </c>
      <c r="G46" s="1">
        <v>27</v>
      </c>
      <c r="H46" s="1">
        <v>1.7</v>
      </c>
      <c r="I46" s="1">
        <f t="shared" si="0"/>
        <v>45.9</v>
      </c>
      <c r="J46" t="str">
        <f t="shared" si="1"/>
        <v>Low</v>
      </c>
      <c r="K46" s="1"/>
      <c r="L46" s="1">
        <v>0.06</v>
      </c>
      <c r="M46" s="1">
        <v>1.99</v>
      </c>
      <c r="N46" s="1" t="s">
        <v>33</v>
      </c>
      <c r="O46" s="1" t="s">
        <v>84</v>
      </c>
      <c r="P46" s="2">
        <v>41646</v>
      </c>
      <c r="Q46" s="2" t="b">
        <f t="shared" si="2"/>
        <v>0</v>
      </c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</row>
    <row r="47" spans="1:35" ht="14.25" customHeight="1" x14ac:dyDescent="0.2">
      <c r="A47" s="1">
        <v>16961</v>
      </c>
      <c r="B47" s="1" t="s">
        <v>117</v>
      </c>
      <c r="C47" s="1" t="s">
        <v>30</v>
      </c>
      <c r="D47" s="2">
        <v>41645</v>
      </c>
      <c r="E47" s="1" t="s">
        <v>22</v>
      </c>
      <c r="F47" s="1" t="s">
        <v>119</v>
      </c>
      <c r="G47" s="1">
        <v>34</v>
      </c>
      <c r="H47" s="1">
        <v>30.98</v>
      </c>
      <c r="I47" s="1">
        <f t="shared" si="0"/>
        <v>1053.32</v>
      </c>
      <c r="J47" t="str">
        <f t="shared" si="1"/>
        <v>High</v>
      </c>
      <c r="K47" s="1"/>
      <c r="L47" s="1">
        <v>0.01</v>
      </c>
      <c r="M47" s="1">
        <v>5.09</v>
      </c>
      <c r="N47" s="1" t="s">
        <v>33</v>
      </c>
      <c r="O47" s="1" t="s">
        <v>34</v>
      </c>
      <c r="P47" s="2">
        <v>41647</v>
      </c>
      <c r="Q47" s="2" t="b">
        <f t="shared" si="2"/>
        <v>0</v>
      </c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</row>
    <row r="48" spans="1:35" ht="14.25" customHeight="1" x14ac:dyDescent="0.2">
      <c r="A48" s="1">
        <v>41094</v>
      </c>
      <c r="B48" s="1" t="s">
        <v>120</v>
      </c>
      <c r="C48" s="1" t="s">
        <v>51</v>
      </c>
      <c r="D48" s="2">
        <v>41645</v>
      </c>
      <c r="E48" s="1" t="s">
        <v>43</v>
      </c>
      <c r="F48" s="1" t="s">
        <v>121</v>
      </c>
      <c r="G48" s="1">
        <v>46</v>
      </c>
      <c r="H48" s="1">
        <v>6.48</v>
      </c>
      <c r="I48" s="1">
        <f t="shared" si="0"/>
        <v>298.08000000000004</v>
      </c>
      <c r="J48" t="str">
        <f t="shared" si="1"/>
        <v>Low</v>
      </c>
      <c r="K48" s="1"/>
      <c r="L48" s="1">
        <v>0.09</v>
      </c>
      <c r="M48" s="1">
        <v>8.73</v>
      </c>
      <c r="N48" s="1" t="s">
        <v>33</v>
      </c>
      <c r="O48" s="1" t="s">
        <v>34</v>
      </c>
      <c r="P48" s="2">
        <v>41647</v>
      </c>
      <c r="Q48" s="2" t="b">
        <f t="shared" si="2"/>
        <v>0</v>
      </c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</row>
    <row r="49" spans="1:35" ht="14.25" customHeight="1" x14ac:dyDescent="0.2">
      <c r="A49" s="1">
        <v>41094</v>
      </c>
      <c r="B49" s="1" t="s">
        <v>120</v>
      </c>
      <c r="C49" s="1" t="s">
        <v>30</v>
      </c>
      <c r="D49" s="2">
        <v>41645</v>
      </c>
      <c r="E49" s="1" t="s">
        <v>43</v>
      </c>
      <c r="F49" s="1" t="s">
        <v>122</v>
      </c>
      <c r="G49" s="1">
        <v>6</v>
      </c>
      <c r="H49" s="1">
        <v>20.34</v>
      </c>
      <c r="I49" s="1">
        <f t="shared" si="0"/>
        <v>122.03999999999999</v>
      </c>
      <c r="J49" t="str">
        <f t="shared" si="1"/>
        <v>Low</v>
      </c>
      <c r="K49" s="1"/>
      <c r="L49" s="1">
        <v>0.05</v>
      </c>
      <c r="M49" s="1">
        <v>35</v>
      </c>
      <c r="N49" s="1" t="s">
        <v>33</v>
      </c>
      <c r="O49" s="1" t="s">
        <v>26</v>
      </c>
      <c r="P49" s="2">
        <v>41649</v>
      </c>
      <c r="Q49" s="2" t="b">
        <f t="shared" si="2"/>
        <v>0</v>
      </c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</row>
    <row r="50" spans="1:35" ht="14.25" customHeight="1" x14ac:dyDescent="0.2">
      <c r="A50" s="1">
        <v>23490</v>
      </c>
      <c r="B50" s="1" t="s">
        <v>123</v>
      </c>
      <c r="C50" s="1" t="s">
        <v>21</v>
      </c>
      <c r="D50" s="2">
        <v>41645</v>
      </c>
      <c r="E50" s="1" t="s">
        <v>31</v>
      </c>
      <c r="F50" s="1" t="s">
        <v>124</v>
      </c>
      <c r="G50" s="1">
        <v>29</v>
      </c>
      <c r="H50" s="1">
        <v>3.28</v>
      </c>
      <c r="I50" s="1">
        <f t="shared" si="0"/>
        <v>95.11999999999999</v>
      </c>
      <c r="J50" t="str">
        <f t="shared" si="1"/>
        <v>Low</v>
      </c>
      <c r="K50" s="1"/>
      <c r="L50" s="1">
        <v>0.03</v>
      </c>
      <c r="M50" s="1">
        <v>3.97</v>
      </c>
      <c r="N50" s="1" t="s">
        <v>33</v>
      </c>
      <c r="O50" s="1" t="s">
        <v>55</v>
      </c>
      <c r="P50" s="2">
        <v>41647</v>
      </c>
      <c r="Q50" s="2" t="b">
        <f t="shared" si="2"/>
        <v>0</v>
      </c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</row>
    <row r="51" spans="1:35" ht="14.25" customHeight="1" x14ac:dyDescent="0.2">
      <c r="A51" s="1">
        <v>32295</v>
      </c>
      <c r="B51" s="1" t="s">
        <v>88</v>
      </c>
      <c r="C51" s="1" t="s">
        <v>51</v>
      </c>
      <c r="D51" s="2">
        <v>41646</v>
      </c>
      <c r="E51" s="1" t="s">
        <v>31</v>
      </c>
      <c r="F51" s="1" t="s">
        <v>125</v>
      </c>
      <c r="G51" s="1">
        <v>11</v>
      </c>
      <c r="H51" s="1">
        <v>65.989999999999995</v>
      </c>
      <c r="I51" s="1">
        <f t="shared" si="0"/>
        <v>725.89</v>
      </c>
      <c r="J51" t="str">
        <f t="shared" si="1"/>
        <v>Low</v>
      </c>
      <c r="K51" s="1"/>
      <c r="L51" s="1">
        <v>7.0000000000000007E-2</v>
      </c>
      <c r="M51" s="1">
        <v>5.99</v>
      </c>
      <c r="N51" s="1" t="s">
        <v>33</v>
      </c>
      <c r="O51" s="1" t="s">
        <v>34</v>
      </c>
      <c r="P51" s="2">
        <v>41647</v>
      </c>
      <c r="Q51" s="2" t="b">
        <f t="shared" si="2"/>
        <v>0</v>
      </c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</row>
    <row r="52" spans="1:35" ht="14.25" customHeight="1" x14ac:dyDescent="0.2">
      <c r="A52" s="1">
        <v>18405</v>
      </c>
      <c r="B52" s="1" t="s">
        <v>126</v>
      </c>
      <c r="C52" s="1" t="s">
        <v>51</v>
      </c>
      <c r="D52" s="2">
        <v>41646</v>
      </c>
      <c r="E52" s="1" t="s">
        <v>101</v>
      </c>
      <c r="F52" s="1" t="s">
        <v>127</v>
      </c>
      <c r="G52" s="1">
        <v>30</v>
      </c>
      <c r="H52" s="1">
        <v>20.98</v>
      </c>
      <c r="I52" s="1">
        <f t="shared" si="0"/>
        <v>629.4</v>
      </c>
      <c r="J52" t="str">
        <f t="shared" si="1"/>
        <v>Low</v>
      </c>
      <c r="K52" s="1"/>
      <c r="L52" s="1">
        <v>0.09</v>
      </c>
      <c r="M52" s="1">
        <v>8.83</v>
      </c>
      <c r="N52" s="1" t="s">
        <v>25</v>
      </c>
      <c r="O52" s="1" t="s">
        <v>34</v>
      </c>
      <c r="P52" s="2">
        <v>41648</v>
      </c>
      <c r="Q52" s="2" t="b">
        <f t="shared" si="2"/>
        <v>0</v>
      </c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</row>
    <row r="53" spans="1:35" ht="14.25" customHeight="1" x14ac:dyDescent="0.2">
      <c r="A53" s="1">
        <v>18405</v>
      </c>
      <c r="B53" s="1" t="s">
        <v>126</v>
      </c>
      <c r="C53" s="1" t="s">
        <v>21</v>
      </c>
      <c r="D53" s="2">
        <v>41646</v>
      </c>
      <c r="E53" s="1" t="s">
        <v>101</v>
      </c>
      <c r="F53" s="1" t="s">
        <v>128</v>
      </c>
      <c r="G53" s="1">
        <v>2</v>
      </c>
      <c r="H53" s="1">
        <v>73.98</v>
      </c>
      <c r="I53" s="1">
        <f t="shared" si="0"/>
        <v>147.96</v>
      </c>
      <c r="J53" t="str">
        <f t="shared" si="1"/>
        <v>Low</v>
      </c>
      <c r="K53" s="1"/>
      <c r="L53" s="1">
        <v>0.03</v>
      </c>
      <c r="M53" s="1">
        <v>14.52</v>
      </c>
      <c r="N53" s="1" t="s">
        <v>33</v>
      </c>
      <c r="O53" s="1" t="s">
        <v>34</v>
      </c>
      <c r="P53" s="2">
        <v>41649</v>
      </c>
      <c r="Q53" s="2" t="b">
        <f t="shared" si="2"/>
        <v>0</v>
      </c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</row>
    <row r="54" spans="1:35" ht="14.25" customHeight="1" x14ac:dyDescent="0.2">
      <c r="A54" s="1">
        <v>40704</v>
      </c>
      <c r="B54" s="1" t="s">
        <v>129</v>
      </c>
      <c r="C54" s="1" t="s">
        <v>51</v>
      </c>
      <c r="D54" s="2">
        <v>41646</v>
      </c>
      <c r="E54" s="1" t="s">
        <v>43</v>
      </c>
      <c r="F54" s="1" t="s">
        <v>130</v>
      </c>
      <c r="G54" s="1">
        <v>6</v>
      </c>
      <c r="H54" s="1">
        <v>1.76</v>
      </c>
      <c r="I54" s="1">
        <f t="shared" si="0"/>
        <v>10.56</v>
      </c>
      <c r="J54" t="str">
        <f t="shared" si="1"/>
        <v>Low</v>
      </c>
      <c r="K54" s="1"/>
      <c r="L54" s="1">
        <v>0.01</v>
      </c>
      <c r="M54" s="1">
        <v>0.7</v>
      </c>
      <c r="N54" s="1" t="s">
        <v>33</v>
      </c>
      <c r="O54" s="1" t="s">
        <v>55</v>
      </c>
      <c r="P54" s="2">
        <v>41651</v>
      </c>
      <c r="Q54" s="2" t="b">
        <f t="shared" si="2"/>
        <v>0</v>
      </c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</row>
    <row r="55" spans="1:35" ht="14.25" customHeight="1" x14ac:dyDescent="0.2">
      <c r="A55" s="1">
        <v>3073</v>
      </c>
      <c r="B55" s="1" t="s">
        <v>131</v>
      </c>
      <c r="C55" s="1" t="s">
        <v>51</v>
      </c>
      <c r="D55" s="2">
        <v>41646</v>
      </c>
      <c r="E55" s="1" t="s">
        <v>101</v>
      </c>
      <c r="F55" s="1" t="s">
        <v>132</v>
      </c>
      <c r="G55" s="1">
        <v>3</v>
      </c>
      <c r="H55" s="1">
        <v>1.98</v>
      </c>
      <c r="I55" s="1">
        <f t="shared" si="0"/>
        <v>5.9399999999999995</v>
      </c>
      <c r="J55" t="str">
        <f t="shared" si="1"/>
        <v>Low</v>
      </c>
      <c r="K55" s="1"/>
      <c r="L55" s="1">
        <v>0.05</v>
      </c>
      <c r="M55" s="1">
        <v>4.7699999999999996</v>
      </c>
      <c r="N55" s="1" t="s">
        <v>33</v>
      </c>
      <c r="O55" s="1" t="s">
        <v>34</v>
      </c>
      <c r="P55" s="2">
        <v>41647</v>
      </c>
      <c r="Q55" s="2" t="b">
        <f t="shared" si="2"/>
        <v>0</v>
      </c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</row>
    <row r="56" spans="1:35" ht="14.25" customHeight="1" x14ac:dyDescent="0.2">
      <c r="A56" s="1">
        <v>3073</v>
      </c>
      <c r="B56" s="1" t="s">
        <v>131</v>
      </c>
      <c r="C56" s="1" t="s">
        <v>51</v>
      </c>
      <c r="D56" s="2">
        <v>41646</v>
      </c>
      <c r="E56" s="1" t="s">
        <v>101</v>
      </c>
      <c r="F56" s="1" t="s">
        <v>133</v>
      </c>
      <c r="G56" s="1">
        <v>3</v>
      </c>
      <c r="H56" s="1">
        <v>699.99</v>
      </c>
      <c r="I56" s="1">
        <f t="shared" si="0"/>
        <v>2099.9700000000003</v>
      </c>
      <c r="J56" t="str">
        <f t="shared" si="1"/>
        <v>High</v>
      </c>
      <c r="K56" s="1"/>
      <c r="L56" s="1">
        <v>7.0000000000000007E-2</v>
      </c>
      <c r="M56" s="1">
        <v>24.49</v>
      </c>
      <c r="N56" s="1" t="s">
        <v>25</v>
      </c>
      <c r="O56" s="1" t="s">
        <v>26</v>
      </c>
      <c r="P56" s="2">
        <v>41647</v>
      </c>
      <c r="Q56" s="2" t="b">
        <f t="shared" si="2"/>
        <v>1</v>
      </c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</row>
    <row r="57" spans="1:35" ht="14.25" customHeight="1" x14ac:dyDescent="0.2">
      <c r="A57" s="1">
        <v>3073</v>
      </c>
      <c r="B57" s="1" t="s">
        <v>131</v>
      </c>
      <c r="C57" s="1" t="s">
        <v>21</v>
      </c>
      <c r="D57" s="2">
        <v>41646</v>
      </c>
      <c r="E57" s="1" t="s">
        <v>101</v>
      </c>
      <c r="F57" s="1" t="s">
        <v>134</v>
      </c>
      <c r="G57" s="1">
        <v>7</v>
      </c>
      <c r="H57" s="1">
        <v>6783.02</v>
      </c>
      <c r="I57" s="1">
        <f t="shared" si="0"/>
        <v>47481.14</v>
      </c>
      <c r="J57" t="str">
        <f t="shared" si="1"/>
        <v>High</v>
      </c>
      <c r="K57" s="1"/>
      <c r="L57" s="1">
        <v>7.0000000000000007E-2</v>
      </c>
      <c r="M57" s="1">
        <v>24.49</v>
      </c>
      <c r="N57" s="1" t="s">
        <v>33</v>
      </c>
      <c r="O57" s="1" t="s">
        <v>26</v>
      </c>
      <c r="P57" s="2">
        <v>41647</v>
      </c>
      <c r="Q57" s="2" t="b">
        <f t="shared" si="2"/>
        <v>0</v>
      </c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</row>
    <row r="58" spans="1:35" ht="14.25" customHeight="1" x14ac:dyDescent="0.2">
      <c r="A58" s="1">
        <v>33923</v>
      </c>
      <c r="B58" s="1" t="s">
        <v>135</v>
      </c>
      <c r="C58" s="1" t="s">
        <v>51</v>
      </c>
      <c r="D58" s="2">
        <v>41646</v>
      </c>
      <c r="E58" s="1" t="s">
        <v>43</v>
      </c>
      <c r="F58" s="1" t="s">
        <v>125</v>
      </c>
      <c r="G58" s="1">
        <v>34</v>
      </c>
      <c r="H58" s="1">
        <v>65.989999999999995</v>
      </c>
      <c r="I58" s="1">
        <f t="shared" si="0"/>
        <v>2243.66</v>
      </c>
      <c r="J58" t="str">
        <f t="shared" si="1"/>
        <v>High</v>
      </c>
      <c r="K58" s="1"/>
      <c r="L58" s="1">
        <v>0.05</v>
      </c>
      <c r="M58" s="1">
        <v>5.99</v>
      </c>
      <c r="N58" s="1" t="s">
        <v>33</v>
      </c>
      <c r="O58" s="1" t="s">
        <v>34</v>
      </c>
      <c r="P58" s="2">
        <v>41650</v>
      </c>
      <c r="Q58" s="2" t="b">
        <f t="shared" si="2"/>
        <v>0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</row>
    <row r="59" spans="1:35" ht="14.25" customHeight="1" x14ac:dyDescent="0.2">
      <c r="A59" s="1">
        <v>43909</v>
      </c>
      <c r="B59" s="1" t="s">
        <v>136</v>
      </c>
      <c r="C59" s="1" t="s">
        <v>21</v>
      </c>
      <c r="D59" s="2">
        <v>41646</v>
      </c>
      <c r="E59" s="1" t="s">
        <v>31</v>
      </c>
      <c r="F59" s="1" t="s">
        <v>137</v>
      </c>
      <c r="G59" s="1">
        <v>46</v>
      </c>
      <c r="H59" s="1">
        <v>15.99</v>
      </c>
      <c r="I59" s="1">
        <f t="shared" si="0"/>
        <v>735.54</v>
      </c>
      <c r="J59" t="str">
        <f t="shared" si="1"/>
        <v>Low</v>
      </c>
      <c r="K59" s="1"/>
      <c r="L59" s="1">
        <v>0.08</v>
      </c>
      <c r="M59" s="1">
        <v>13.18</v>
      </c>
      <c r="N59" s="1" t="s">
        <v>33</v>
      </c>
      <c r="O59" s="1" t="s">
        <v>34</v>
      </c>
      <c r="P59" s="2">
        <v>41647</v>
      </c>
      <c r="Q59" s="2" t="b">
        <f t="shared" si="2"/>
        <v>0</v>
      </c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</row>
    <row r="60" spans="1:35" ht="14.25" customHeight="1" x14ac:dyDescent="0.2">
      <c r="A60" s="1">
        <v>4193</v>
      </c>
      <c r="B60" s="1" t="s">
        <v>138</v>
      </c>
      <c r="C60" s="1" t="s">
        <v>30</v>
      </c>
      <c r="D60" s="2">
        <v>41647</v>
      </c>
      <c r="E60" s="1" t="s">
        <v>31</v>
      </c>
      <c r="F60" s="1" t="s">
        <v>139</v>
      </c>
      <c r="G60" s="1">
        <v>16</v>
      </c>
      <c r="H60" s="1">
        <v>4.13</v>
      </c>
      <c r="I60" s="1">
        <f t="shared" si="0"/>
        <v>66.08</v>
      </c>
      <c r="J60" t="str">
        <f t="shared" si="1"/>
        <v>Low</v>
      </c>
      <c r="K60" s="1"/>
      <c r="L60" s="1">
        <v>7.0000000000000007E-2</v>
      </c>
      <c r="M60" s="1">
        <v>0.99</v>
      </c>
      <c r="N60" s="1" t="s">
        <v>33</v>
      </c>
      <c r="O60" s="1" t="s">
        <v>34</v>
      </c>
      <c r="P60" s="2">
        <v>41647</v>
      </c>
      <c r="Q60" s="2" t="b">
        <f t="shared" si="2"/>
        <v>0</v>
      </c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</row>
    <row r="61" spans="1:35" ht="14.25" customHeight="1" x14ac:dyDescent="0.2">
      <c r="A61" s="1">
        <v>4193</v>
      </c>
      <c r="B61" s="1" t="s">
        <v>138</v>
      </c>
      <c r="C61" s="1" t="s">
        <v>30</v>
      </c>
      <c r="D61" s="2">
        <v>41647</v>
      </c>
      <c r="E61" s="1" t="s">
        <v>31</v>
      </c>
      <c r="F61" s="1" t="s">
        <v>140</v>
      </c>
      <c r="G61" s="1">
        <v>3</v>
      </c>
      <c r="H61" s="1">
        <v>22.72</v>
      </c>
      <c r="I61" s="1">
        <f t="shared" si="0"/>
        <v>68.16</v>
      </c>
      <c r="J61" t="str">
        <f t="shared" si="1"/>
        <v>Low</v>
      </c>
      <c r="K61" s="1"/>
      <c r="L61" s="1">
        <v>0.03</v>
      </c>
      <c r="M61" s="1">
        <v>8.99</v>
      </c>
      <c r="N61" s="1" t="s">
        <v>33</v>
      </c>
      <c r="O61" s="1" t="s">
        <v>84</v>
      </c>
      <c r="P61" s="2">
        <v>41647</v>
      </c>
      <c r="Q61" s="2" t="b">
        <f t="shared" si="2"/>
        <v>0</v>
      </c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</row>
    <row r="62" spans="1:35" ht="14.25" customHeight="1" x14ac:dyDescent="0.2">
      <c r="A62" s="1">
        <v>30083</v>
      </c>
      <c r="B62" s="1" t="s">
        <v>141</v>
      </c>
      <c r="C62" s="1" t="s">
        <v>21</v>
      </c>
      <c r="D62" s="2">
        <v>41647</v>
      </c>
      <c r="E62" s="1" t="s">
        <v>22</v>
      </c>
      <c r="F62" s="1" t="s">
        <v>142</v>
      </c>
      <c r="G62" s="1">
        <v>23</v>
      </c>
      <c r="H62" s="1">
        <v>14.56</v>
      </c>
      <c r="I62" s="1">
        <f t="shared" si="0"/>
        <v>334.88</v>
      </c>
      <c r="J62" t="str">
        <f t="shared" si="1"/>
        <v>Low</v>
      </c>
      <c r="K62" s="1"/>
      <c r="L62" s="1">
        <v>7.0000000000000007E-2</v>
      </c>
      <c r="M62" s="1">
        <v>3.5</v>
      </c>
      <c r="N62" s="1" t="s">
        <v>33</v>
      </c>
      <c r="O62" s="1" t="s">
        <v>34</v>
      </c>
      <c r="P62" s="2">
        <v>41648</v>
      </c>
      <c r="Q62" s="2" t="b">
        <f t="shared" si="2"/>
        <v>0</v>
      </c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</row>
    <row r="63" spans="1:35" ht="14.25" customHeight="1" x14ac:dyDescent="0.2">
      <c r="A63" s="1">
        <v>7203</v>
      </c>
      <c r="B63" s="1" t="s">
        <v>143</v>
      </c>
      <c r="C63" s="1" t="s">
        <v>51</v>
      </c>
      <c r="D63" s="2">
        <v>41647</v>
      </c>
      <c r="E63" s="1" t="s">
        <v>31</v>
      </c>
      <c r="F63" s="1" t="s">
        <v>144</v>
      </c>
      <c r="G63" s="1">
        <v>25</v>
      </c>
      <c r="H63" s="1">
        <v>896.99</v>
      </c>
      <c r="I63" s="1">
        <f t="shared" si="0"/>
        <v>22424.75</v>
      </c>
      <c r="J63" t="str">
        <f t="shared" si="1"/>
        <v>High</v>
      </c>
      <c r="K63" s="1"/>
      <c r="L63" s="1">
        <v>0.03</v>
      </c>
      <c r="M63" s="1">
        <v>19.989999999999998</v>
      </c>
      <c r="N63" s="1" t="s">
        <v>33</v>
      </c>
      <c r="O63" s="1" t="s">
        <v>34</v>
      </c>
      <c r="P63" s="2">
        <v>41649</v>
      </c>
      <c r="Q63" s="2" t="b">
        <f t="shared" si="2"/>
        <v>0</v>
      </c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</row>
    <row r="64" spans="1:35" ht="14.25" customHeight="1" x14ac:dyDescent="0.2">
      <c r="A64" s="1">
        <v>18561</v>
      </c>
      <c r="B64" s="1" t="s">
        <v>145</v>
      </c>
      <c r="C64" s="1" t="s">
        <v>51</v>
      </c>
      <c r="D64" s="2">
        <v>41648</v>
      </c>
      <c r="E64" s="1" t="s">
        <v>22</v>
      </c>
      <c r="F64" s="1" t="s">
        <v>146</v>
      </c>
      <c r="G64" s="1">
        <v>9</v>
      </c>
      <c r="H64" s="1">
        <v>4.13</v>
      </c>
      <c r="I64" s="1">
        <f t="shared" si="0"/>
        <v>37.17</v>
      </c>
      <c r="J64" t="str">
        <f t="shared" si="1"/>
        <v>Low</v>
      </c>
      <c r="K64" s="1"/>
      <c r="L64" s="1">
        <v>0.02</v>
      </c>
      <c r="M64" s="1">
        <v>6.89</v>
      </c>
      <c r="N64" s="1" t="s">
        <v>33</v>
      </c>
      <c r="O64" s="1" t="s">
        <v>34</v>
      </c>
      <c r="P64" s="2">
        <v>41649</v>
      </c>
      <c r="Q64" s="2" t="b">
        <f t="shared" si="2"/>
        <v>0</v>
      </c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</row>
    <row r="65" spans="1:35" ht="14.25" customHeight="1" x14ac:dyDescent="0.2">
      <c r="A65" s="1">
        <v>40097</v>
      </c>
      <c r="B65" s="1" t="s">
        <v>147</v>
      </c>
      <c r="C65" s="1" t="s">
        <v>51</v>
      </c>
      <c r="D65" s="2">
        <v>41648</v>
      </c>
      <c r="E65" s="1" t="s">
        <v>43</v>
      </c>
      <c r="F65" s="1" t="s">
        <v>148</v>
      </c>
      <c r="G65" s="1">
        <v>47</v>
      </c>
      <c r="H65" s="1">
        <v>2.6</v>
      </c>
      <c r="I65" s="1">
        <f t="shared" si="0"/>
        <v>122.2</v>
      </c>
      <c r="J65" t="str">
        <f t="shared" si="1"/>
        <v>Low</v>
      </c>
      <c r="K65" s="1"/>
      <c r="L65" s="1">
        <v>0.1</v>
      </c>
      <c r="M65" s="1">
        <v>2.4</v>
      </c>
      <c r="N65" s="1" t="s">
        <v>33</v>
      </c>
      <c r="O65" s="1" t="s">
        <v>55</v>
      </c>
      <c r="P65" s="2">
        <v>41653</v>
      </c>
      <c r="Q65" s="2" t="b">
        <f t="shared" si="2"/>
        <v>0</v>
      </c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</row>
    <row r="66" spans="1:35" ht="14.25" customHeight="1" x14ac:dyDescent="0.2">
      <c r="A66" s="1">
        <v>31715</v>
      </c>
      <c r="B66" s="1" t="s">
        <v>149</v>
      </c>
      <c r="C66" s="1" t="s">
        <v>21</v>
      </c>
      <c r="D66" s="2">
        <v>41648</v>
      </c>
      <c r="E66" s="1" t="s">
        <v>22</v>
      </c>
      <c r="F66" s="1" t="s">
        <v>150</v>
      </c>
      <c r="G66" s="1">
        <v>24</v>
      </c>
      <c r="H66" s="1">
        <v>2.78</v>
      </c>
      <c r="I66" s="1">
        <f t="shared" ref="I66:I129" si="3">G66*H66</f>
        <v>66.72</v>
      </c>
      <c r="J66" t="str">
        <f t="shared" ref="J66:J129" si="4">IF(I66&lt;1000,"Low","High")</f>
        <v>Low</v>
      </c>
      <c r="K66" s="1"/>
      <c r="L66" s="1">
        <v>0.09</v>
      </c>
      <c r="M66" s="1">
        <v>0.97</v>
      </c>
      <c r="N66" s="1" t="s">
        <v>33</v>
      </c>
      <c r="O66" s="1" t="s">
        <v>55</v>
      </c>
      <c r="P66" s="2">
        <v>41650</v>
      </c>
      <c r="Q66" s="2" t="b">
        <f t="shared" ref="Q66:Q129" si="5">AND(N66="Express Air",O66="Large Box")</f>
        <v>0</v>
      </c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</row>
    <row r="67" spans="1:35" ht="14.25" customHeight="1" x14ac:dyDescent="0.2">
      <c r="A67" s="1">
        <v>58343</v>
      </c>
      <c r="B67" s="1" t="s">
        <v>151</v>
      </c>
      <c r="C67" s="1" t="s">
        <v>30</v>
      </c>
      <c r="D67" s="2">
        <v>41648</v>
      </c>
      <c r="E67" s="1" t="s">
        <v>22</v>
      </c>
      <c r="F67" s="1" t="s">
        <v>152</v>
      </c>
      <c r="G67" s="1">
        <v>39</v>
      </c>
      <c r="H67" s="1">
        <v>3.29</v>
      </c>
      <c r="I67" s="1">
        <f t="shared" si="3"/>
        <v>128.31</v>
      </c>
      <c r="J67" t="str">
        <f t="shared" si="4"/>
        <v>Low</v>
      </c>
      <c r="K67" s="1"/>
      <c r="L67" s="1">
        <v>7.0000000000000007E-2</v>
      </c>
      <c r="M67" s="1">
        <v>1.35</v>
      </c>
      <c r="N67" s="1" t="s">
        <v>33</v>
      </c>
      <c r="O67" s="1" t="s">
        <v>55</v>
      </c>
      <c r="P67" s="2">
        <v>41650</v>
      </c>
      <c r="Q67" s="2" t="b">
        <f t="shared" si="5"/>
        <v>0</v>
      </c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</row>
    <row r="68" spans="1:35" ht="14.25" customHeight="1" x14ac:dyDescent="0.2">
      <c r="A68" s="1">
        <v>47138</v>
      </c>
      <c r="B68" s="1" t="s">
        <v>153</v>
      </c>
      <c r="C68" s="1" t="s">
        <v>21</v>
      </c>
      <c r="D68" s="2">
        <v>41648</v>
      </c>
      <c r="E68" s="1" t="s">
        <v>43</v>
      </c>
      <c r="F68" s="1" t="s">
        <v>154</v>
      </c>
      <c r="G68" s="1">
        <v>1</v>
      </c>
      <c r="H68" s="1">
        <v>125.99</v>
      </c>
      <c r="I68" s="1">
        <f t="shared" si="3"/>
        <v>125.99</v>
      </c>
      <c r="J68" t="str">
        <f t="shared" si="4"/>
        <v>Low</v>
      </c>
      <c r="K68" s="1"/>
      <c r="L68" s="1">
        <v>0.04</v>
      </c>
      <c r="M68" s="1">
        <v>8.99</v>
      </c>
      <c r="N68" s="1" t="s">
        <v>33</v>
      </c>
      <c r="O68" s="1" t="s">
        <v>34</v>
      </c>
      <c r="P68" s="2">
        <v>41655</v>
      </c>
      <c r="Q68" s="2" t="b">
        <f t="shared" si="5"/>
        <v>0</v>
      </c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</row>
    <row r="69" spans="1:35" ht="14.25" customHeight="1" x14ac:dyDescent="0.2">
      <c r="A69" s="1">
        <v>8576</v>
      </c>
      <c r="B69" s="1" t="s">
        <v>155</v>
      </c>
      <c r="C69" s="1" t="s">
        <v>21</v>
      </c>
      <c r="D69" s="2">
        <v>41648</v>
      </c>
      <c r="E69" s="1" t="s">
        <v>31</v>
      </c>
      <c r="F69" s="1" t="s">
        <v>156</v>
      </c>
      <c r="G69" s="1">
        <v>43</v>
      </c>
      <c r="H69" s="1">
        <v>11.66</v>
      </c>
      <c r="I69" s="1">
        <f t="shared" si="3"/>
        <v>501.38</v>
      </c>
      <c r="J69" t="str">
        <f t="shared" si="4"/>
        <v>Low</v>
      </c>
      <c r="K69" s="1"/>
      <c r="L69" s="1">
        <v>0</v>
      </c>
      <c r="M69" s="1">
        <v>8.99</v>
      </c>
      <c r="N69" s="1" t="s">
        <v>25</v>
      </c>
      <c r="O69" s="1" t="s">
        <v>84</v>
      </c>
      <c r="P69" s="2">
        <v>41650</v>
      </c>
      <c r="Q69" s="2" t="b">
        <f t="shared" si="5"/>
        <v>0</v>
      </c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</row>
    <row r="70" spans="1:35" ht="14.25" customHeight="1" x14ac:dyDescent="0.2">
      <c r="A70" s="1">
        <v>31715</v>
      </c>
      <c r="B70" s="1" t="s">
        <v>149</v>
      </c>
      <c r="C70" s="1" t="s">
        <v>30</v>
      </c>
      <c r="D70" s="2">
        <v>41648</v>
      </c>
      <c r="E70" s="1" t="s">
        <v>22</v>
      </c>
      <c r="F70" s="1" t="s">
        <v>157</v>
      </c>
      <c r="G70" s="1">
        <v>11</v>
      </c>
      <c r="H70" s="1">
        <v>5.38</v>
      </c>
      <c r="I70" s="1">
        <f t="shared" si="3"/>
        <v>59.18</v>
      </c>
      <c r="J70" t="str">
        <f t="shared" si="4"/>
        <v>Low</v>
      </c>
      <c r="K70" s="1"/>
      <c r="L70" s="1">
        <v>0.01</v>
      </c>
      <c r="M70" s="1">
        <v>7.57</v>
      </c>
      <c r="N70" s="1" t="s">
        <v>33</v>
      </c>
      <c r="O70" s="1" t="s">
        <v>34</v>
      </c>
      <c r="P70" s="2">
        <v>41649</v>
      </c>
      <c r="Q70" s="2" t="b">
        <f t="shared" si="5"/>
        <v>0</v>
      </c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</row>
    <row r="71" spans="1:35" ht="14.25" customHeight="1" x14ac:dyDescent="0.2">
      <c r="A71" s="1">
        <v>31715</v>
      </c>
      <c r="B71" s="1" t="s">
        <v>149</v>
      </c>
      <c r="C71" s="1" t="s">
        <v>51</v>
      </c>
      <c r="D71" s="2">
        <v>41648</v>
      </c>
      <c r="E71" s="1" t="s">
        <v>22</v>
      </c>
      <c r="F71" s="1" t="s">
        <v>158</v>
      </c>
      <c r="G71" s="1">
        <v>44</v>
      </c>
      <c r="H71" s="1">
        <v>3.28</v>
      </c>
      <c r="I71" s="1">
        <f t="shared" si="3"/>
        <v>144.32</v>
      </c>
      <c r="J71" t="str">
        <f t="shared" si="4"/>
        <v>Low</v>
      </c>
      <c r="K71" s="1"/>
      <c r="L71" s="1">
        <v>0.05</v>
      </c>
      <c r="M71" s="1">
        <v>3.97</v>
      </c>
      <c r="N71" s="1" t="s">
        <v>33</v>
      </c>
      <c r="O71" s="1" t="s">
        <v>55</v>
      </c>
      <c r="P71" s="2">
        <v>41648</v>
      </c>
      <c r="Q71" s="2" t="b">
        <f t="shared" si="5"/>
        <v>0</v>
      </c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</row>
    <row r="72" spans="1:35" ht="14.25" customHeight="1" x14ac:dyDescent="0.2">
      <c r="A72" s="1">
        <v>55367</v>
      </c>
      <c r="B72" s="1" t="s">
        <v>159</v>
      </c>
      <c r="C72" s="1" t="s">
        <v>30</v>
      </c>
      <c r="D72" s="2">
        <v>41649</v>
      </c>
      <c r="E72" s="1" t="s">
        <v>38</v>
      </c>
      <c r="F72" s="1" t="s">
        <v>160</v>
      </c>
      <c r="G72" s="1">
        <v>31</v>
      </c>
      <c r="H72" s="1">
        <v>70.98</v>
      </c>
      <c r="I72" s="1">
        <f t="shared" si="3"/>
        <v>2200.38</v>
      </c>
      <c r="J72" t="str">
        <f t="shared" si="4"/>
        <v>High</v>
      </c>
      <c r="K72" s="1"/>
      <c r="L72" s="1">
        <v>0.05</v>
      </c>
      <c r="M72" s="1">
        <v>46.74</v>
      </c>
      <c r="N72" s="1" t="s">
        <v>45</v>
      </c>
      <c r="O72" s="1" t="s">
        <v>63</v>
      </c>
      <c r="P72" s="2">
        <v>41650</v>
      </c>
      <c r="Q72" s="2" t="b">
        <f t="shared" si="5"/>
        <v>0</v>
      </c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</row>
    <row r="73" spans="1:35" ht="14.25" customHeight="1" x14ac:dyDescent="0.2">
      <c r="A73" s="1">
        <v>55367</v>
      </c>
      <c r="B73" s="1" t="s">
        <v>159</v>
      </c>
      <c r="C73" s="1" t="s">
        <v>30</v>
      </c>
      <c r="D73" s="2">
        <v>41649</v>
      </c>
      <c r="E73" s="1" t="s">
        <v>38</v>
      </c>
      <c r="F73" s="1" t="s">
        <v>161</v>
      </c>
      <c r="G73" s="1">
        <v>48</v>
      </c>
      <c r="H73" s="1">
        <v>11.55</v>
      </c>
      <c r="I73" s="1">
        <f t="shared" si="3"/>
        <v>554.40000000000009</v>
      </c>
      <c r="J73" t="str">
        <f t="shared" si="4"/>
        <v>Low</v>
      </c>
      <c r="K73" s="1"/>
      <c r="L73" s="1">
        <v>0.05</v>
      </c>
      <c r="M73" s="1">
        <v>2.36</v>
      </c>
      <c r="N73" s="1" t="s">
        <v>33</v>
      </c>
      <c r="O73" s="1" t="s">
        <v>55</v>
      </c>
      <c r="P73" s="2">
        <v>41651</v>
      </c>
      <c r="Q73" s="2" t="b">
        <f t="shared" si="5"/>
        <v>0</v>
      </c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</row>
    <row r="74" spans="1:35" ht="14.25" customHeight="1" x14ac:dyDescent="0.2">
      <c r="A74" s="1">
        <v>31553</v>
      </c>
      <c r="B74" s="1" t="s">
        <v>162</v>
      </c>
      <c r="C74" s="1" t="s">
        <v>21</v>
      </c>
      <c r="D74" s="2">
        <v>41649</v>
      </c>
      <c r="E74" s="1" t="s">
        <v>38</v>
      </c>
      <c r="F74" s="1" t="s">
        <v>163</v>
      </c>
      <c r="G74" s="1">
        <v>32</v>
      </c>
      <c r="H74" s="1">
        <v>162.93</v>
      </c>
      <c r="I74" s="1">
        <f t="shared" si="3"/>
        <v>5213.76</v>
      </c>
      <c r="J74" t="str">
        <f t="shared" si="4"/>
        <v>High</v>
      </c>
      <c r="K74" s="1"/>
      <c r="L74" s="1">
        <v>0.09</v>
      </c>
      <c r="M74" s="1">
        <v>19.989999999999998</v>
      </c>
      <c r="N74" s="1" t="s">
        <v>33</v>
      </c>
      <c r="O74" s="1" t="s">
        <v>34</v>
      </c>
      <c r="P74" s="2">
        <v>41651</v>
      </c>
      <c r="Q74" s="2" t="b">
        <f t="shared" si="5"/>
        <v>0</v>
      </c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</row>
    <row r="75" spans="1:35" ht="14.25" customHeight="1" x14ac:dyDescent="0.2">
      <c r="A75" s="1">
        <v>28290</v>
      </c>
      <c r="B75" s="1" t="s">
        <v>164</v>
      </c>
      <c r="C75" s="1" t="s">
        <v>21</v>
      </c>
      <c r="D75" s="2">
        <v>41649</v>
      </c>
      <c r="E75" s="1" t="s">
        <v>43</v>
      </c>
      <c r="F75" s="1" t="s">
        <v>165</v>
      </c>
      <c r="G75" s="1">
        <v>43</v>
      </c>
      <c r="H75" s="1">
        <v>30.42</v>
      </c>
      <c r="I75" s="1">
        <f t="shared" si="3"/>
        <v>1308.0600000000002</v>
      </c>
      <c r="J75" t="str">
        <f t="shared" si="4"/>
        <v>High</v>
      </c>
      <c r="K75" s="1"/>
      <c r="L75" s="1">
        <v>0.05</v>
      </c>
      <c r="M75" s="1">
        <v>8.65</v>
      </c>
      <c r="N75" s="1" t="s">
        <v>25</v>
      </c>
      <c r="O75" s="1" t="s">
        <v>34</v>
      </c>
      <c r="P75" s="2">
        <v>41653</v>
      </c>
      <c r="Q75" s="2" t="b">
        <f t="shared" si="5"/>
        <v>0</v>
      </c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</row>
    <row r="76" spans="1:35" ht="14.25" customHeight="1" x14ac:dyDescent="0.2">
      <c r="A76" s="1">
        <v>28290</v>
      </c>
      <c r="B76" s="1" t="s">
        <v>164</v>
      </c>
      <c r="C76" s="1" t="s">
        <v>51</v>
      </c>
      <c r="D76" s="2">
        <v>41649</v>
      </c>
      <c r="E76" s="1" t="s">
        <v>43</v>
      </c>
      <c r="F76" s="1" t="s">
        <v>166</v>
      </c>
      <c r="G76" s="1">
        <v>3</v>
      </c>
      <c r="H76" s="1">
        <v>161.55000000000001</v>
      </c>
      <c r="I76" s="1">
        <f t="shared" si="3"/>
        <v>484.65000000000003</v>
      </c>
      <c r="J76" t="str">
        <f t="shared" si="4"/>
        <v>Low</v>
      </c>
      <c r="K76" s="1"/>
      <c r="L76" s="1">
        <v>0.01</v>
      </c>
      <c r="M76" s="1">
        <v>19.989999999999998</v>
      </c>
      <c r="N76" s="1" t="s">
        <v>25</v>
      </c>
      <c r="O76" s="1" t="s">
        <v>34</v>
      </c>
      <c r="P76" s="2">
        <v>41651</v>
      </c>
      <c r="Q76" s="2" t="b">
        <f t="shared" si="5"/>
        <v>0</v>
      </c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</row>
    <row r="77" spans="1:35" ht="14.25" customHeight="1" x14ac:dyDescent="0.2">
      <c r="A77" s="1">
        <v>14596</v>
      </c>
      <c r="B77" s="1" t="s">
        <v>167</v>
      </c>
      <c r="C77" s="1" t="s">
        <v>51</v>
      </c>
      <c r="D77" s="2">
        <v>41649</v>
      </c>
      <c r="E77" s="1" t="s">
        <v>38</v>
      </c>
      <c r="F77" s="1" t="s">
        <v>168</v>
      </c>
      <c r="G77" s="1">
        <v>24</v>
      </c>
      <c r="H77" s="1">
        <v>8.34</v>
      </c>
      <c r="I77" s="1">
        <f t="shared" si="3"/>
        <v>200.16</v>
      </c>
      <c r="J77" t="str">
        <f t="shared" si="4"/>
        <v>Low</v>
      </c>
      <c r="K77" s="1"/>
      <c r="L77" s="1">
        <v>0.01</v>
      </c>
      <c r="M77" s="1">
        <v>0.96</v>
      </c>
      <c r="N77" s="1" t="s">
        <v>33</v>
      </c>
      <c r="O77" s="1" t="s">
        <v>55</v>
      </c>
      <c r="P77" s="2">
        <v>41651</v>
      </c>
      <c r="Q77" s="2" t="b">
        <f t="shared" si="5"/>
        <v>0</v>
      </c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</row>
    <row r="78" spans="1:35" ht="14.25" customHeight="1" x14ac:dyDescent="0.2">
      <c r="A78" s="1">
        <v>14596</v>
      </c>
      <c r="B78" s="1" t="s">
        <v>167</v>
      </c>
      <c r="C78" s="1" t="s">
        <v>51</v>
      </c>
      <c r="D78" s="2">
        <v>41649</v>
      </c>
      <c r="E78" s="1" t="s">
        <v>38</v>
      </c>
      <c r="F78" s="1" t="s">
        <v>158</v>
      </c>
      <c r="G78" s="1">
        <v>19</v>
      </c>
      <c r="H78" s="1">
        <v>3.28</v>
      </c>
      <c r="I78" s="1">
        <f t="shared" si="3"/>
        <v>62.319999999999993</v>
      </c>
      <c r="J78" t="str">
        <f t="shared" si="4"/>
        <v>Low</v>
      </c>
      <c r="K78" s="1"/>
      <c r="L78" s="1">
        <v>0.06</v>
      </c>
      <c r="M78" s="1">
        <v>3.97</v>
      </c>
      <c r="N78" s="1" t="s">
        <v>33</v>
      </c>
      <c r="O78" s="1" t="s">
        <v>55</v>
      </c>
      <c r="P78" s="2">
        <v>41650</v>
      </c>
      <c r="Q78" s="2" t="b">
        <f t="shared" si="5"/>
        <v>0</v>
      </c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</row>
    <row r="79" spans="1:35" ht="14.25" customHeight="1" x14ac:dyDescent="0.2">
      <c r="A79" s="1">
        <v>33988</v>
      </c>
      <c r="B79" s="1" t="s">
        <v>169</v>
      </c>
      <c r="C79" s="1" t="s">
        <v>21</v>
      </c>
      <c r="D79" s="2">
        <v>41649</v>
      </c>
      <c r="E79" s="1" t="s">
        <v>101</v>
      </c>
      <c r="F79" s="1" t="s">
        <v>170</v>
      </c>
      <c r="G79" s="1">
        <v>30</v>
      </c>
      <c r="H79" s="1">
        <v>5.0199999999999996</v>
      </c>
      <c r="I79" s="1">
        <f t="shared" si="3"/>
        <v>150.6</v>
      </c>
      <c r="J79" t="str">
        <f t="shared" si="4"/>
        <v>Low</v>
      </c>
      <c r="K79" s="1"/>
      <c r="L79" s="1">
        <v>0</v>
      </c>
      <c r="M79" s="1">
        <v>5.14</v>
      </c>
      <c r="N79" s="1" t="s">
        <v>33</v>
      </c>
      <c r="O79" s="1" t="s">
        <v>84</v>
      </c>
      <c r="P79" s="2">
        <v>41650</v>
      </c>
      <c r="Q79" s="2" t="b">
        <f t="shared" si="5"/>
        <v>0</v>
      </c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</row>
    <row r="80" spans="1:35" ht="14.25" customHeight="1" x14ac:dyDescent="0.2">
      <c r="A80" s="1">
        <v>28999</v>
      </c>
      <c r="B80" s="1" t="s">
        <v>171</v>
      </c>
      <c r="C80" s="1" t="s">
        <v>30</v>
      </c>
      <c r="D80" s="2">
        <v>41649</v>
      </c>
      <c r="E80" s="1" t="s">
        <v>31</v>
      </c>
      <c r="F80" s="1" t="s">
        <v>172</v>
      </c>
      <c r="G80" s="1">
        <v>34</v>
      </c>
      <c r="H80" s="1">
        <v>33.979999999999997</v>
      </c>
      <c r="I80" s="1">
        <f t="shared" si="3"/>
        <v>1155.32</v>
      </c>
      <c r="J80" t="str">
        <f t="shared" si="4"/>
        <v>High</v>
      </c>
      <c r="K80" s="1"/>
      <c r="L80" s="1">
        <v>0.02</v>
      </c>
      <c r="M80" s="1">
        <v>1.99</v>
      </c>
      <c r="N80" s="1" t="s">
        <v>33</v>
      </c>
      <c r="O80" s="1" t="s">
        <v>84</v>
      </c>
      <c r="P80" s="2">
        <v>41650</v>
      </c>
      <c r="Q80" s="2" t="b">
        <f t="shared" si="5"/>
        <v>0</v>
      </c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</row>
    <row r="81" spans="1:35" ht="14.25" customHeight="1" x14ac:dyDescent="0.2">
      <c r="A81" s="1">
        <v>20037</v>
      </c>
      <c r="B81" s="1" t="s">
        <v>173</v>
      </c>
      <c r="C81" s="1" t="s">
        <v>21</v>
      </c>
      <c r="D81" s="2">
        <v>41649</v>
      </c>
      <c r="E81" s="1" t="s">
        <v>43</v>
      </c>
      <c r="F81" s="1" t="s">
        <v>174</v>
      </c>
      <c r="G81" s="1">
        <v>35</v>
      </c>
      <c r="H81" s="1">
        <v>29.18</v>
      </c>
      <c r="I81" s="1">
        <f t="shared" si="3"/>
        <v>1021.3</v>
      </c>
      <c r="J81" t="str">
        <f t="shared" si="4"/>
        <v>High</v>
      </c>
      <c r="K81" s="1"/>
      <c r="L81" s="1">
        <v>0.02</v>
      </c>
      <c r="M81" s="1">
        <v>8.5500000000000007</v>
      </c>
      <c r="N81" s="1" t="s">
        <v>33</v>
      </c>
      <c r="O81" s="1" t="s">
        <v>34</v>
      </c>
      <c r="P81" s="2">
        <v>41654</v>
      </c>
      <c r="Q81" s="2" t="b">
        <f t="shared" si="5"/>
        <v>0</v>
      </c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</row>
    <row r="82" spans="1:35" ht="14.25" customHeight="1" x14ac:dyDescent="0.2">
      <c r="A82" s="1">
        <v>20037</v>
      </c>
      <c r="B82" s="1" t="s">
        <v>173</v>
      </c>
      <c r="C82" s="1" t="s">
        <v>51</v>
      </c>
      <c r="D82" s="2">
        <v>41649</v>
      </c>
      <c r="E82" s="1" t="s">
        <v>43</v>
      </c>
      <c r="F82" s="1" t="s">
        <v>175</v>
      </c>
      <c r="G82" s="1">
        <v>49</v>
      </c>
      <c r="H82" s="1">
        <v>297.64</v>
      </c>
      <c r="I82" s="1">
        <f t="shared" si="3"/>
        <v>14584.359999999999</v>
      </c>
      <c r="J82" t="str">
        <f t="shared" si="4"/>
        <v>High</v>
      </c>
      <c r="K82" s="1"/>
      <c r="L82" s="1">
        <v>0.03</v>
      </c>
      <c r="M82" s="1">
        <v>14.7</v>
      </c>
      <c r="N82" s="1" t="s">
        <v>45</v>
      </c>
      <c r="O82" s="1" t="s">
        <v>46</v>
      </c>
      <c r="P82" s="2">
        <v>41654</v>
      </c>
      <c r="Q82" s="2" t="b">
        <f t="shared" si="5"/>
        <v>0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</row>
    <row r="83" spans="1:35" ht="14.25" customHeight="1" x14ac:dyDescent="0.2">
      <c r="A83" s="1">
        <v>44391</v>
      </c>
      <c r="B83" s="1" t="s">
        <v>73</v>
      </c>
      <c r="C83" s="1" t="s">
        <v>30</v>
      </c>
      <c r="D83" s="2">
        <v>41649</v>
      </c>
      <c r="E83" s="1" t="s">
        <v>22</v>
      </c>
      <c r="F83" s="1" t="s">
        <v>176</v>
      </c>
      <c r="G83" s="1">
        <v>16</v>
      </c>
      <c r="H83" s="1">
        <v>6.48</v>
      </c>
      <c r="I83" s="1">
        <f t="shared" si="3"/>
        <v>103.68</v>
      </c>
      <c r="J83" t="str">
        <f t="shared" si="4"/>
        <v>Low</v>
      </c>
      <c r="K83" s="1"/>
      <c r="L83" s="1">
        <v>0.02</v>
      </c>
      <c r="M83" s="1">
        <v>9.17</v>
      </c>
      <c r="N83" s="1" t="s">
        <v>33</v>
      </c>
      <c r="O83" s="1" t="s">
        <v>34</v>
      </c>
      <c r="P83" s="2">
        <v>41650</v>
      </c>
      <c r="Q83" s="2" t="b">
        <f t="shared" si="5"/>
        <v>0</v>
      </c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</row>
    <row r="84" spans="1:35" ht="14.25" customHeight="1" x14ac:dyDescent="0.2">
      <c r="A84" s="1">
        <v>19655</v>
      </c>
      <c r="B84" s="1" t="s">
        <v>177</v>
      </c>
      <c r="C84" s="1" t="s">
        <v>30</v>
      </c>
      <c r="D84" s="2">
        <v>41650</v>
      </c>
      <c r="E84" s="1" t="s">
        <v>31</v>
      </c>
      <c r="F84" s="1" t="s">
        <v>178</v>
      </c>
      <c r="G84" s="1">
        <v>31</v>
      </c>
      <c r="H84" s="1">
        <v>39.24</v>
      </c>
      <c r="I84" s="1">
        <f t="shared" si="3"/>
        <v>1216.44</v>
      </c>
      <c r="J84" t="str">
        <f t="shared" si="4"/>
        <v>High</v>
      </c>
      <c r="K84" s="1"/>
      <c r="L84" s="1">
        <v>0.06</v>
      </c>
      <c r="M84" s="1">
        <v>1.99</v>
      </c>
      <c r="N84" s="1" t="s">
        <v>33</v>
      </c>
      <c r="O84" s="1" t="s">
        <v>84</v>
      </c>
      <c r="P84" s="2">
        <v>41651</v>
      </c>
      <c r="Q84" s="2" t="b">
        <f t="shared" si="5"/>
        <v>0</v>
      </c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</row>
    <row r="85" spans="1:35" ht="14.25" customHeight="1" x14ac:dyDescent="0.2">
      <c r="A85" s="1">
        <v>33797</v>
      </c>
      <c r="B85" s="1" t="s">
        <v>179</v>
      </c>
      <c r="C85" s="1" t="s">
        <v>51</v>
      </c>
      <c r="D85" s="2">
        <v>41650</v>
      </c>
      <c r="E85" s="1" t="s">
        <v>22</v>
      </c>
      <c r="F85" s="1" t="s">
        <v>175</v>
      </c>
      <c r="G85" s="1">
        <v>20</v>
      </c>
      <c r="H85" s="1">
        <v>297.64</v>
      </c>
      <c r="I85" s="1">
        <f t="shared" si="3"/>
        <v>5952.7999999999993</v>
      </c>
      <c r="J85" t="str">
        <f t="shared" si="4"/>
        <v>High</v>
      </c>
      <c r="K85" s="1"/>
      <c r="L85" s="1">
        <v>0.08</v>
      </c>
      <c r="M85" s="1">
        <v>14.7</v>
      </c>
      <c r="N85" s="1" t="s">
        <v>45</v>
      </c>
      <c r="O85" s="1" t="s">
        <v>46</v>
      </c>
      <c r="P85" s="2">
        <v>41650</v>
      </c>
      <c r="Q85" s="2" t="b">
        <f t="shared" si="5"/>
        <v>0</v>
      </c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</row>
    <row r="86" spans="1:35" ht="14.25" customHeight="1" x14ac:dyDescent="0.2">
      <c r="A86" s="1">
        <v>33797</v>
      </c>
      <c r="B86" s="1" t="s">
        <v>179</v>
      </c>
      <c r="C86" s="1" t="s">
        <v>51</v>
      </c>
      <c r="D86" s="2">
        <v>41650</v>
      </c>
      <c r="E86" s="1" t="s">
        <v>22</v>
      </c>
      <c r="F86" s="1" t="s">
        <v>180</v>
      </c>
      <c r="G86" s="1">
        <v>44</v>
      </c>
      <c r="H86" s="1">
        <v>12.99</v>
      </c>
      <c r="I86" s="1">
        <f t="shared" si="3"/>
        <v>571.56000000000006</v>
      </c>
      <c r="J86" t="str">
        <f t="shared" si="4"/>
        <v>Low</v>
      </c>
      <c r="K86" s="1"/>
      <c r="L86" s="1">
        <v>0.02</v>
      </c>
      <c r="M86" s="1">
        <v>14.37</v>
      </c>
      <c r="N86" s="1" t="s">
        <v>33</v>
      </c>
      <c r="O86" s="1" t="s">
        <v>26</v>
      </c>
      <c r="P86" s="2">
        <v>41651</v>
      </c>
      <c r="Q86" s="2" t="b">
        <f t="shared" si="5"/>
        <v>0</v>
      </c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</row>
    <row r="87" spans="1:35" ht="14.25" customHeight="1" x14ac:dyDescent="0.2">
      <c r="A87" s="1">
        <v>33797</v>
      </c>
      <c r="B87" s="1" t="s">
        <v>179</v>
      </c>
      <c r="C87" s="1" t="s">
        <v>30</v>
      </c>
      <c r="D87" s="2">
        <v>41650</v>
      </c>
      <c r="E87" s="1" t="s">
        <v>22</v>
      </c>
      <c r="F87" s="1" t="s">
        <v>181</v>
      </c>
      <c r="G87" s="1">
        <v>18</v>
      </c>
      <c r="H87" s="1">
        <v>14.42</v>
      </c>
      <c r="I87" s="1">
        <f t="shared" si="3"/>
        <v>259.56</v>
      </c>
      <c r="J87" t="str">
        <f t="shared" si="4"/>
        <v>Low</v>
      </c>
      <c r="K87" s="1"/>
      <c r="L87" s="1">
        <v>0.06</v>
      </c>
      <c r="M87" s="1">
        <v>6.75</v>
      </c>
      <c r="N87" s="1" t="s">
        <v>33</v>
      </c>
      <c r="O87" s="1" t="s">
        <v>72</v>
      </c>
      <c r="P87" s="2">
        <v>41651</v>
      </c>
      <c r="Q87" s="2" t="b">
        <f t="shared" si="5"/>
        <v>0</v>
      </c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</row>
    <row r="88" spans="1:35" ht="14.25" customHeight="1" x14ac:dyDescent="0.2">
      <c r="A88" s="1">
        <v>33797</v>
      </c>
      <c r="B88" s="1" t="s">
        <v>179</v>
      </c>
      <c r="C88" s="1" t="s">
        <v>21</v>
      </c>
      <c r="D88" s="2">
        <v>41650</v>
      </c>
      <c r="E88" s="1" t="s">
        <v>22</v>
      </c>
      <c r="F88" s="1" t="s">
        <v>182</v>
      </c>
      <c r="G88" s="1">
        <v>29</v>
      </c>
      <c r="H88" s="1">
        <v>4.1399999999999997</v>
      </c>
      <c r="I88" s="1">
        <f t="shared" si="3"/>
        <v>120.05999999999999</v>
      </c>
      <c r="J88" t="str">
        <f t="shared" si="4"/>
        <v>Low</v>
      </c>
      <c r="K88" s="1"/>
      <c r="L88" s="1">
        <v>0.05</v>
      </c>
      <c r="M88" s="1">
        <v>6.6</v>
      </c>
      <c r="N88" s="1" t="s">
        <v>25</v>
      </c>
      <c r="O88" s="1" t="s">
        <v>34</v>
      </c>
      <c r="P88" s="2">
        <v>41652</v>
      </c>
      <c r="Q88" s="2" t="b">
        <f t="shared" si="5"/>
        <v>0</v>
      </c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</row>
    <row r="89" spans="1:35" ht="14.25" customHeight="1" x14ac:dyDescent="0.2">
      <c r="A89" s="1">
        <v>33797</v>
      </c>
      <c r="B89" s="1" t="s">
        <v>179</v>
      </c>
      <c r="C89" s="1" t="s">
        <v>21</v>
      </c>
      <c r="D89" s="2">
        <v>41650</v>
      </c>
      <c r="E89" s="1" t="s">
        <v>22</v>
      </c>
      <c r="F89" s="1" t="s">
        <v>183</v>
      </c>
      <c r="G89" s="1">
        <v>18</v>
      </c>
      <c r="H89" s="1">
        <v>11.34</v>
      </c>
      <c r="I89" s="1">
        <f t="shared" si="3"/>
        <v>204.12</v>
      </c>
      <c r="J89" t="str">
        <f t="shared" si="4"/>
        <v>Low</v>
      </c>
      <c r="K89" s="1"/>
      <c r="L89" s="1">
        <v>0.03</v>
      </c>
      <c r="M89" s="1">
        <v>5.01</v>
      </c>
      <c r="N89" s="1" t="s">
        <v>33</v>
      </c>
      <c r="O89" s="1" t="s">
        <v>34</v>
      </c>
      <c r="P89" s="2">
        <v>41650</v>
      </c>
      <c r="Q89" s="2" t="b">
        <f t="shared" si="5"/>
        <v>0</v>
      </c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</row>
    <row r="90" spans="1:35" ht="14.25" customHeight="1" x14ac:dyDescent="0.2">
      <c r="A90" s="1">
        <v>21830</v>
      </c>
      <c r="B90" s="1" t="s">
        <v>184</v>
      </c>
      <c r="C90" s="1" t="s">
        <v>51</v>
      </c>
      <c r="D90" s="2">
        <v>41650</v>
      </c>
      <c r="E90" s="1" t="s">
        <v>43</v>
      </c>
      <c r="F90" s="1" t="s">
        <v>185</v>
      </c>
      <c r="G90" s="1">
        <v>19</v>
      </c>
      <c r="H90" s="1">
        <v>399.98</v>
      </c>
      <c r="I90" s="1">
        <f t="shared" si="3"/>
        <v>7599.6200000000008</v>
      </c>
      <c r="J90" t="str">
        <f t="shared" si="4"/>
        <v>High</v>
      </c>
      <c r="K90" s="1"/>
      <c r="L90" s="1">
        <v>0.08</v>
      </c>
      <c r="M90" s="1">
        <v>12.06</v>
      </c>
      <c r="N90" s="1" t="s">
        <v>45</v>
      </c>
      <c r="O90" s="1" t="s">
        <v>63</v>
      </c>
      <c r="P90" s="2">
        <v>41657</v>
      </c>
      <c r="Q90" s="2" t="b">
        <f t="shared" si="5"/>
        <v>0</v>
      </c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</row>
    <row r="91" spans="1:35" ht="14.25" customHeight="1" x14ac:dyDescent="0.2">
      <c r="A91" s="1">
        <v>37862</v>
      </c>
      <c r="B91" s="1" t="s">
        <v>186</v>
      </c>
      <c r="C91" s="1" t="s">
        <v>51</v>
      </c>
      <c r="D91" s="2">
        <v>41651</v>
      </c>
      <c r="E91" s="1" t="s">
        <v>22</v>
      </c>
      <c r="F91" s="1" t="s">
        <v>187</v>
      </c>
      <c r="G91" s="1">
        <v>27</v>
      </c>
      <c r="H91" s="1">
        <v>59.98</v>
      </c>
      <c r="I91" s="1">
        <f t="shared" si="3"/>
        <v>1619.4599999999998</v>
      </c>
      <c r="J91" t="str">
        <f t="shared" si="4"/>
        <v>High</v>
      </c>
      <c r="K91" s="1"/>
      <c r="L91" s="1">
        <v>0.01</v>
      </c>
      <c r="M91" s="1">
        <v>3.99</v>
      </c>
      <c r="N91" s="1" t="s">
        <v>33</v>
      </c>
      <c r="O91" s="1" t="s">
        <v>34</v>
      </c>
      <c r="P91" s="2">
        <v>41654</v>
      </c>
      <c r="Q91" s="2" t="b">
        <f t="shared" si="5"/>
        <v>0</v>
      </c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</row>
    <row r="92" spans="1:35" ht="14.25" customHeight="1" x14ac:dyDescent="0.2">
      <c r="A92" s="1">
        <v>43362</v>
      </c>
      <c r="B92" s="1" t="s">
        <v>188</v>
      </c>
      <c r="C92" s="1" t="s">
        <v>30</v>
      </c>
      <c r="D92" s="2">
        <v>41651</v>
      </c>
      <c r="E92" s="1" t="s">
        <v>38</v>
      </c>
      <c r="F92" s="1" t="s">
        <v>79</v>
      </c>
      <c r="G92" s="1">
        <v>45</v>
      </c>
      <c r="H92" s="1">
        <v>350.98</v>
      </c>
      <c r="I92" s="1">
        <f t="shared" si="3"/>
        <v>15794.1</v>
      </c>
      <c r="J92" t="str">
        <f t="shared" si="4"/>
        <v>High</v>
      </c>
      <c r="K92" s="1"/>
      <c r="L92" s="1">
        <v>0.03</v>
      </c>
      <c r="M92" s="1">
        <v>30</v>
      </c>
      <c r="N92" s="1" t="s">
        <v>45</v>
      </c>
      <c r="O92" s="1" t="s">
        <v>46</v>
      </c>
      <c r="P92" s="2">
        <v>41654</v>
      </c>
      <c r="Q92" s="2" t="b">
        <f t="shared" si="5"/>
        <v>0</v>
      </c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</row>
    <row r="93" spans="1:35" ht="14.25" customHeight="1" x14ac:dyDescent="0.2">
      <c r="A93" s="1">
        <v>43362</v>
      </c>
      <c r="B93" s="1" t="s">
        <v>188</v>
      </c>
      <c r="C93" s="1" t="s">
        <v>51</v>
      </c>
      <c r="D93" s="2">
        <v>41651</v>
      </c>
      <c r="E93" s="1" t="s">
        <v>38</v>
      </c>
      <c r="F93" s="1" t="s">
        <v>189</v>
      </c>
      <c r="G93" s="1">
        <v>33</v>
      </c>
      <c r="H93" s="1">
        <v>1.68</v>
      </c>
      <c r="I93" s="1">
        <f t="shared" si="3"/>
        <v>55.44</v>
      </c>
      <c r="J93" t="str">
        <f t="shared" si="4"/>
        <v>Low</v>
      </c>
      <c r="K93" s="1"/>
      <c r="L93" s="1">
        <v>0.04</v>
      </c>
      <c r="M93" s="1">
        <v>1</v>
      </c>
      <c r="N93" s="1" t="s">
        <v>33</v>
      </c>
      <c r="O93" s="1" t="s">
        <v>55</v>
      </c>
      <c r="P93" s="2">
        <v>41653</v>
      </c>
      <c r="Q93" s="2" t="b">
        <f t="shared" si="5"/>
        <v>0</v>
      </c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</row>
    <row r="94" spans="1:35" ht="14.25" customHeight="1" x14ac:dyDescent="0.2">
      <c r="A94" s="1">
        <v>20549</v>
      </c>
      <c r="B94" s="1" t="s">
        <v>190</v>
      </c>
      <c r="C94" s="1" t="s">
        <v>21</v>
      </c>
      <c r="D94" s="2">
        <v>41651</v>
      </c>
      <c r="E94" s="1" t="s">
        <v>22</v>
      </c>
      <c r="F94" s="1" t="s">
        <v>191</v>
      </c>
      <c r="G94" s="1">
        <v>40</v>
      </c>
      <c r="H94" s="1">
        <v>27.75</v>
      </c>
      <c r="I94" s="1">
        <f t="shared" si="3"/>
        <v>1110</v>
      </c>
      <c r="J94" t="str">
        <f t="shared" si="4"/>
        <v>High</v>
      </c>
      <c r="K94" s="1"/>
      <c r="L94" s="1">
        <v>0.09</v>
      </c>
      <c r="M94" s="1">
        <v>19.989999999999998</v>
      </c>
      <c r="N94" s="1" t="s">
        <v>33</v>
      </c>
      <c r="O94" s="1" t="s">
        <v>34</v>
      </c>
      <c r="P94" s="2">
        <v>41652</v>
      </c>
      <c r="Q94" s="2" t="b">
        <f t="shared" si="5"/>
        <v>0</v>
      </c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</row>
    <row r="95" spans="1:35" ht="14.25" customHeight="1" x14ac:dyDescent="0.2">
      <c r="A95" s="1">
        <v>27813</v>
      </c>
      <c r="B95" s="1" t="s">
        <v>192</v>
      </c>
      <c r="C95" s="1" t="s">
        <v>51</v>
      </c>
      <c r="D95" s="2">
        <v>41651</v>
      </c>
      <c r="E95" s="1" t="s">
        <v>101</v>
      </c>
      <c r="F95" s="1" t="s">
        <v>193</v>
      </c>
      <c r="G95" s="1">
        <v>10</v>
      </c>
      <c r="H95" s="1">
        <v>40.98</v>
      </c>
      <c r="I95" s="1">
        <f t="shared" si="3"/>
        <v>409.79999999999995</v>
      </c>
      <c r="J95" t="str">
        <f t="shared" si="4"/>
        <v>Low</v>
      </c>
      <c r="K95" s="1"/>
      <c r="L95" s="1">
        <v>0.1</v>
      </c>
      <c r="M95" s="1">
        <v>6.5</v>
      </c>
      <c r="N95" s="1" t="s">
        <v>33</v>
      </c>
      <c r="O95" s="1" t="s">
        <v>34</v>
      </c>
      <c r="P95" s="2">
        <v>41653</v>
      </c>
      <c r="Q95" s="2" t="b">
        <f t="shared" si="5"/>
        <v>0</v>
      </c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</row>
    <row r="96" spans="1:35" ht="14.25" customHeight="1" x14ac:dyDescent="0.2">
      <c r="A96" s="1">
        <v>7461</v>
      </c>
      <c r="B96" s="1" t="s">
        <v>194</v>
      </c>
      <c r="C96" s="1" t="s">
        <v>30</v>
      </c>
      <c r="D96" s="2">
        <v>41651</v>
      </c>
      <c r="E96" s="1" t="s">
        <v>43</v>
      </c>
      <c r="F96" s="1" t="s">
        <v>195</v>
      </c>
      <c r="G96" s="1">
        <v>12</v>
      </c>
      <c r="H96" s="1">
        <v>350.99</v>
      </c>
      <c r="I96" s="1">
        <f t="shared" si="3"/>
        <v>4211.88</v>
      </c>
      <c r="J96" t="str">
        <f t="shared" si="4"/>
        <v>High</v>
      </c>
      <c r="K96" s="1"/>
      <c r="L96" s="1">
        <v>0.05</v>
      </c>
      <c r="M96" s="1">
        <v>39</v>
      </c>
      <c r="N96" s="1" t="s">
        <v>45</v>
      </c>
      <c r="O96" s="1" t="s">
        <v>46</v>
      </c>
      <c r="P96" s="2">
        <v>41653</v>
      </c>
      <c r="Q96" s="2" t="b">
        <f t="shared" si="5"/>
        <v>0</v>
      </c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</row>
    <row r="97" spans="1:35" ht="14.25" customHeight="1" x14ac:dyDescent="0.2">
      <c r="A97" s="1">
        <v>7461</v>
      </c>
      <c r="B97" s="1" t="s">
        <v>194</v>
      </c>
      <c r="C97" s="1" t="s">
        <v>21</v>
      </c>
      <c r="D97" s="2">
        <v>41651</v>
      </c>
      <c r="E97" s="1" t="s">
        <v>43</v>
      </c>
      <c r="F97" s="1" t="s">
        <v>196</v>
      </c>
      <c r="G97" s="1">
        <v>28</v>
      </c>
      <c r="H97" s="1">
        <v>8.74</v>
      </c>
      <c r="I97" s="1">
        <f t="shared" si="3"/>
        <v>244.72</v>
      </c>
      <c r="J97" t="str">
        <f t="shared" si="4"/>
        <v>Low</v>
      </c>
      <c r="K97" s="1"/>
      <c r="L97" s="1">
        <v>0</v>
      </c>
      <c r="M97" s="1">
        <v>1.39</v>
      </c>
      <c r="N97" s="1" t="s">
        <v>33</v>
      </c>
      <c r="O97" s="1" t="s">
        <v>34</v>
      </c>
      <c r="P97" s="2">
        <v>41655</v>
      </c>
      <c r="Q97" s="2" t="b">
        <f t="shared" si="5"/>
        <v>0</v>
      </c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</row>
    <row r="98" spans="1:35" ht="14.25" customHeight="1" x14ac:dyDescent="0.2">
      <c r="A98" s="1">
        <v>7461</v>
      </c>
      <c r="B98" s="1" t="s">
        <v>194</v>
      </c>
      <c r="C98" s="1" t="s">
        <v>30</v>
      </c>
      <c r="D98" s="2">
        <v>41651</v>
      </c>
      <c r="E98" s="1" t="s">
        <v>43</v>
      </c>
      <c r="F98" s="1" t="s">
        <v>197</v>
      </c>
      <c r="G98" s="1">
        <v>44</v>
      </c>
      <c r="H98" s="1">
        <v>1.98</v>
      </c>
      <c r="I98" s="1">
        <f t="shared" si="3"/>
        <v>87.12</v>
      </c>
      <c r="J98" t="str">
        <f t="shared" si="4"/>
        <v>Low</v>
      </c>
      <c r="K98" s="1"/>
      <c r="L98" s="1">
        <v>0.02</v>
      </c>
      <c r="M98" s="1">
        <v>0.7</v>
      </c>
      <c r="N98" s="1" t="s">
        <v>33</v>
      </c>
      <c r="O98" s="1" t="s">
        <v>55</v>
      </c>
      <c r="P98" s="2">
        <v>41655</v>
      </c>
      <c r="Q98" s="2" t="b">
        <f t="shared" si="5"/>
        <v>0</v>
      </c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</row>
    <row r="99" spans="1:35" ht="14.25" customHeight="1" x14ac:dyDescent="0.2">
      <c r="A99" s="1">
        <v>51623</v>
      </c>
      <c r="B99" s="1" t="s">
        <v>198</v>
      </c>
      <c r="C99" s="1" t="s">
        <v>51</v>
      </c>
      <c r="D99" s="2">
        <v>41652</v>
      </c>
      <c r="E99" s="1" t="s">
        <v>38</v>
      </c>
      <c r="F99" s="1" t="s">
        <v>199</v>
      </c>
      <c r="G99" s="1">
        <v>17</v>
      </c>
      <c r="H99" s="1">
        <v>2.08</v>
      </c>
      <c r="I99" s="1">
        <f t="shared" si="3"/>
        <v>35.36</v>
      </c>
      <c r="J99" t="str">
        <f t="shared" si="4"/>
        <v>Low</v>
      </c>
      <c r="K99" s="1"/>
      <c r="L99" s="1">
        <v>0.06</v>
      </c>
      <c r="M99" s="1">
        <v>5.33</v>
      </c>
      <c r="N99" s="1" t="s">
        <v>33</v>
      </c>
      <c r="O99" s="1" t="s">
        <v>34</v>
      </c>
      <c r="P99" s="2">
        <v>41652</v>
      </c>
      <c r="Q99" s="2" t="b">
        <f t="shared" si="5"/>
        <v>0</v>
      </c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</row>
    <row r="100" spans="1:35" ht="14.25" customHeight="1" x14ac:dyDescent="0.2">
      <c r="A100" s="1">
        <v>25541</v>
      </c>
      <c r="B100" s="1" t="s">
        <v>200</v>
      </c>
      <c r="C100" s="1" t="s">
        <v>51</v>
      </c>
      <c r="D100" s="2">
        <v>41652</v>
      </c>
      <c r="E100" s="1" t="s">
        <v>43</v>
      </c>
      <c r="F100" s="1" t="s">
        <v>201</v>
      </c>
      <c r="G100" s="1">
        <v>50</v>
      </c>
      <c r="H100" s="1">
        <v>5.98</v>
      </c>
      <c r="I100" s="1">
        <f t="shared" si="3"/>
        <v>299</v>
      </c>
      <c r="J100" t="str">
        <f t="shared" si="4"/>
        <v>Low</v>
      </c>
      <c r="K100" s="1"/>
      <c r="L100" s="1">
        <v>7.0000000000000007E-2</v>
      </c>
      <c r="M100" s="1">
        <v>5.79</v>
      </c>
      <c r="N100" s="1" t="s">
        <v>33</v>
      </c>
      <c r="O100" s="1" t="s">
        <v>34</v>
      </c>
      <c r="P100" s="2">
        <v>41654</v>
      </c>
      <c r="Q100" s="2" t="b">
        <f t="shared" si="5"/>
        <v>0</v>
      </c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</row>
    <row r="101" spans="1:35" ht="14.25" customHeight="1" x14ac:dyDescent="0.2">
      <c r="A101" s="1">
        <v>13602</v>
      </c>
      <c r="B101" s="1" t="s">
        <v>202</v>
      </c>
      <c r="C101" s="1" t="s">
        <v>21</v>
      </c>
      <c r="D101" s="2">
        <v>41652</v>
      </c>
      <c r="E101" s="1" t="s">
        <v>43</v>
      </c>
      <c r="F101" s="1" t="s">
        <v>91</v>
      </c>
      <c r="G101" s="1">
        <v>3</v>
      </c>
      <c r="H101" s="1">
        <v>145.44999999999999</v>
      </c>
      <c r="I101" s="1">
        <f t="shared" si="3"/>
        <v>436.34999999999997</v>
      </c>
      <c r="J101" t="str">
        <f t="shared" si="4"/>
        <v>Low</v>
      </c>
      <c r="K101" s="1"/>
      <c r="L101" s="1">
        <v>0.03</v>
      </c>
      <c r="M101" s="1">
        <v>17.850000000000001</v>
      </c>
      <c r="N101" s="1" t="s">
        <v>45</v>
      </c>
      <c r="O101" s="1" t="s">
        <v>46</v>
      </c>
      <c r="P101" s="2">
        <v>41657</v>
      </c>
      <c r="Q101" s="2" t="b">
        <f t="shared" si="5"/>
        <v>0</v>
      </c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</row>
    <row r="102" spans="1:35" ht="14.25" customHeight="1" x14ac:dyDescent="0.2">
      <c r="A102" s="1">
        <v>13602</v>
      </c>
      <c r="B102" s="1" t="s">
        <v>202</v>
      </c>
      <c r="C102" s="1" t="s">
        <v>30</v>
      </c>
      <c r="D102" s="2">
        <v>41652</v>
      </c>
      <c r="E102" s="1" t="s">
        <v>43</v>
      </c>
      <c r="F102" s="1" t="s">
        <v>203</v>
      </c>
      <c r="G102" s="1">
        <v>13</v>
      </c>
      <c r="H102" s="1">
        <v>48.04</v>
      </c>
      <c r="I102" s="1">
        <f t="shared" si="3"/>
        <v>624.52</v>
      </c>
      <c r="J102" t="str">
        <f t="shared" si="4"/>
        <v>Low</v>
      </c>
      <c r="K102" s="1"/>
      <c r="L102" s="1">
        <v>0.02</v>
      </c>
      <c r="M102" s="1">
        <v>5.09</v>
      </c>
      <c r="N102" s="1" t="s">
        <v>33</v>
      </c>
      <c r="O102" s="1" t="s">
        <v>34</v>
      </c>
      <c r="P102" s="2">
        <v>41652</v>
      </c>
      <c r="Q102" s="2" t="b">
        <f t="shared" si="5"/>
        <v>0</v>
      </c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</row>
    <row r="103" spans="1:35" ht="14.25" customHeight="1" x14ac:dyDescent="0.2">
      <c r="A103" s="1">
        <v>34691</v>
      </c>
      <c r="B103" s="1" t="s">
        <v>204</v>
      </c>
      <c r="C103" s="1" t="s">
        <v>30</v>
      </c>
      <c r="D103" s="2">
        <v>41653</v>
      </c>
      <c r="E103" s="1" t="s">
        <v>38</v>
      </c>
      <c r="F103" s="1" t="s">
        <v>205</v>
      </c>
      <c r="G103" s="1">
        <v>27</v>
      </c>
      <c r="H103" s="1">
        <v>7.77</v>
      </c>
      <c r="I103" s="1">
        <f t="shared" si="3"/>
        <v>209.79</v>
      </c>
      <c r="J103" t="str">
        <f t="shared" si="4"/>
        <v>Low</v>
      </c>
      <c r="K103" s="1"/>
      <c r="L103" s="1">
        <v>0.08</v>
      </c>
      <c r="M103" s="1">
        <v>9.23</v>
      </c>
      <c r="N103" s="1" t="s">
        <v>33</v>
      </c>
      <c r="O103" s="1" t="s">
        <v>34</v>
      </c>
      <c r="P103" s="2">
        <v>41655</v>
      </c>
      <c r="Q103" s="2" t="b">
        <f t="shared" si="5"/>
        <v>0</v>
      </c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</row>
    <row r="104" spans="1:35" ht="14.25" customHeight="1" x14ac:dyDescent="0.2">
      <c r="A104" s="1">
        <v>34691</v>
      </c>
      <c r="B104" s="1" t="s">
        <v>204</v>
      </c>
      <c r="C104" s="1" t="s">
        <v>30</v>
      </c>
      <c r="D104" s="2">
        <v>41653</v>
      </c>
      <c r="E104" s="1" t="s">
        <v>38</v>
      </c>
      <c r="F104" s="1" t="s">
        <v>206</v>
      </c>
      <c r="G104" s="1">
        <v>23</v>
      </c>
      <c r="H104" s="1">
        <v>306.14</v>
      </c>
      <c r="I104" s="1">
        <f t="shared" si="3"/>
        <v>7041.2199999999993</v>
      </c>
      <c r="J104" t="str">
        <f t="shared" si="4"/>
        <v>High</v>
      </c>
      <c r="K104" s="1"/>
      <c r="L104" s="1">
        <v>0.02</v>
      </c>
      <c r="M104" s="1">
        <v>26.53</v>
      </c>
      <c r="N104" s="1" t="s">
        <v>45</v>
      </c>
      <c r="O104" s="1" t="s">
        <v>46</v>
      </c>
      <c r="P104" s="2">
        <v>41653</v>
      </c>
      <c r="Q104" s="2" t="b">
        <f t="shared" si="5"/>
        <v>0</v>
      </c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</row>
    <row r="105" spans="1:35" ht="14.25" customHeight="1" x14ac:dyDescent="0.2">
      <c r="A105" s="1">
        <v>34691</v>
      </c>
      <c r="B105" s="1" t="s">
        <v>204</v>
      </c>
      <c r="C105" s="1" t="s">
        <v>21</v>
      </c>
      <c r="D105" s="2">
        <v>41653</v>
      </c>
      <c r="E105" s="1" t="s">
        <v>38</v>
      </c>
      <c r="F105" s="1" t="s">
        <v>207</v>
      </c>
      <c r="G105" s="1">
        <v>13</v>
      </c>
      <c r="H105" s="1">
        <v>18.97</v>
      </c>
      <c r="I105" s="1">
        <f t="shared" si="3"/>
        <v>246.60999999999999</v>
      </c>
      <c r="J105" t="str">
        <f t="shared" si="4"/>
        <v>Low</v>
      </c>
      <c r="K105" s="1"/>
      <c r="L105" s="1">
        <v>0.1</v>
      </c>
      <c r="M105" s="1">
        <v>9.5399999999999991</v>
      </c>
      <c r="N105" s="1" t="s">
        <v>25</v>
      </c>
      <c r="O105" s="1" t="s">
        <v>34</v>
      </c>
      <c r="P105" s="2">
        <v>41655</v>
      </c>
      <c r="Q105" s="2" t="b">
        <f t="shared" si="5"/>
        <v>0</v>
      </c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</row>
    <row r="106" spans="1:35" ht="14.25" customHeight="1" x14ac:dyDescent="0.2">
      <c r="A106" s="1">
        <v>30567</v>
      </c>
      <c r="B106" s="1" t="s">
        <v>208</v>
      </c>
      <c r="C106" s="1" t="s">
        <v>51</v>
      </c>
      <c r="D106" s="2">
        <v>41653</v>
      </c>
      <c r="E106" s="1" t="s">
        <v>22</v>
      </c>
      <c r="F106" s="1" t="s">
        <v>209</v>
      </c>
      <c r="G106" s="1">
        <v>14</v>
      </c>
      <c r="H106" s="1">
        <v>208.16</v>
      </c>
      <c r="I106" s="1">
        <f t="shared" si="3"/>
        <v>2914.24</v>
      </c>
      <c r="J106" t="str">
        <f t="shared" si="4"/>
        <v>High</v>
      </c>
      <c r="K106" s="1"/>
      <c r="L106" s="1">
        <v>0.1</v>
      </c>
      <c r="M106" s="1">
        <v>68.02</v>
      </c>
      <c r="N106" s="1" t="s">
        <v>45</v>
      </c>
      <c r="O106" s="1" t="s">
        <v>46</v>
      </c>
      <c r="P106" s="2">
        <v>41653</v>
      </c>
      <c r="Q106" s="2" t="b">
        <f t="shared" si="5"/>
        <v>0</v>
      </c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</row>
    <row r="107" spans="1:35" ht="14.25" customHeight="1" x14ac:dyDescent="0.2">
      <c r="A107" s="1">
        <v>30567</v>
      </c>
      <c r="B107" s="1" t="s">
        <v>208</v>
      </c>
      <c r="C107" s="1" t="s">
        <v>21</v>
      </c>
      <c r="D107" s="2">
        <v>41653</v>
      </c>
      <c r="E107" s="1" t="s">
        <v>22</v>
      </c>
      <c r="F107" s="1" t="s">
        <v>210</v>
      </c>
      <c r="G107" s="1">
        <v>8</v>
      </c>
      <c r="H107" s="1">
        <v>90.48</v>
      </c>
      <c r="I107" s="1">
        <f t="shared" si="3"/>
        <v>723.84</v>
      </c>
      <c r="J107" t="str">
        <f t="shared" si="4"/>
        <v>Low</v>
      </c>
      <c r="K107" s="1"/>
      <c r="L107" s="1">
        <v>7.0000000000000007E-2</v>
      </c>
      <c r="M107" s="1">
        <v>19.989999999999998</v>
      </c>
      <c r="N107" s="1" t="s">
        <v>33</v>
      </c>
      <c r="O107" s="1" t="s">
        <v>34</v>
      </c>
      <c r="P107" s="2">
        <v>41654</v>
      </c>
      <c r="Q107" s="2" t="b">
        <f t="shared" si="5"/>
        <v>0</v>
      </c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</row>
    <row r="108" spans="1:35" ht="14.25" customHeight="1" x14ac:dyDescent="0.2">
      <c r="A108" s="1">
        <v>30567</v>
      </c>
      <c r="B108" s="1" t="s">
        <v>208</v>
      </c>
      <c r="C108" s="1" t="s">
        <v>21</v>
      </c>
      <c r="D108" s="2">
        <v>41653</v>
      </c>
      <c r="E108" s="1" t="s">
        <v>22</v>
      </c>
      <c r="F108" s="1" t="s">
        <v>211</v>
      </c>
      <c r="G108" s="1">
        <v>3</v>
      </c>
      <c r="H108" s="1">
        <v>9.48</v>
      </c>
      <c r="I108" s="1">
        <f t="shared" si="3"/>
        <v>28.44</v>
      </c>
      <c r="J108" t="str">
        <f t="shared" si="4"/>
        <v>Low</v>
      </c>
      <c r="K108" s="1"/>
      <c r="L108" s="1">
        <v>0.01</v>
      </c>
      <c r="M108" s="1">
        <v>7.29</v>
      </c>
      <c r="N108" s="1" t="s">
        <v>25</v>
      </c>
      <c r="O108" s="1" t="s">
        <v>84</v>
      </c>
      <c r="P108" s="2">
        <v>41655</v>
      </c>
      <c r="Q108" s="2" t="b">
        <f t="shared" si="5"/>
        <v>0</v>
      </c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</row>
    <row r="109" spans="1:35" ht="14.25" customHeight="1" x14ac:dyDescent="0.2">
      <c r="A109" s="1">
        <v>30567</v>
      </c>
      <c r="B109" s="1" t="s">
        <v>208</v>
      </c>
      <c r="C109" s="1" t="s">
        <v>51</v>
      </c>
      <c r="D109" s="2">
        <v>41653</v>
      </c>
      <c r="E109" s="1" t="s">
        <v>22</v>
      </c>
      <c r="F109" s="1" t="s">
        <v>212</v>
      </c>
      <c r="G109" s="1">
        <v>14</v>
      </c>
      <c r="H109" s="1">
        <v>4.28</v>
      </c>
      <c r="I109" s="1">
        <f t="shared" si="3"/>
        <v>59.92</v>
      </c>
      <c r="J109" t="str">
        <f t="shared" si="4"/>
        <v>Low</v>
      </c>
      <c r="K109" s="1"/>
      <c r="L109" s="1">
        <v>0.02</v>
      </c>
      <c r="M109" s="1">
        <v>0.94</v>
      </c>
      <c r="N109" s="1" t="s">
        <v>33</v>
      </c>
      <c r="O109" s="1" t="s">
        <v>55</v>
      </c>
      <c r="P109" s="2">
        <v>41654</v>
      </c>
      <c r="Q109" s="2" t="b">
        <f t="shared" si="5"/>
        <v>0</v>
      </c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</row>
    <row r="110" spans="1:35" ht="14.25" customHeight="1" x14ac:dyDescent="0.2">
      <c r="A110" s="1">
        <v>8325</v>
      </c>
      <c r="B110" s="1" t="s">
        <v>213</v>
      </c>
      <c r="C110" s="1" t="s">
        <v>21</v>
      </c>
      <c r="D110" s="2">
        <v>41653</v>
      </c>
      <c r="E110" s="1" t="s">
        <v>38</v>
      </c>
      <c r="F110" s="1" t="s">
        <v>214</v>
      </c>
      <c r="G110" s="1">
        <v>21</v>
      </c>
      <c r="H110" s="1">
        <v>115.99</v>
      </c>
      <c r="I110" s="1">
        <f t="shared" si="3"/>
        <v>2435.79</v>
      </c>
      <c r="J110" t="str">
        <f t="shared" si="4"/>
        <v>High</v>
      </c>
      <c r="K110" s="1"/>
      <c r="L110" s="1">
        <v>0.08</v>
      </c>
      <c r="M110" s="1">
        <v>56.14</v>
      </c>
      <c r="N110" s="1" t="s">
        <v>45</v>
      </c>
      <c r="O110" s="1" t="s">
        <v>46</v>
      </c>
      <c r="P110" s="2">
        <v>41655</v>
      </c>
      <c r="Q110" s="2" t="b">
        <f t="shared" si="5"/>
        <v>0</v>
      </c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</row>
    <row r="111" spans="1:35" ht="14.25" customHeight="1" x14ac:dyDescent="0.2">
      <c r="A111" s="1">
        <v>8325</v>
      </c>
      <c r="B111" s="1" t="s">
        <v>213</v>
      </c>
      <c r="C111" s="1" t="s">
        <v>30</v>
      </c>
      <c r="D111" s="2">
        <v>41653</v>
      </c>
      <c r="E111" s="1" t="s">
        <v>38</v>
      </c>
      <c r="F111" s="1" t="s">
        <v>212</v>
      </c>
      <c r="G111" s="1">
        <v>27</v>
      </c>
      <c r="H111" s="1">
        <v>4.28</v>
      </c>
      <c r="I111" s="1">
        <f t="shared" si="3"/>
        <v>115.56</v>
      </c>
      <c r="J111" t="str">
        <f t="shared" si="4"/>
        <v>Low</v>
      </c>
      <c r="K111" s="1"/>
      <c r="L111" s="1">
        <v>0.08</v>
      </c>
      <c r="M111" s="1">
        <v>0.94</v>
      </c>
      <c r="N111" s="1" t="s">
        <v>33</v>
      </c>
      <c r="O111" s="1" t="s">
        <v>55</v>
      </c>
      <c r="P111" s="2">
        <v>41656</v>
      </c>
      <c r="Q111" s="2" t="b">
        <f t="shared" si="5"/>
        <v>0</v>
      </c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</row>
    <row r="112" spans="1:35" ht="14.25" customHeight="1" x14ac:dyDescent="0.2">
      <c r="A112" s="1">
        <v>43911</v>
      </c>
      <c r="B112" s="1" t="s">
        <v>215</v>
      </c>
      <c r="C112" s="1" t="s">
        <v>30</v>
      </c>
      <c r="D112" s="2">
        <v>41653</v>
      </c>
      <c r="E112" s="1" t="s">
        <v>101</v>
      </c>
      <c r="F112" s="1" t="s">
        <v>95</v>
      </c>
      <c r="G112" s="1">
        <v>29</v>
      </c>
      <c r="H112" s="1">
        <v>19.989999999999998</v>
      </c>
      <c r="I112" s="1">
        <f t="shared" si="3"/>
        <v>579.70999999999992</v>
      </c>
      <c r="J112" t="str">
        <f t="shared" si="4"/>
        <v>Low</v>
      </c>
      <c r="K112" s="1"/>
      <c r="L112" s="1">
        <v>0.06</v>
      </c>
      <c r="M112" s="1">
        <v>11.17</v>
      </c>
      <c r="N112" s="1" t="s">
        <v>33</v>
      </c>
      <c r="O112" s="1" t="s">
        <v>26</v>
      </c>
      <c r="P112" s="2">
        <v>41653</v>
      </c>
      <c r="Q112" s="2" t="b">
        <f t="shared" si="5"/>
        <v>0</v>
      </c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</row>
    <row r="113" spans="1:35" ht="14.25" customHeight="1" x14ac:dyDescent="0.2">
      <c r="A113" s="1">
        <v>43911</v>
      </c>
      <c r="B113" s="1" t="s">
        <v>215</v>
      </c>
      <c r="C113" s="1" t="s">
        <v>51</v>
      </c>
      <c r="D113" s="2">
        <v>41653</v>
      </c>
      <c r="E113" s="1" t="s">
        <v>101</v>
      </c>
      <c r="F113" s="1" t="s">
        <v>216</v>
      </c>
      <c r="G113" s="1">
        <v>36</v>
      </c>
      <c r="H113" s="1">
        <v>264.98</v>
      </c>
      <c r="I113" s="1">
        <f t="shared" si="3"/>
        <v>9539.2800000000007</v>
      </c>
      <c r="J113" t="str">
        <f t="shared" si="4"/>
        <v>High</v>
      </c>
      <c r="K113" s="1"/>
      <c r="L113" s="1">
        <v>0</v>
      </c>
      <c r="M113" s="1">
        <v>17.86</v>
      </c>
      <c r="N113" s="1" t="s">
        <v>45</v>
      </c>
      <c r="O113" s="1" t="s">
        <v>46</v>
      </c>
      <c r="P113" s="2">
        <v>41654</v>
      </c>
      <c r="Q113" s="2" t="b">
        <f t="shared" si="5"/>
        <v>0</v>
      </c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</row>
    <row r="114" spans="1:35" ht="14.25" customHeight="1" x14ac:dyDescent="0.2">
      <c r="A114" s="1">
        <v>43911</v>
      </c>
      <c r="B114" s="1" t="s">
        <v>215</v>
      </c>
      <c r="C114" s="1" t="s">
        <v>51</v>
      </c>
      <c r="D114" s="2">
        <v>41653</v>
      </c>
      <c r="E114" s="1" t="s">
        <v>101</v>
      </c>
      <c r="F114" s="1" t="s">
        <v>217</v>
      </c>
      <c r="G114" s="1">
        <v>23</v>
      </c>
      <c r="H114" s="1">
        <v>320.98</v>
      </c>
      <c r="I114" s="1">
        <f t="shared" si="3"/>
        <v>7382.5400000000009</v>
      </c>
      <c r="J114" t="str">
        <f t="shared" si="4"/>
        <v>High</v>
      </c>
      <c r="K114" s="1"/>
      <c r="L114" s="1">
        <v>0.06</v>
      </c>
      <c r="M114" s="1">
        <v>58.95</v>
      </c>
      <c r="N114" s="1" t="s">
        <v>45</v>
      </c>
      <c r="O114" s="1" t="s">
        <v>46</v>
      </c>
      <c r="P114" s="2">
        <v>41655</v>
      </c>
      <c r="Q114" s="2" t="b">
        <f t="shared" si="5"/>
        <v>0</v>
      </c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</row>
    <row r="115" spans="1:35" ht="14.25" customHeight="1" x14ac:dyDescent="0.2">
      <c r="A115" s="1">
        <v>6884</v>
      </c>
      <c r="B115" s="1" t="s">
        <v>218</v>
      </c>
      <c r="C115" s="1" t="s">
        <v>51</v>
      </c>
      <c r="D115" s="2">
        <v>41654</v>
      </c>
      <c r="E115" s="1" t="s">
        <v>43</v>
      </c>
      <c r="F115" s="1" t="s">
        <v>219</v>
      </c>
      <c r="G115" s="1">
        <v>41</v>
      </c>
      <c r="H115" s="1">
        <v>4.9800000000000004</v>
      </c>
      <c r="I115" s="1">
        <f t="shared" si="3"/>
        <v>204.18</v>
      </c>
      <c r="J115" t="str">
        <f t="shared" si="4"/>
        <v>Low</v>
      </c>
      <c r="K115" s="1"/>
      <c r="L115" s="1">
        <v>0.01</v>
      </c>
      <c r="M115" s="1">
        <v>4.75</v>
      </c>
      <c r="N115" s="1" t="s">
        <v>33</v>
      </c>
      <c r="O115" s="1" t="s">
        <v>34</v>
      </c>
      <c r="P115" s="2">
        <v>41659</v>
      </c>
      <c r="Q115" s="2" t="b">
        <f t="shared" si="5"/>
        <v>0</v>
      </c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</row>
    <row r="116" spans="1:35" ht="14.25" customHeight="1" x14ac:dyDescent="0.2">
      <c r="A116" s="1">
        <v>6884</v>
      </c>
      <c r="B116" s="1" t="s">
        <v>218</v>
      </c>
      <c r="C116" s="1" t="s">
        <v>30</v>
      </c>
      <c r="D116" s="2">
        <v>41654</v>
      </c>
      <c r="E116" s="1" t="s">
        <v>43</v>
      </c>
      <c r="F116" s="1" t="s">
        <v>220</v>
      </c>
      <c r="G116" s="1">
        <v>47</v>
      </c>
      <c r="H116" s="1">
        <v>6.35</v>
      </c>
      <c r="I116" s="1">
        <f t="shared" si="3"/>
        <v>298.45</v>
      </c>
      <c r="J116" t="str">
        <f t="shared" si="4"/>
        <v>Low</v>
      </c>
      <c r="K116" s="1"/>
      <c r="L116" s="1">
        <v>0.04</v>
      </c>
      <c r="M116" s="1">
        <v>1.02</v>
      </c>
      <c r="N116" s="1" t="s">
        <v>33</v>
      </c>
      <c r="O116" s="1" t="s">
        <v>55</v>
      </c>
      <c r="P116" s="2">
        <v>41659</v>
      </c>
      <c r="Q116" s="2" t="b">
        <f t="shared" si="5"/>
        <v>0</v>
      </c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</row>
    <row r="117" spans="1:35" ht="14.25" customHeight="1" x14ac:dyDescent="0.2">
      <c r="A117" s="1">
        <v>37729</v>
      </c>
      <c r="B117" s="1" t="s">
        <v>221</v>
      </c>
      <c r="C117" s="1" t="s">
        <v>51</v>
      </c>
      <c r="D117" s="2">
        <v>41654</v>
      </c>
      <c r="E117" s="1" t="s">
        <v>22</v>
      </c>
      <c r="F117" s="1" t="s">
        <v>222</v>
      </c>
      <c r="G117" s="1">
        <v>48</v>
      </c>
      <c r="H117" s="1">
        <v>8.6</v>
      </c>
      <c r="I117" s="1">
        <f t="shared" si="3"/>
        <v>412.79999999999995</v>
      </c>
      <c r="J117" t="str">
        <f t="shared" si="4"/>
        <v>Low</v>
      </c>
      <c r="K117" s="1"/>
      <c r="L117" s="1">
        <v>0</v>
      </c>
      <c r="M117" s="1">
        <v>6.19</v>
      </c>
      <c r="N117" s="1" t="s">
        <v>33</v>
      </c>
      <c r="O117" s="1" t="s">
        <v>34</v>
      </c>
      <c r="P117" s="2">
        <v>41654</v>
      </c>
      <c r="Q117" s="2" t="b">
        <f t="shared" si="5"/>
        <v>0</v>
      </c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</row>
    <row r="118" spans="1:35" ht="14.25" customHeight="1" x14ac:dyDescent="0.2">
      <c r="A118" s="1">
        <v>48773</v>
      </c>
      <c r="B118" s="1" t="s">
        <v>223</v>
      </c>
      <c r="C118" s="1" t="s">
        <v>21</v>
      </c>
      <c r="D118" s="2">
        <v>41654</v>
      </c>
      <c r="E118" s="1" t="s">
        <v>101</v>
      </c>
      <c r="F118" s="1" t="s">
        <v>224</v>
      </c>
      <c r="G118" s="1">
        <v>7</v>
      </c>
      <c r="H118" s="1">
        <v>7.04</v>
      </c>
      <c r="I118" s="1">
        <f t="shared" si="3"/>
        <v>49.28</v>
      </c>
      <c r="J118" t="str">
        <f t="shared" si="4"/>
        <v>Low</v>
      </c>
      <c r="K118" s="1"/>
      <c r="L118" s="1">
        <v>0.06</v>
      </c>
      <c r="M118" s="1">
        <v>2.17</v>
      </c>
      <c r="N118" s="1" t="s">
        <v>33</v>
      </c>
      <c r="O118" s="1" t="s">
        <v>55</v>
      </c>
      <c r="P118" s="2">
        <v>41656</v>
      </c>
      <c r="Q118" s="2" t="b">
        <f t="shared" si="5"/>
        <v>0</v>
      </c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</row>
    <row r="119" spans="1:35" ht="14.25" customHeight="1" x14ac:dyDescent="0.2">
      <c r="A119" s="1">
        <v>12676</v>
      </c>
      <c r="B119" s="1" t="s">
        <v>225</v>
      </c>
      <c r="C119" s="1" t="s">
        <v>30</v>
      </c>
      <c r="D119" s="2">
        <v>41654</v>
      </c>
      <c r="E119" s="1" t="s">
        <v>31</v>
      </c>
      <c r="F119" s="1" t="s">
        <v>226</v>
      </c>
      <c r="G119" s="1">
        <v>25</v>
      </c>
      <c r="H119" s="1">
        <v>8.09</v>
      </c>
      <c r="I119" s="1">
        <f t="shared" si="3"/>
        <v>202.25</v>
      </c>
      <c r="J119" t="str">
        <f t="shared" si="4"/>
        <v>Low</v>
      </c>
      <c r="K119" s="1"/>
      <c r="L119" s="1">
        <v>0.08</v>
      </c>
      <c r="M119" s="1">
        <v>7.96</v>
      </c>
      <c r="N119" s="1" t="s">
        <v>25</v>
      </c>
      <c r="O119" s="1" t="s">
        <v>34</v>
      </c>
      <c r="P119" s="2">
        <v>41655</v>
      </c>
      <c r="Q119" s="2" t="b">
        <f t="shared" si="5"/>
        <v>0</v>
      </c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</row>
    <row r="120" spans="1:35" ht="14.25" customHeight="1" x14ac:dyDescent="0.2">
      <c r="A120" s="1">
        <v>22243</v>
      </c>
      <c r="B120" s="1" t="s">
        <v>227</v>
      </c>
      <c r="C120" s="1" t="s">
        <v>30</v>
      </c>
      <c r="D120" s="2">
        <v>41654</v>
      </c>
      <c r="E120" s="1" t="s">
        <v>38</v>
      </c>
      <c r="F120" s="1" t="s">
        <v>228</v>
      </c>
      <c r="G120" s="1">
        <v>9</v>
      </c>
      <c r="H120" s="1">
        <v>2.88</v>
      </c>
      <c r="I120" s="1">
        <f t="shared" si="3"/>
        <v>25.919999999999998</v>
      </c>
      <c r="J120" t="str">
        <f t="shared" si="4"/>
        <v>Low</v>
      </c>
      <c r="K120" s="1"/>
      <c r="L120" s="1">
        <v>0.09</v>
      </c>
      <c r="M120" s="1">
        <v>0.7</v>
      </c>
      <c r="N120" s="1" t="s">
        <v>33</v>
      </c>
      <c r="O120" s="1" t="s">
        <v>55</v>
      </c>
      <c r="P120" s="2">
        <v>41655</v>
      </c>
      <c r="Q120" s="2" t="b">
        <f t="shared" si="5"/>
        <v>0</v>
      </c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</row>
    <row r="121" spans="1:35" ht="14.25" customHeight="1" x14ac:dyDescent="0.2">
      <c r="A121" s="1">
        <v>31781</v>
      </c>
      <c r="B121" s="1" t="s">
        <v>229</v>
      </c>
      <c r="C121" s="1" t="s">
        <v>21</v>
      </c>
      <c r="D121" s="2">
        <v>41655</v>
      </c>
      <c r="E121" s="1" t="s">
        <v>101</v>
      </c>
      <c r="F121" s="1" t="s">
        <v>230</v>
      </c>
      <c r="G121" s="1">
        <v>46</v>
      </c>
      <c r="H121" s="1">
        <v>5.81</v>
      </c>
      <c r="I121" s="1">
        <f t="shared" si="3"/>
        <v>267.26</v>
      </c>
      <c r="J121" t="str">
        <f t="shared" si="4"/>
        <v>Low</v>
      </c>
      <c r="K121" s="1"/>
      <c r="L121" s="1">
        <v>0.1</v>
      </c>
      <c r="M121" s="1">
        <v>8.49</v>
      </c>
      <c r="N121" s="1" t="s">
        <v>33</v>
      </c>
      <c r="O121" s="1" t="s">
        <v>34</v>
      </c>
      <c r="P121" s="2">
        <v>41656</v>
      </c>
      <c r="Q121" s="2" t="b">
        <f t="shared" si="5"/>
        <v>0</v>
      </c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</row>
    <row r="122" spans="1:35" ht="14.25" customHeight="1" x14ac:dyDescent="0.2">
      <c r="A122" s="1">
        <v>31781</v>
      </c>
      <c r="B122" s="1" t="s">
        <v>229</v>
      </c>
      <c r="C122" s="1" t="s">
        <v>51</v>
      </c>
      <c r="D122" s="2">
        <v>41655</v>
      </c>
      <c r="E122" s="1" t="s">
        <v>101</v>
      </c>
      <c r="F122" s="1" t="s">
        <v>231</v>
      </c>
      <c r="G122" s="1">
        <v>41</v>
      </c>
      <c r="H122" s="1">
        <v>1.81</v>
      </c>
      <c r="I122" s="1">
        <f t="shared" si="3"/>
        <v>74.210000000000008</v>
      </c>
      <c r="J122" t="str">
        <f t="shared" si="4"/>
        <v>Low</v>
      </c>
      <c r="K122" s="1"/>
      <c r="L122" s="1">
        <v>0.03</v>
      </c>
      <c r="M122" s="1">
        <v>0.75</v>
      </c>
      <c r="N122" s="1" t="s">
        <v>33</v>
      </c>
      <c r="O122" s="1" t="s">
        <v>55</v>
      </c>
      <c r="P122" s="2">
        <v>41656</v>
      </c>
      <c r="Q122" s="2" t="b">
        <f t="shared" si="5"/>
        <v>0</v>
      </c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</row>
    <row r="123" spans="1:35" ht="14.25" customHeight="1" x14ac:dyDescent="0.2">
      <c r="A123" s="1">
        <v>2370</v>
      </c>
      <c r="B123" s="1" t="s">
        <v>232</v>
      </c>
      <c r="C123" s="1" t="s">
        <v>21</v>
      </c>
      <c r="D123" s="2">
        <v>41655</v>
      </c>
      <c r="E123" s="1" t="s">
        <v>38</v>
      </c>
      <c r="F123" s="1" t="s">
        <v>233</v>
      </c>
      <c r="G123" s="1">
        <v>6</v>
      </c>
      <c r="H123" s="1">
        <v>110.98</v>
      </c>
      <c r="I123" s="1">
        <f t="shared" si="3"/>
        <v>665.88</v>
      </c>
      <c r="J123" t="str">
        <f t="shared" si="4"/>
        <v>Low</v>
      </c>
      <c r="K123" s="1"/>
      <c r="L123" s="1">
        <v>0.02</v>
      </c>
      <c r="M123" s="1">
        <v>13.99</v>
      </c>
      <c r="N123" s="1" t="s">
        <v>33</v>
      </c>
      <c r="O123" s="1" t="s">
        <v>72</v>
      </c>
      <c r="P123" s="2">
        <v>41657</v>
      </c>
      <c r="Q123" s="2" t="b">
        <f t="shared" si="5"/>
        <v>0</v>
      </c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</row>
    <row r="124" spans="1:35" ht="14.25" customHeight="1" x14ac:dyDescent="0.2">
      <c r="A124" s="1">
        <v>2370</v>
      </c>
      <c r="B124" s="1" t="s">
        <v>232</v>
      </c>
      <c r="C124" s="1" t="s">
        <v>51</v>
      </c>
      <c r="D124" s="2">
        <v>41655</v>
      </c>
      <c r="E124" s="1" t="s">
        <v>38</v>
      </c>
      <c r="F124" s="1" t="s">
        <v>234</v>
      </c>
      <c r="G124" s="1">
        <v>30</v>
      </c>
      <c r="H124" s="1">
        <v>8.01</v>
      </c>
      <c r="I124" s="1">
        <f t="shared" si="3"/>
        <v>240.29999999999998</v>
      </c>
      <c r="J124" t="str">
        <f t="shared" si="4"/>
        <v>Low</v>
      </c>
      <c r="K124" s="1"/>
      <c r="L124" s="1">
        <v>0.01</v>
      </c>
      <c r="M124" s="1">
        <v>2.87</v>
      </c>
      <c r="N124" s="1" t="s">
        <v>33</v>
      </c>
      <c r="O124" s="1" t="s">
        <v>55</v>
      </c>
      <c r="P124" s="2">
        <v>41657</v>
      </c>
      <c r="Q124" s="2" t="b">
        <f t="shared" si="5"/>
        <v>0</v>
      </c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</row>
    <row r="125" spans="1:35" ht="14.25" customHeight="1" x14ac:dyDescent="0.2">
      <c r="A125" s="1">
        <v>39173</v>
      </c>
      <c r="B125" s="1" t="s">
        <v>235</v>
      </c>
      <c r="C125" s="1" t="s">
        <v>51</v>
      </c>
      <c r="D125" s="2">
        <v>41655</v>
      </c>
      <c r="E125" s="1" t="s">
        <v>38</v>
      </c>
      <c r="F125" s="1" t="s">
        <v>236</v>
      </c>
      <c r="G125" s="1">
        <v>36</v>
      </c>
      <c r="H125" s="1">
        <v>2.1800000000000002</v>
      </c>
      <c r="I125" s="1">
        <f t="shared" si="3"/>
        <v>78.48</v>
      </c>
      <c r="J125" t="str">
        <f t="shared" si="4"/>
        <v>Low</v>
      </c>
      <c r="K125" s="1"/>
      <c r="L125" s="1">
        <v>0.09</v>
      </c>
      <c r="M125" s="1">
        <v>0.78</v>
      </c>
      <c r="N125" s="1" t="s">
        <v>33</v>
      </c>
      <c r="O125" s="1" t="s">
        <v>55</v>
      </c>
      <c r="P125" s="2">
        <v>41657</v>
      </c>
      <c r="Q125" s="2" t="b">
        <f t="shared" si="5"/>
        <v>0</v>
      </c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</row>
    <row r="126" spans="1:35" ht="14.25" customHeight="1" x14ac:dyDescent="0.2">
      <c r="A126" s="1">
        <v>39173</v>
      </c>
      <c r="B126" s="1" t="s">
        <v>235</v>
      </c>
      <c r="C126" s="1" t="s">
        <v>21</v>
      </c>
      <c r="D126" s="2">
        <v>41655</v>
      </c>
      <c r="E126" s="1" t="s">
        <v>38</v>
      </c>
      <c r="F126" s="1" t="s">
        <v>237</v>
      </c>
      <c r="G126" s="1">
        <v>2</v>
      </c>
      <c r="H126" s="1">
        <v>179.29</v>
      </c>
      <c r="I126" s="1">
        <f t="shared" si="3"/>
        <v>358.58</v>
      </c>
      <c r="J126" t="str">
        <f t="shared" si="4"/>
        <v>Low</v>
      </c>
      <c r="K126" s="1"/>
      <c r="L126" s="1">
        <v>0.05</v>
      </c>
      <c r="M126" s="1">
        <v>29.21</v>
      </c>
      <c r="N126" s="1" t="s">
        <v>45</v>
      </c>
      <c r="O126" s="1" t="s">
        <v>63</v>
      </c>
      <c r="P126" s="2">
        <v>41657</v>
      </c>
      <c r="Q126" s="2" t="b">
        <f t="shared" si="5"/>
        <v>0</v>
      </c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</row>
    <row r="127" spans="1:35" ht="14.25" customHeight="1" x14ac:dyDescent="0.2">
      <c r="A127" s="1">
        <v>30915</v>
      </c>
      <c r="B127" s="1" t="s">
        <v>238</v>
      </c>
      <c r="C127" s="1" t="s">
        <v>30</v>
      </c>
      <c r="D127" s="2">
        <v>41655</v>
      </c>
      <c r="E127" s="1" t="s">
        <v>43</v>
      </c>
      <c r="F127" s="1" t="s">
        <v>239</v>
      </c>
      <c r="G127" s="1">
        <v>20</v>
      </c>
      <c r="H127" s="1">
        <v>2.98</v>
      </c>
      <c r="I127" s="1">
        <f t="shared" si="3"/>
        <v>59.6</v>
      </c>
      <c r="J127" t="str">
        <f t="shared" si="4"/>
        <v>Low</v>
      </c>
      <c r="K127" s="1"/>
      <c r="L127" s="1">
        <v>0.04</v>
      </c>
      <c r="M127" s="1">
        <v>2.0299999999999998</v>
      </c>
      <c r="N127" s="1" t="s">
        <v>25</v>
      </c>
      <c r="O127" s="1" t="s">
        <v>55</v>
      </c>
      <c r="P127" s="2">
        <v>41655</v>
      </c>
      <c r="Q127" s="2" t="b">
        <f t="shared" si="5"/>
        <v>0</v>
      </c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</row>
    <row r="128" spans="1:35" ht="14.25" customHeight="1" x14ac:dyDescent="0.2">
      <c r="A128" s="1">
        <v>30915</v>
      </c>
      <c r="B128" s="1" t="s">
        <v>238</v>
      </c>
      <c r="C128" s="1" t="s">
        <v>21</v>
      </c>
      <c r="D128" s="2">
        <v>41655</v>
      </c>
      <c r="E128" s="1" t="s">
        <v>43</v>
      </c>
      <c r="F128" s="1" t="s">
        <v>154</v>
      </c>
      <c r="G128" s="1">
        <v>25</v>
      </c>
      <c r="H128" s="1">
        <v>125.99</v>
      </c>
      <c r="I128" s="1">
        <f t="shared" si="3"/>
        <v>3149.75</v>
      </c>
      <c r="J128" t="str">
        <f t="shared" si="4"/>
        <v>High</v>
      </c>
      <c r="K128" s="1"/>
      <c r="L128" s="1">
        <v>0.01</v>
      </c>
      <c r="M128" s="1">
        <v>8.99</v>
      </c>
      <c r="N128" s="1" t="s">
        <v>33</v>
      </c>
      <c r="O128" s="1" t="s">
        <v>34</v>
      </c>
      <c r="P128" s="2">
        <v>41660</v>
      </c>
      <c r="Q128" s="2" t="b">
        <f t="shared" si="5"/>
        <v>0</v>
      </c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</row>
    <row r="129" spans="1:35" ht="14.25" customHeight="1" x14ac:dyDescent="0.2">
      <c r="A129" s="1">
        <v>49541</v>
      </c>
      <c r="B129" s="1" t="s">
        <v>240</v>
      </c>
      <c r="C129" s="1" t="s">
        <v>51</v>
      </c>
      <c r="D129" s="2">
        <v>41655</v>
      </c>
      <c r="E129" s="1" t="s">
        <v>101</v>
      </c>
      <c r="F129" s="1" t="s">
        <v>241</v>
      </c>
      <c r="G129" s="1">
        <v>35</v>
      </c>
      <c r="H129" s="1">
        <v>13.43</v>
      </c>
      <c r="I129" s="1">
        <f t="shared" si="3"/>
        <v>470.05</v>
      </c>
      <c r="J129" t="str">
        <f t="shared" si="4"/>
        <v>Low</v>
      </c>
      <c r="K129" s="1"/>
      <c r="L129" s="1">
        <v>0</v>
      </c>
      <c r="M129" s="1">
        <v>5.5</v>
      </c>
      <c r="N129" s="1" t="s">
        <v>33</v>
      </c>
      <c r="O129" s="1" t="s">
        <v>34</v>
      </c>
      <c r="P129" s="2">
        <v>41656</v>
      </c>
      <c r="Q129" s="2" t="b">
        <f t="shared" si="5"/>
        <v>0</v>
      </c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</row>
    <row r="130" spans="1:35" ht="14.25" customHeight="1" x14ac:dyDescent="0.2">
      <c r="A130" s="1">
        <v>22147</v>
      </c>
      <c r="B130" s="1" t="s">
        <v>242</v>
      </c>
      <c r="C130" s="1" t="s">
        <v>51</v>
      </c>
      <c r="D130" s="2">
        <v>41655</v>
      </c>
      <c r="E130" s="1" t="s">
        <v>43</v>
      </c>
      <c r="F130" s="1" t="s">
        <v>140</v>
      </c>
      <c r="G130" s="1">
        <v>37</v>
      </c>
      <c r="H130" s="1">
        <v>22.72</v>
      </c>
      <c r="I130" s="1">
        <f t="shared" ref="I130:I193" si="6">G130*H130</f>
        <v>840.64</v>
      </c>
      <c r="J130" t="str">
        <f t="shared" ref="J130:J193" si="7">IF(I130&lt;1000,"Low","High")</f>
        <v>Low</v>
      </c>
      <c r="K130" s="1"/>
      <c r="L130" s="1">
        <v>0.04</v>
      </c>
      <c r="M130" s="1">
        <v>8.99</v>
      </c>
      <c r="N130" s="1" t="s">
        <v>33</v>
      </c>
      <c r="O130" s="1" t="s">
        <v>84</v>
      </c>
      <c r="P130" s="2">
        <v>41659</v>
      </c>
      <c r="Q130" s="2" t="b">
        <f t="shared" ref="Q130:Q193" si="8">AND(N130="Express Air",O130="Large Box")</f>
        <v>0</v>
      </c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</row>
    <row r="131" spans="1:35" ht="14.25" customHeight="1" x14ac:dyDescent="0.2">
      <c r="A131" s="1">
        <v>12771</v>
      </c>
      <c r="B131" s="1" t="s">
        <v>243</v>
      </c>
      <c r="C131" s="1" t="s">
        <v>30</v>
      </c>
      <c r="D131" s="2">
        <v>41656</v>
      </c>
      <c r="E131" s="1" t="s">
        <v>38</v>
      </c>
      <c r="F131" s="1" t="s">
        <v>244</v>
      </c>
      <c r="G131" s="1">
        <v>40</v>
      </c>
      <c r="H131" s="1">
        <v>30.53</v>
      </c>
      <c r="I131" s="1">
        <f t="shared" si="6"/>
        <v>1221.2</v>
      </c>
      <c r="J131" t="str">
        <f t="shared" si="7"/>
        <v>High</v>
      </c>
      <c r="K131" s="1"/>
      <c r="L131" s="1">
        <v>0.08</v>
      </c>
      <c r="M131" s="1">
        <v>19.989999999999998</v>
      </c>
      <c r="N131" s="1" t="s">
        <v>33</v>
      </c>
      <c r="O131" s="1" t="s">
        <v>34</v>
      </c>
      <c r="P131" s="2">
        <v>41656</v>
      </c>
      <c r="Q131" s="2" t="b">
        <f t="shared" si="8"/>
        <v>0</v>
      </c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</row>
    <row r="132" spans="1:35" ht="14.25" customHeight="1" x14ac:dyDescent="0.2">
      <c r="A132" s="1">
        <v>12771</v>
      </c>
      <c r="B132" s="1" t="s">
        <v>243</v>
      </c>
      <c r="C132" s="1" t="s">
        <v>21</v>
      </c>
      <c r="D132" s="2">
        <v>41656</v>
      </c>
      <c r="E132" s="1" t="s">
        <v>38</v>
      </c>
      <c r="F132" s="1" t="s">
        <v>245</v>
      </c>
      <c r="G132" s="1">
        <v>46</v>
      </c>
      <c r="H132" s="1">
        <v>1.68</v>
      </c>
      <c r="I132" s="1">
        <f t="shared" si="6"/>
        <v>77.28</v>
      </c>
      <c r="J132" t="str">
        <f t="shared" si="7"/>
        <v>Low</v>
      </c>
      <c r="K132" s="1"/>
      <c r="L132" s="1">
        <v>0.01</v>
      </c>
      <c r="M132" s="1">
        <v>1.57</v>
      </c>
      <c r="N132" s="1" t="s">
        <v>33</v>
      </c>
      <c r="O132" s="1" t="s">
        <v>55</v>
      </c>
      <c r="P132" s="2">
        <v>41658</v>
      </c>
      <c r="Q132" s="2" t="b">
        <f t="shared" si="8"/>
        <v>0</v>
      </c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</row>
    <row r="133" spans="1:35" ht="14.25" customHeight="1" x14ac:dyDescent="0.2">
      <c r="A133" s="1">
        <v>46884</v>
      </c>
      <c r="B133" s="1" t="s">
        <v>246</v>
      </c>
      <c r="C133" s="1" t="s">
        <v>51</v>
      </c>
      <c r="D133" s="2">
        <v>41656</v>
      </c>
      <c r="E133" s="1" t="s">
        <v>101</v>
      </c>
      <c r="F133" s="1" t="s">
        <v>161</v>
      </c>
      <c r="G133" s="1">
        <v>25</v>
      </c>
      <c r="H133" s="1">
        <v>11.55</v>
      </c>
      <c r="I133" s="1">
        <f t="shared" si="6"/>
        <v>288.75</v>
      </c>
      <c r="J133" t="str">
        <f t="shared" si="7"/>
        <v>Low</v>
      </c>
      <c r="K133" s="1"/>
      <c r="L133" s="1">
        <v>0.1</v>
      </c>
      <c r="M133" s="1">
        <v>2.36</v>
      </c>
      <c r="N133" s="1" t="s">
        <v>33</v>
      </c>
      <c r="O133" s="1" t="s">
        <v>55</v>
      </c>
      <c r="P133" s="2">
        <v>41657</v>
      </c>
      <c r="Q133" s="2" t="b">
        <f t="shared" si="8"/>
        <v>0</v>
      </c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</row>
    <row r="134" spans="1:35" ht="14.25" customHeight="1" x14ac:dyDescent="0.2">
      <c r="A134" s="1">
        <v>1921</v>
      </c>
      <c r="B134" s="1" t="s">
        <v>135</v>
      </c>
      <c r="C134" s="1" t="s">
        <v>51</v>
      </c>
      <c r="D134" s="2">
        <v>41656</v>
      </c>
      <c r="E134" s="1" t="s">
        <v>101</v>
      </c>
      <c r="F134" s="1" t="s">
        <v>247</v>
      </c>
      <c r="G134" s="1">
        <v>24</v>
      </c>
      <c r="H134" s="1">
        <v>328.14</v>
      </c>
      <c r="I134" s="1">
        <f t="shared" si="6"/>
        <v>7875.36</v>
      </c>
      <c r="J134" t="str">
        <f t="shared" si="7"/>
        <v>High</v>
      </c>
      <c r="K134" s="1"/>
      <c r="L134" s="1">
        <v>0.05</v>
      </c>
      <c r="M134" s="1">
        <v>91.05</v>
      </c>
      <c r="N134" s="1" t="s">
        <v>45</v>
      </c>
      <c r="O134" s="1" t="s">
        <v>46</v>
      </c>
      <c r="P134" s="2">
        <v>41658</v>
      </c>
      <c r="Q134" s="2" t="b">
        <f t="shared" si="8"/>
        <v>0</v>
      </c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</row>
    <row r="135" spans="1:35" ht="14.25" customHeight="1" x14ac:dyDescent="0.2">
      <c r="A135" s="1">
        <v>18945</v>
      </c>
      <c r="B135" s="1" t="s">
        <v>248</v>
      </c>
      <c r="C135" s="1" t="s">
        <v>21</v>
      </c>
      <c r="D135" s="2">
        <v>41656</v>
      </c>
      <c r="E135" s="1" t="s">
        <v>101</v>
      </c>
      <c r="F135" s="1" t="s">
        <v>249</v>
      </c>
      <c r="G135" s="1">
        <v>33</v>
      </c>
      <c r="H135" s="1">
        <v>16.48</v>
      </c>
      <c r="I135" s="1">
        <f t="shared" si="6"/>
        <v>543.84</v>
      </c>
      <c r="J135" t="str">
        <f t="shared" si="7"/>
        <v>Low</v>
      </c>
      <c r="K135" s="1"/>
      <c r="L135" s="1">
        <v>0.06</v>
      </c>
      <c r="M135" s="1">
        <v>1.99</v>
      </c>
      <c r="N135" s="1" t="s">
        <v>33</v>
      </c>
      <c r="O135" s="1" t="s">
        <v>84</v>
      </c>
      <c r="P135" s="2">
        <v>41658</v>
      </c>
      <c r="Q135" s="2" t="b">
        <f t="shared" si="8"/>
        <v>0</v>
      </c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</row>
    <row r="136" spans="1:35" ht="14.25" customHeight="1" x14ac:dyDescent="0.2">
      <c r="A136" s="1">
        <v>10272</v>
      </c>
      <c r="B136" s="1" t="s">
        <v>250</v>
      </c>
      <c r="C136" s="1" t="s">
        <v>51</v>
      </c>
      <c r="D136" s="2">
        <v>41656</v>
      </c>
      <c r="E136" s="1" t="s">
        <v>101</v>
      </c>
      <c r="F136" s="1" t="s">
        <v>210</v>
      </c>
      <c r="G136" s="1">
        <v>3</v>
      </c>
      <c r="H136" s="1">
        <v>90.48</v>
      </c>
      <c r="I136" s="1">
        <f t="shared" si="6"/>
        <v>271.44</v>
      </c>
      <c r="J136" t="str">
        <f t="shared" si="7"/>
        <v>Low</v>
      </c>
      <c r="K136" s="1"/>
      <c r="L136" s="1">
        <v>0.03</v>
      </c>
      <c r="M136" s="1">
        <v>19.989999999999998</v>
      </c>
      <c r="N136" s="1" t="s">
        <v>33</v>
      </c>
      <c r="O136" s="1" t="s">
        <v>34</v>
      </c>
      <c r="P136" s="2">
        <v>41658</v>
      </c>
      <c r="Q136" s="2" t="b">
        <f t="shared" si="8"/>
        <v>0</v>
      </c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</row>
    <row r="137" spans="1:35" ht="14.25" customHeight="1" x14ac:dyDescent="0.2">
      <c r="A137" s="1">
        <v>10272</v>
      </c>
      <c r="B137" s="1" t="s">
        <v>250</v>
      </c>
      <c r="C137" s="1" t="s">
        <v>30</v>
      </c>
      <c r="D137" s="2">
        <v>41656</v>
      </c>
      <c r="E137" s="1" t="s">
        <v>101</v>
      </c>
      <c r="F137" s="1" t="s">
        <v>251</v>
      </c>
      <c r="G137" s="1">
        <v>26</v>
      </c>
      <c r="H137" s="1">
        <v>22.84</v>
      </c>
      <c r="I137" s="1">
        <f t="shared" si="6"/>
        <v>593.84</v>
      </c>
      <c r="J137" t="str">
        <f t="shared" si="7"/>
        <v>Low</v>
      </c>
      <c r="K137" s="1"/>
      <c r="L137" s="1">
        <v>0.06</v>
      </c>
      <c r="M137" s="1">
        <v>8.18</v>
      </c>
      <c r="N137" s="1" t="s">
        <v>33</v>
      </c>
      <c r="O137" s="1" t="s">
        <v>34</v>
      </c>
      <c r="P137" s="2">
        <v>41656</v>
      </c>
      <c r="Q137" s="2" t="b">
        <f t="shared" si="8"/>
        <v>0</v>
      </c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</row>
    <row r="138" spans="1:35" ht="14.25" customHeight="1" x14ac:dyDescent="0.2">
      <c r="A138" s="1">
        <v>43620</v>
      </c>
      <c r="B138" s="1" t="s">
        <v>252</v>
      </c>
      <c r="C138" s="1" t="s">
        <v>21</v>
      </c>
      <c r="D138" s="2">
        <v>41656</v>
      </c>
      <c r="E138" s="1" t="s">
        <v>101</v>
      </c>
      <c r="F138" s="1" t="s">
        <v>253</v>
      </c>
      <c r="G138" s="1">
        <v>13</v>
      </c>
      <c r="H138" s="1">
        <v>14.81</v>
      </c>
      <c r="I138" s="1">
        <f t="shared" si="6"/>
        <v>192.53</v>
      </c>
      <c r="J138" t="str">
        <f t="shared" si="7"/>
        <v>Low</v>
      </c>
      <c r="K138" s="1"/>
      <c r="L138" s="1">
        <v>0.05</v>
      </c>
      <c r="M138" s="1">
        <v>13.32</v>
      </c>
      <c r="N138" s="1" t="s">
        <v>33</v>
      </c>
      <c r="O138" s="1" t="s">
        <v>34</v>
      </c>
      <c r="P138" s="2">
        <v>41659</v>
      </c>
      <c r="Q138" s="2" t="b">
        <f t="shared" si="8"/>
        <v>0</v>
      </c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</row>
    <row r="139" spans="1:35" ht="14.25" customHeight="1" x14ac:dyDescent="0.2">
      <c r="A139" s="1">
        <v>43620</v>
      </c>
      <c r="B139" s="1" t="s">
        <v>252</v>
      </c>
      <c r="C139" s="1" t="s">
        <v>51</v>
      </c>
      <c r="D139" s="2">
        <v>41656</v>
      </c>
      <c r="E139" s="1" t="s">
        <v>101</v>
      </c>
      <c r="F139" s="1" t="s">
        <v>254</v>
      </c>
      <c r="G139" s="1">
        <v>11</v>
      </c>
      <c r="H139" s="1">
        <v>4.2</v>
      </c>
      <c r="I139" s="1">
        <f t="shared" si="6"/>
        <v>46.2</v>
      </c>
      <c r="J139" t="str">
        <f t="shared" si="7"/>
        <v>Low</v>
      </c>
      <c r="K139" s="1"/>
      <c r="L139" s="1">
        <v>0.05</v>
      </c>
      <c r="M139" s="1">
        <v>2.2599999999999998</v>
      </c>
      <c r="N139" s="1" t="s">
        <v>25</v>
      </c>
      <c r="O139" s="1" t="s">
        <v>55</v>
      </c>
      <c r="P139" s="2">
        <v>41658</v>
      </c>
      <c r="Q139" s="2" t="b">
        <f t="shared" si="8"/>
        <v>0</v>
      </c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</row>
    <row r="140" spans="1:35" ht="14.25" customHeight="1" x14ac:dyDescent="0.2">
      <c r="A140" s="1">
        <v>32868</v>
      </c>
      <c r="B140" s="1" t="s">
        <v>255</v>
      </c>
      <c r="C140" s="1" t="s">
        <v>30</v>
      </c>
      <c r="D140" s="2">
        <v>41656</v>
      </c>
      <c r="E140" s="1" t="s">
        <v>22</v>
      </c>
      <c r="F140" s="1" t="s">
        <v>256</v>
      </c>
      <c r="G140" s="1">
        <v>39</v>
      </c>
      <c r="H140" s="1">
        <v>28.15</v>
      </c>
      <c r="I140" s="1">
        <f t="shared" si="6"/>
        <v>1097.8499999999999</v>
      </c>
      <c r="J140" t="str">
        <f t="shared" si="7"/>
        <v>High</v>
      </c>
      <c r="K140" s="1"/>
      <c r="L140" s="1">
        <v>0.05</v>
      </c>
      <c r="M140" s="1">
        <v>6.17</v>
      </c>
      <c r="N140" s="1" t="s">
        <v>33</v>
      </c>
      <c r="O140" s="1" t="s">
        <v>84</v>
      </c>
      <c r="P140" s="2">
        <v>41657</v>
      </c>
      <c r="Q140" s="2" t="b">
        <f t="shared" si="8"/>
        <v>0</v>
      </c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</row>
    <row r="141" spans="1:35" ht="14.25" customHeight="1" x14ac:dyDescent="0.2">
      <c r="A141" s="1">
        <v>46884</v>
      </c>
      <c r="B141" s="1" t="s">
        <v>246</v>
      </c>
      <c r="C141" s="1" t="s">
        <v>30</v>
      </c>
      <c r="D141" s="2">
        <v>41656</v>
      </c>
      <c r="E141" s="1" t="s">
        <v>101</v>
      </c>
      <c r="F141" s="1" t="s">
        <v>257</v>
      </c>
      <c r="G141" s="1">
        <v>18</v>
      </c>
      <c r="H141" s="1">
        <v>7.64</v>
      </c>
      <c r="I141" s="1">
        <f t="shared" si="6"/>
        <v>137.51999999999998</v>
      </c>
      <c r="J141" t="str">
        <f t="shared" si="7"/>
        <v>Low</v>
      </c>
      <c r="K141" s="1"/>
      <c r="L141" s="1">
        <v>0.1</v>
      </c>
      <c r="M141" s="1">
        <v>1.39</v>
      </c>
      <c r="N141" s="1" t="s">
        <v>33</v>
      </c>
      <c r="O141" s="1" t="s">
        <v>34</v>
      </c>
      <c r="P141" s="2">
        <v>41658</v>
      </c>
      <c r="Q141" s="2" t="b">
        <f t="shared" si="8"/>
        <v>0</v>
      </c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</row>
    <row r="142" spans="1:35" ht="14.25" customHeight="1" x14ac:dyDescent="0.2">
      <c r="A142" s="1">
        <v>46884</v>
      </c>
      <c r="B142" s="1" t="s">
        <v>246</v>
      </c>
      <c r="C142" s="1" t="s">
        <v>30</v>
      </c>
      <c r="D142" s="2">
        <v>41656</v>
      </c>
      <c r="E142" s="1" t="s">
        <v>101</v>
      </c>
      <c r="F142" s="1" t="s">
        <v>258</v>
      </c>
      <c r="G142" s="1">
        <v>3</v>
      </c>
      <c r="H142" s="1">
        <v>125.99</v>
      </c>
      <c r="I142" s="1">
        <f t="shared" si="6"/>
        <v>377.96999999999997</v>
      </c>
      <c r="J142" t="str">
        <f t="shared" si="7"/>
        <v>Low</v>
      </c>
      <c r="K142" s="1"/>
      <c r="L142" s="1">
        <v>0</v>
      </c>
      <c r="M142" s="1">
        <v>2.5</v>
      </c>
      <c r="N142" s="1" t="s">
        <v>33</v>
      </c>
      <c r="O142" s="1" t="s">
        <v>34</v>
      </c>
      <c r="P142" s="2">
        <v>41658</v>
      </c>
      <c r="Q142" s="2" t="b">
        <f t="shared" si="8"/>
        <v>0</v>
      </c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</row>
    <row r="143" spans="1:35" ht="14.25" customHeight="1" x14ac:dyDescent="0.2">
      <c r="A143" s="1">
        <v>48199</v>
      </c>
      <c r="B143" s="1" t="s">
        <v>259</v>
      </c>
      <c r="C143" s="1" t="s">
        <v>21</v>
      </c>
      <c r="D143" s="2">
        <v>41657</v>
      </c>
      <c r="E143" s="1" t="s">
        <v>22</v>
      </c>
      <c r="F143" s="1" t="s">
        <v>260</v>
      </c>
      <c r="G143" s="1">
        <v>47</v>
      </c>
      <c r="H143" s="1">
        <v>15.74</v>
      </c>
      <c r="I143" s="1">
        <f t="shared" si="6"/>
        <v>739.78</v>
      </c>
      <c r="J143" t="str">
        <f t="shared" si="7"/>
        <v>Low</v>
      </c>
      <c r="K143" s="1"/>
      <c r="L143" s="1">
        <v>0.1</v>
      </c>
      <c r="M143" s="1">
        <v>1.39</v>
      </c>
      <c r="N143" s="1" t="s">
        <v>33</v>
      </c>
      <c r="O143" s="1" t="s">
        <v>34</v>
      </c>
      <c r="P143" s="2">
        <v>41660</v>
      </c>
      <c r="Q143" s="2" t="b">
        <f t="shared" si="8"/>
        <v>0</v>
      </c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</row>
    <row r="144" spans="1:35" ht="14.25" customHeight="1" x14ac:dyDescent="0.2">
      <c r="A144" s="1">
        <v>58784</v>
      </c>
      <c r="B144" s="1" t="s">
        <v>261</v>
      </c>
      <c r="C144" s="1" t="s">
        <v>21</v>
      </c>
      <c r="D144" s="2">
        <v>41657</v>
      </c>
      <c r="E144" s="1" t="s">
        <v>101</v>
      </c>
      <c r="F144" s="1" t="s">
        <v>195</v>
      </c>
      <c r="G144" s="1">
        <v>25</v>
      </c>
      <c r="H144" s="1">
        <v>350.99</v>
      </c>
      <c r="I144" s="1">
        <f t="shared" si="6"/>
        <v>8774.75</v>
      </c>
      <c r="J144" t="str">
        <f t="shared" si="7"/>
        <v>High</v>
      </c>
      <c r="K144" s="1"/>
      <c r="L144" s="1">
        <v>0.05</v>
      </c>
      <c r="M144" s="1">
        <v>39</v>
      </c>
      <c r="N144" s="1" t="s">
        <v>45</v>
      </c>
      <c r="O144" s="1" t="s">
        <v>46</v>
      </c>
      <c r="P144" s="2">
        <v>41659</v>
      </c>
      <c r="Q144" s="2" t="b">
        <f t="shared" si="8"/>
        <v>0</v>
      </c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</row>
    <row r="145" spans="1:35" ht="14.25" customHeight="1" x14ac:dyDescent="0.2">
      <c r="A145" s="1">
        <v>58784</v>
      </c>
      <c r="B145" s="1" t="s">
        <v>261</v>
      </c>
      <c r="C145" s="1" t="s">
        <v>30</v>
      </c>
      <c r="D145" s="2">
        <v>41657</v>
      </c>
      <c r="E145" s="1" t="s">
        <v>101</v>
      </c>
      <c r="F145" s="1" t="s">
        <v>262</v>
      </c>
      <c r="G145" s="1">
        <v>20</v>
      </c>
      <c r="H145" s="1">
        <v>15.99</v>
      </c>
      <c r="I145" s="1">
        <f t="shared" si="6"/>
        <v>319.8</v>
      </c>
      <c r="J145" t="str">
        <f t="shared" si="7"/>
        <v>Low</v>
      </c>
      <c r="K145" s="1"/>
      <c r="L145" s="1">
        <v>0.04</v>
      </c>
      <c r="M145" s="1">
        <v>9.4</v>
      </c>
      <c r="N145" s="1" t="s">
        <v>25</v>
      </c>
      <c r="O145" s="1" t="s">
        <v>34</v>
      </c>
      <c r="P145" s="2">
        <v>41659</v>
      </c>
      <c r="Q145" s="2" t="b">
        <f t="shared" si="8"/>
        <v>0</v>
      </c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</row>
    <row r="146" spans="1:35" ht="14.25" customHeight="1" x14ac:dyDescent="0.2">
      <c r="A146" s="1">
        <v>22118</v>
      </c>
      <c r="B146" s="1" t="s">
        <v>263</v>
      </c>
      <c r="C146" s="1" t="s">
        <v>51</v>
      </c>
      <c r="D146" s="2">
        <v>41657</v>
      </c>
      <c r="E146" s="1" t="s">
        <v>31</v>
      </c>
      <c r="F146" s="1" t="s">
        <v>264</v>
      </c>
      <c r="G146" s="1">
        <v>50</v>
      </c>
      <c r="H146" s="1">
        <v>58.1</v>
      </c>
      <c r="I146" s="1">
        <f t="shared" si="6"/>
        <v>2905</v>
      </c>
      <c r="J146" t="str">
        <f t="shared" si="7"/>
        <v>High</v>
      </c>
      <c r="K146" s="1"/>
      <c r="L146" s="1">
        <v>0.05</v>
      </c>
      <c r="M146" s="1">
        <v>1.49</v>
      </c>
      <c r="N146" s="1" t="s">
        <v>33</v>
      </c>
      <c r="O146" s="1" t="s">
        <v>34</v>
      </c>
      <c r="P146" s="2">
        <v>41657</v>
      </c>
      <c r="Q146" s="2" t="b">
        <f t="shared" si="8"/>
        <v>0</v>
      </c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</row>
    <row r="147" spans="1:35" ht="14.25" customHeight="1" x14ac:dyDescent="0.2">
      <c r="A147" s="1">
        <v>58784</v>
      </c>
      <c r="B147" s="1" t="s">
        <v>261</v>
      </c>
      <c r="C147" s="1" t="s">
        <v>21</v>
      </c>
      <c r="D147" s="2">
        <v>41657</v>
      </c>
      <c r="E147" s="1" t="s">
        <v>101</v>
      </c>
      <c r="F147" s="1" t="s">
        <v>265</v>
      </c>
      <c r="G147" s="1">
        <v>12</v>
      </c>
      <c r="H147" s="1">
        <v>11.58</v>
      </c>
      <c r="I147" s="1">
        <f t="shared" si="6"/>
        <v>138.96</v>
      </c>
      <c r="J147" t="str">
        <f t="shared" si="7"/>
        <v>Low</v>
      </c>
      <c r="K147" s="1"/>
      <c r="L147" s="1">
        <v>0.02</v>
      </c>
      <c r="M147" s="1">
        <v>5.72</v>
      </c>
      <c r="N147" s="1" t="s">
        <v>33</v>
      </c>
      <c r="O147" s="1" t="s">
        <v>34</v>
      </c>
      <c r="P147" s="2">
        <v>41658</v>
      </c>
      <c r="Q147" s="2" t="b">
        <f t="shared" si="8"/>
        <v>0</v>
      </c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</row>
    <row r="148" spans="1:35" ht="14.25" customHeight="1" x14ac:dyDescent="0.2">
      <c r="A148" s="1">
        <v>58784</v>
      </c>
      <c r="B148" s="1" t="s">
        <v>261</v>
      </c>
      <c r="C148" s="1" t="s">
        <v>30</v>
      </c>
      <c r="D148" s="2">
        <v>41657</v>
      </c>
      <c r="E148" s="1" t="s">
        <v>101</v>
      </c>
      <c r="F148" s="1" t="s">
        <v>266</v>
      </c>
      <c r="G148" s="1">
        <v>29</v>
      </c>
      <c r="H148" s="1">
        <v>48.91</v>
      </c>
      <c r="I148" s="1">
        <f t="shared" si="6"/>
        <v>1418.3899999999999</v>
      </c>
      <c r="J148" t="str">
        <f t="shared" si="7"/>
        <v>High</v>
      </c>
      <c r="K148" s="1"/>
      <c r="L148" s="1">
        <v>0.06</v>
      </c>
      <c r="M148" s="1">
        <v>5.81</v>
      </c>
      <c r="N148" s="1" t="s">
        <v>33</v>
      </c>
      <c r="O148" s="1" t="s">
        <v>34</v>
      </c>
      <c r="P148" s="2">
        <v>41657</v>
      </c>
      <c r="Q148" s="2" t="b">
        <f t="shared" si="8"/>
        <v>0</v>
      </c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</row>
    <row r="149" spans="1:35" ht="14.25" customHeight="1" x14ac:dyDescent="0.2">
      <c r="A149" s="1">
        <v>58784</v>
      </c>
      <c r="B149" s="1" t="s">
        <v>261</v>
      </c>
      <c r="C149" s="1" t="s">
        <v>30</v>
      </c>
      <c r="D149" s="2">
        <v>41657</v>
      </c>
      <c r="E149" s="1" t="s">
        <v>101</v>
      </c>
      <c r="F149" s="1" t="s">
        <v>267</v>
      </c>
      <c r="G149" s="1">
        <v>17</v>
      </c>
      <c r="H149" s="1">
        <v>15.51</v>
      </c>
      <c r="I149" s="1">
        <f t="shared" si="6"/>
        <v>263.67</v>
      </c>
      <c r="J149" t="str">
        <f t="shared" si="7"/>
        <v>Low</v>
      </c>
      <c r="K149" s="1"/>
      <c r="L149" s="1">
        <v>0.02</v>
      </c>
      <c r="M149" s="1">
        <v>17.78</v>
      </c>
      <c r="N149" s="1" t="s">
        <v>33</v>
      </c>
      <c r="O149" s="1" t="s">
        <v>34</v>
      </c>
      <c r="P149" s="2">
        <v>41658</v>
      </c>
      <c r="Q149" s="2" t="b">
        <f t="shared" si="8"/>
        <v>0</v>
      </c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</row>
    <row r="150" spans="1:35" ht="14.25" customHeight="1" x14ac:dyDescent="0.2">
      <c r="A150" s="1">
        <v>20711</v>
      </c>
      <c r="B150" s="1" t="s">
        <v>268</v>
      </c>
      <c r="C150" s="1" t="s">
        <v>30</v>
      </c>
      <c r="D150" s="2">
        <v>41658</v>
      </c>
      <c r="E150" s="1" t="s">
        <v>38</v>
      </c>
      <c r="F150" s="1" t="s">
        <v>269</v>
      </c>
      <c r="G150" s="1">
        <v>5</v>
      </c>
      <c r="H150" s="1">
        <v>18.97</v>
      </c>
      <c r="I150" s="1">
        <f t="shared" si="6"/>
        <v>94.85</v>
      </c>
      <c r="J150" t="str">
        <f t="shared" si="7"/>
        <v>Low</v>
      </c>
      <c r="K150" s="1"/>
      <c r="L150" s="1">
        <v>0.1</v>
      </c>
      <c r="M150" s="1">
        <v>9.0299999999999994</v>
      </c>
      <c r="N150" s="1" t="s">
        <v>33</v>
      </c>
      <c r="O150" s="1" t="s">
        <v>34</v>
      </c>
      <c r="P150" s="2">
        <v>41660</v>
      </c>
      <c r="Q150" s="2" t="b">
        <f t="shared" si="8"/>
        <v>0</v>
      </c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</row>
    <row r="151" spans="1:35" ht="14.25" customHeight="1" x14ac:dyDescent="0.2">
      <c r="A151" s="1">
        <v>16999</v>
      </c>
      <c r="B151" s="1" t="s">
        <v>270</v>
      </c>
      <c r="C151" s="1" t="s">
        <v>51</v>
      </c>
      <c r="D151" s="2">
        <v>41658</v>
      </c>
      <c r="E151" s="1" t="s">
        <v>38</v>
      </c>
      <c r="F151" s="1" t="s">
        <v>271</v>
      </c>
      <c r="G151" s="1">
        <v>18</v>
      </c>
      <c r="H151" s="1">
        <v>207.48</v>
      </c>
      <c r="I151" s="1">
        <f t="shared" si="6"/>
        <v>3734.64</v>
      </c>
      <c r="J151" t="str">
        <f t="shared" si="7"/>
        <v>High</v>
      </c>
      <c r="K151" s="1"/>
      <c r="L151" s="1">
        <v>0.09</v>
      </c>
      <c r="M151" s="1">
        <v>0.99</v>
      </c>
      <c r="N151" s="1" t="s">
        <v>33</v>
      </c>
      <c r="O151" s="1" t="s">
        <v>34</v>
      </c>
      <c r="P151" s="2">
        <v>41660</v>
      </c>
      <c r="Q151" s="2" t="b">
        <f t="shared" si="8"/>
        <v>0</v>
      </c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</row>
    <row r="152" spans="1:35" ht="14.25" customHeight="1" x14ac:dyDescent="0.2">
      <c r="A152" s="1">
        <v>20711</v>
      </c>
      <c r="B152" s="1" t="s">
        <v>268</v>
      </c>
      <c r="C152" s="1" t="s">
        <v>21</v>
      </c>
      <c r="D152" s="2">
        <v>41658</v>
      </c>
      <c r="E152" s="1" t="s">
        <v>38</v>
      </c>
      <c r="F152" s="1" t="s">
        <v>272</v>
      </c>
      <c r="G152" s="1">
        <v>18</v>
      </c>
      <c r="H152" s="1">
        <v>119.99</v>
      </c>
      <c r="I152" s="1">
        <f t="shared" si="6"/>
        <v>2159.8199999999997</v>
      </c>
      <c r="J152" t="str">
        <f t="shared" si="7"/>
        <v>High</v>
      </c>
      <c r="K152" s="1"/>
      <c r="L152" s="1">
        <v>0</v>
      </c>
      <c r="M152" s="1">
        <v>56.14</v>
      </c>
      <c r="N152" s="1" t="s">
        <v>45</v>
      </c>
      <c r="O152" s="1" t="s">
        <v>63</v>
      </c>
      <c r="P152" s="2">
        <v>41659</v>
      </c>
      <c r="Q152" s="2" t="b">
        <f t="shared" si="8"/>
        <v>0</v>
      </c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</row>
    <row r="153" spans="1:35" ht="14.25" customHeight="1" x14ac:dyDescent="0.2">
      <c r="A153" s="1">
        <v>66</v>
      </c>
      <c r="B153" s="1" t="s">
        <v>273</v>
      </c>
      <c r="C153" s="1" t="s">
        <v>51</v>
      </c>
      <c r="D153" s="2">
        <v>41658</v>
      </c>
      <c r="E153" s="1" t="s">
        <v>43</v>
      </c>
      <c r="F153" s="1" t="s">
        <v>274</v>
      </c>
      <c r="G153" s="1">
        <v>41</v>
      </c>
      <c r="H153" s="1">
        <v>2.88</v>
      </c>
      <c r="I153" s="1">
        <f t="shared" si="6"/>
        <v>118.08</v>
      </c>
      <c r="J153" t="str">
        <f t="shared" si="7"/>
        <v>Low</v>
      </c>
      <c r="K153" s="1"/>
      <c r="L153" s="1">
        <v>0.09</v>
      </c>
      <c r="M153" s="1">
        <v>0.7</v>
      </c>
      <c r="N153" s="1" t="s">
        <v>33</v>
      </c>
      <c r="O153" s="1" t="s">
        <v>55</v>
      </c>
      <c r="P153" s="2">
        <v>41658</v>
      </c>
      <c r="Q153" s="2" t="b">
        <f t="shared" si="8"/>
        <v>0</v>
      </c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</row>
    <row r="154" spans="1:35" ht="14.25" customHeight="1" x14ac:dyDescent="0.2">
      <c r="A154" s="1">
        <v>44197</v>
      </c>
      <c r="B154" s="1" t="s">
        <v>275</v>
      </c>
      <c r="C154" s="1" t="s">
        <v>21</v>
      </c>
      <c r="D154" s="2">
        <v>41659</v>
      </c>
      <c r="E154" s="1" t="s">
        <v>31</v>
      </c>
      <c r="F154" s="1" t="s">
        <v>276</v>
      </c>
      <c r="G154" s="1">
        <v>27</v>
      </c>
      <c r="H154" s="1">
        <v>140.97999999999999</v>
      </c>
      <c r="I154" s="1">
        <f t="shared" si="6"/>
        <v>3806.4599999999996</v>
      </c>
      <c r="J154" t="str">
        <f t="shared" si="7"/>
        <v>High</v>
      </c>
      <c r="K154" s="1"/>
      <c r="L154" s="1">
        <v>0.02</v>
      </c>
      <c r="M154" s="1">
        <v>53.48</v>
      </c>
      <c r="N154" s="1" t="s">
        <v>45</v>
      </c>
      <c r="O154" s="1" t="s">
        <v>63</v>
      </c>
      <c r="P154" s="2">
        <v>41662</v>
      </c>
      <c r="Q154" s="2" t="b">
        <f t="shared" si="8"/>
        <v>0</v>
      </c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</row>
    <row r="155" spans="1:35" ht="14.25" customHeight="1" x14ac:dyDescent="0.2">
      <c r="A155" s="1">
        <v>38340</v>
      </c>
      <c r="B155" s="1" t="s">
        <v>277</v>
      </c>
      <c r="C155" s="1" t="s">
        <v>30</v>
      </c>
      <c r="D155" s="2">
        <v>41659</v>
      </c>
      <c r="E155" s="1" t="s">
        <v>38</v>
      </c>
      <c r="F155" s="1" t="s">
        <v>278</v>
      </c>
      <c r="G155" s="1">
        <v>36</v>
      </c>
      <c r="H155" s="1">
        <v>60.22</v>
      </c>
      <c r="I155" s="1">
        <f t="shared" si="6"/>
        <v>2167.92</v>
      </c>
      <c r="J155" t="str">
        <f t="shared" si="7"/>
        <v>High</v>
      </c>
      <c r="K155" s="1"/>
      <c r="L155" s="1">
        <v>0.02</v>
      </c>
      <c r="M155" s="1">
        <v>3.5</v>
      </c>
      <c r="N155" s="1" t="s">
        <v>33</v>
      </c>
      <c r="O155" s="1" t="s">
        <v>34</v>
      </c>
      <c r="P155" s="2">
        <v>41660</v>
      </c>
      <c r="Q155" s="2" t="b">
        <f t="shared" si="8"/>
        <v>0</v>
      </c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</row>
    <row r="156" spans="1:35" ht="14.25" customHeight="1" x14ac:dyDescent="0.2">
      <c r="A156" s="1">
        <v>38021</v>
      </c>
      <c r="B156" s="1" t="s">
        <v>169</v>
      </c>
      <c r="C156" s="1" t="s">
        <v>30</v>
      </c>
      <c r="D156" s="2">
        <v>41660</v>
      </c>
      <c r="E156" s="1" t="s">
        <v>101</v>
      </c>
      <c r="F156" s="1" t="s">
        <v>279</v>
      </c>
      <c r="G156" s="1">
        <v>46</v>
      </c>
      <c r="H156" s="1">
        <v>30.44</v>
      </c>
      <c r="I156" s="1">
        <f t="shared" si="6"/>
        <v>1400.24</v>
      </c>
      <c r="J156" t="str">
        <f t="shared" si="7"/>
        <v>High</v>
      </c>
      <c r="K156" s="1"/>
      <c r="L156" s="1">
        <v>0.02</v>
      </c>
      <c r="M156" s="1">
        <v>1.49</v>
      </c>
      <c r="N156" s="1" t="s">
        <v>33</v>
      </c>
      <c r="O156" s="1" t="s">
        <v>34</v>
      </c>
      <c r="P156" s="2">
        <v>41662</v>
      </c>
      <c r="Q156" s="2" t="b">
        <f t="shared" si="8"/>
        <v>0</v>
      </c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</row>
    <row r="157" spans="1:35" ht="14.25" customHeight="1" x14ac:dyDescent="0.2">
      <c r="A157" s="1">
        <v>37638</v>
      </c>
      <c r="B157" s="1" t="s">
        <v>280</v>
      </c>
      <c r="C157" s="1" t="s">
        <v>21</v>
      </c>
      <c r="D157" s="2">
        <v>41660</v>
      </c>
      <c r="E157" s="1" t="s">
        <v>43</v>
      </c>
      <c r="F157" s="1" t="s">
        <v>146</v>
      </c>
      <c r="G157" s="1">
        <v>33</v>
      </c>
      <c r="H157" s="1">
        <v>4.13</v>
      </c>
      <c r="I157" s="1">
        <f t="shared" si="6"/>
        <v>136.29</v>
      </c>
      <c r="J157" t="str">
        <f t="shared" si="7"/>
        <v>Low</v>
      </c>
      <c r="K157" s="1"/>
      <c r="L157" s="1">
        <v>7.0000000000000007E-2</v>
      </c>
      <c r="M157" s="1">
        <v>6.89</v>
      </c>
      <c r="N157" s="1" t="s">
        <v>33</v>
      </c>
      <c r="O157" s="1" t="s">
        <v>34</v>
      </c>
      <c r="P157" s="2">
        <v>41662</v>
      </c>
      <c r="Q157" s="2" t="b">
        <f t="shared" si="8"/>
        <v>0</v>
      </c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</row>
    <row r="158" spans="1:35" ht="14.25" customHeight="1" x14ac:dyDescent="0.2">
      <c r="A158" s="1">
        <v>31138</v>
      </c>
      <c r="B158" s="1" t="s">
        <v>281</v>
      </c>
      <c r="C158" s="1" t="s">
        <v>21</v>
      </c>
      <c r="D158" s="2">
        <v>41660</v>
      </c>
      <c r="E158" s="1" t="s">
        <v>31</v>
      </c>
      <c r="F158" s="1" t="s">
        <v>282</v>
      </c>
      <c r="G158" s="1">
        <v>37</v>
      </c>
      <c r="H158" s="1">
        <v>31.76</v>
      </c>
      <c r="I158" s="1">
        <f t="shared" si="6"/>
        <v>1175.1200000000001</v>
      </c>
      <c r="J158" t="str">
        <f t="shared" si="7"/>
        <v>High</v>
      </c>
      <c r="K158" s="1"/>
      <c r="L158" s="1">
        <v>0.05</v>
      </c>
      <c r="M158" s="1">
        <v>45.51</v>
      </c>
      <c r="N158" s="1" t="s">
        <v>45</v>
      </c>
      <c r="O158" s="1" t="s">
        <v>63</v>
      </c>
      <c r="P158" s="2">
        <v>41662</v>
      </c>
      <c r="Q158" s="2" t="b">
        <f t="shared" si="8"/>
        <v>0</v>
      </c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</row>
    <row r="159" spans="1:35" ht="14.25" customHeight="1" x14ac:dyDescent="0.2">
      <c r="A159" s="1">
        <v>49505</v>
      </c>
      <c r="B159" s="1" t="s">
        <v>283</v>
      </c>
      <c r="C159" s="1" t="s">
        <v>21</v>
      </c>
      <c r="D159" s="2">
        <v>41660</v>
      </c>
      <c r="E159" s="1" t="s">
        <v>38</v>
      </c>
      <c r="F159" s="1" t="s">
        <v>284</v>
      </c>
      <c r="G159" s="1">
        <v>12</v>
      </c>
      <c r="H159" s="1">
        <v>7.84</v>
      </c>
      <c r="I159" s="1">
        <f t="shared" si="6"/>
        <v>94.08</v>
      </c>
      <c r="J159" t="str">
        <f t="shared" si="7"/>
        <v>Low</v>
      </c>
      <c r="K159" s="1"/>
      <c r="L159" s="1">
        <v>0.04</v>
      </c>
      <c r="M159" s="1">
        <v>4.71</v>
      </c>
      <c r="N159" s="1" t="s">
        <v>33</v>
      </c>
      <c r="O159" s="1" t="s">
        <v>34</v>
      </c>
      <c r="P159" s="2">
        <v>41662</v>
      </c>
      <c r="Q159" s="2" t="b">
        <f t="shared" si="8"/>
        <v>0</v>
      </c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</row>
    <row r="160" spans="1:35" ht="14.25" customHeight="1" x14ac:dyDescent="0.2">
      <c r="A160" s="1">
        <v>49505</v>
      </c>
      <c r="B160" s="1" t="s">
        <v>283</v>
      </c>
      <c r="C160" s="1" t="s">
        <v>21</v>
      </c>
      <c r="D160" s="2">
        <v>41660</v>
      </c>
      <c r="E160" s="1" t="s">
        <v>38</v>
      </c>
      <c r="F160" s="1" t="s">
        <v>285</v>
      </c>
      <c r="G160" s="1">
        <v>34</v>
      </c>
      <c r="H160" s="1">
        <v>9.7799999999999994</v>
      </c>
      <c r="I160" s="1">
        <f t="shared" si="6"/>
        <v>332.52</v>
      </c>
      <c r="J160" t="str">
        <f t="shared" si="7"/>
        <v>Low</v>
      </c>
      <c r="K160" s="1"/>
      <c r="L160" s="1">
        <v>0.04</v>
      </c>
      <c r="M160" s="1">
        <v>1.99</v>
      </c>
      <c r="N160" s="1" t="s">
        <v>25</v>
      </c>
      <c r="O160" s="1" t="s">
        <v>84</v>
      </c>
      <c r="P160" s="2">
        <v>41661</v>
      </c>
      <c r="Q160" s="2" t="b">
        <f t="shared" si="8"/>
        <v>0</v>
      </c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</row>
    <row r="161" spans="1:35" ht="14.25" customHeight="1" x14ac:dyDescent="0.2">
      <c r="A161" s="1">
        <v>38021</v>
      </c>
      <c r="B161" s="1" t="s">
        <v>169</v>
      </c>
      <c r="C161" s="1" t="s">
        <v>21</v>
      </c>
      <c r="D161" s="2">
        <v>41660</v>
      </c>
      <c r="E161" s="1" t="s">
        <v>101</v>
      </c>
      <c r="F161" s="1" t="s">
        <v>286</v>
      </c>
      <c r="G161" s="1">
        <v>16</v>
      </c>
      <c r="H161" s="1">
        <v>279.81</v>
      </c>
      <c r="I161" s="1">
        <f t="shared" si="6"/>
        <v>4476.96</v>
      </c>
      <c r="J161" t="str">
        <f t="shared" si="7"/>
        <v>High</v>
      </c>
      <c r="K161" s="1"/>
      <c r="L161" s="1">
        <v>0.04</v>
      </c>
      <c r="M161" s="1">
        <v>23.19</v>
      </c>
      <c r="N161" s="1" t="s">
        <v>45</v>
      </c>
      <c r="O161" s="1" t="s">
        <v>46</v>
      </c>
      <c r="P161" s="2">
        <v>41661</v>
      </c>
      <c r="Q161" s="2" t="b">
        <f t="shared" si="8"/>
        <v>0</v>
      </c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</row>
    <row r="162" spans="1:35" ht="14.25" customHeight="1" x14ac:dyDescent="0.2">
      <c r="A162" s="1">
        <v>38021</v>
      </c>
      <c r="B162" s="1" t="s">
        <v>169</v>
      </c>
      <c r="C162" s="1" t="s">
        <v>51</v>
      </c>
      <c r="D162" s="2">
        <v>41660</v>
      </c>
      <c r="E162" s="1" t="s">
        <v>101</v>
      </c>
      <c r="F162" s="1" t="s">
        <v>287</v>
      </c>
      <c r="G162" s="1">
        <v>36</v>
      </c>
      <c r="H162" s="1">
        <v>4.91</v>
      </c>
      <c r="I162" s="1">
        <f t="shared" si="6"/>
        <v>176.76</v>
      </c>
      <c r="J162" t="str">
        <f t="shared" si="7"/>
        <v>Low</v>
      </c>
      <c r="K162" s="1"/>
      <c r="L162" s="1">
        <v>0.02</v>
      </c>
      <c r="M162" s="1">
        <v>0.5</v>
      </c>
      <c r="N162" s="1" t="s">
        <v>33</v>
      </c>
      <c r="O162" s="1" t="s">
        <v>34</v>
      </c>
      <c r="P162" s="2">
        <v>41661</v>
      </c>
      <c r="Q162" s="2" t="b">
        <f t="shared" si="8"/>
        <v>0</v>
      </c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</row>
    <row r="163" spans="1:35" ht="14.25" customHeight="1" x14ac:dyDescent="0.2">
      <c r="A163" s="1">
        <v>52608</v>
      </c>
      <c r="B163" s="1" t="s">
        <v>288</v>
      </c>
      <c r="C163" s="1" t="s">
        <v>51</v>
      </c>
      <c r="D163" s="2">
        <v>41660</v>
      </c>
      <c r="E163" s="1" t="s">
        <v>43</v>
      </c>
      <c r="F163" s="1" t="s">
        <v>289</v>
      </c>
      <c r="G163" s="1">
        <v>36</v>
      </c>
      <c r="H163" s="1">
        <v>3.98</v>
      </c>
      <c r="I163" s="1">
        <f t="shared" si="6"/>
        <v>143.28</v>
      </c>
      <c r="J163" t="str">
        <f t="shared" si="7"/>
        <v>Low</v>
      </c>
      <c r="K163" s="1"/>
      <c r="L163" s="1">
        <v>0.05</v>
      </c>
      <c r="M163" s="1">
        <v>0.7</v>
      </c>
      <c r="N163" s="1" t="s">
        <v>33</v>
      </c>
      <c r="O163" s="1" t="s">
        <v>55</v>
      </c>
      <c r="P163" s="2">
        <v>41664</v>
      </c>
      <c r="Q163" s="2" t="b">
        <f t="shared" si="8"/>
        <v>0</v>
      </c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</row>
    <row r="164" spans="1:35" ht="14.25" customHeight="1" x14ac:dyDescent="0.2">
      <c r="A164" s="1">
        <v>58759</v>
      </c>
      <c r="B164" s="1" t="s">
        <v>290</v>
      </c>
      <c r="C164" s="1" t="s">
        <v>21</v>
      </c>
      <c r="D164" s="2">
        <v>41660</v>
      </c>
      <c r="E164" s="1" t="s">
        <v>43</v>
      </c>
      <c r="F164" s="1" t="s">
        <v>234</v>
      </c>
      <c r="G164" s="1">
        <v>4</v>
      </c>
      <c r="H164" s="1">
        <v>8.01</v>
      </c>
      <c r="I164" s="1">
        <f t="shared" si="6"/>
        <v>32.04</v>
      </c>
      <c r="J164" t="str">
        <f t="shared" si="7"/>
        <v>Low</v>
      </c>
      <c r="K164" s="1"/>
      <c r="L164" s="1">
        <v>0.1</v>
      </c>
      <c r="M164" s="1">
        <v>2.87</v>
      </c>
      <c r="N164" s="1" t="s">
        <v>33</v>
      </c>
      <c r="O164" s="1" t="s">
        <v>55</v>
      </c>
      <c r="P164" s="2">
        <v>41667</v>
      </c>
      <c r="Q164" s="2" t="b">
        <f t="shared" si="8"/>
        <v>0</v>
      </c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</row>
    <row r="165" spans="1:35" ht="14.25" customHeight="1" x14ac:dyDescent="0.2">
      <c r="A165" s="1">
        <v>32800</v>
      </c>
      <c r="B165" s="1" t="s">
        <v>70</v>
      </c>
      <c r="C165" s="1" t="s">
        <v>30</v>
      </c>
      <c r="D165" s="2">
        <v>41660</v>
      </c>
      <c r="E165" s="1" t="s">
        <v>22</v>
      </c>
      <c r="F165" s="1" t="s">
        <v>94</v>
      </c>
      <c r="G165" s="1">
        <v>33</v>
      </c>
      <c r="H165" s="1">
        <v>355.98</v>
      </c>
      <c r="I165" s="1">
        <f t="shared" si="6"/>
        <v>11747.34</v>
      </c>
      <c r="J165" t="str">
        <f t="shared" si="7"/>
        <v>High</v>
      </c>
      <c r="K165" s="1"/>
      <c r="L165" s="1">
        <v>0.04</v>
      </c>
      <c r="M165" s="1">
        <v>58.92</v>
      </c>
      <c r="N165" s="1" t="s">
        <v>45</v>
      </c>
      <c r="O165" s="1" t="s">
        <v>46</v>
      </c>
      <c r="P165" s="2">
        <v>41661</v>
      </c>
      <c r="Q165" s="2" t="b">
        <f t="shared" si="8"/>
        <v>0</v>
      </c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</row>
    <row r="166" spans="1:35" ht="14.25" customHeight="1" x14ac:dyDescent="0.2">
      <c r="A166" s="1">
        <v>32800</v>
      </c>
      <c r="B166" s="1" t="s">
        <v>70</v>
      </c>
      <c r="C166" s="1" t="s">
        <v>51</v>
      </c>
      <c r="D166" s="2">
        <v>41660</v>
      </c>
      <c r="E166" s="1" t="s">
        <v>22</v>
      </c>
      <c r="F166" s="1" t="s">
        <v>291</v>
      </c>
      <c r="G166" s="1">
        <v>19</v>
      </c>
      <c r="H166" s="1">
        <v>19.98</v>
      </c>
      <c r="I166" s="1">
        <f t="shared" si="6"/>
        <v>379.62</v>
      </c>
      <c r="J166" t="str">
        <f t="shared" si="7"/>
        <v>Low</v>
      </c>
      <c r="K166" s="1"/>
      <c r="L166" s="1">
        <v>0.09</v>
      </c>
      <c r="M166" s="1">
        <v>8.68</v>
      </c>
      <c r="N166" s="1" t="s">
        <v>33</v>
      </c>
      <c r="O166" s="1" t="s">
        <v>34</v>
      </c>
      <c r="P166" s="2">
        <v>41661</v>
      </c>
      <c r="Q166" s="2" t="b">
        <f t="shared" si="8"/>
        <v>0</v>
      </c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</row>
    <row r="167" spans="1:35" ht="14.25" customHeight="1" x14ac:dyDescent="0.2">
      <c r="A167" s="1">
        <v>32800</v>
      </c>
      <c r="B167" s="1" t="s">
        <v>70</v>
      </c>
      <c r="C167" s="1" t="s">
        <v>21</v>
      </c>
      <c r="D167" s="2">
        <v>41660</v>
      </c>
      <c r="E167" s="1" t="s">
        <v>22</v>
      </c>
      <c r="F167" s="1" t="s">
        <v>291</v>
      </c>
      <c r="G167" s="1">
        <v>40</v>
      </c>
      <c r="H167" s="1">
        <v>19.98</v>
      </c>
      <c r="I167" s="1">
        <f t="shared" si="6"/>
        <v>799.2</v>
      </c>
      <c r="J167" t="str">
        <f t="shared" si="7"/>
        <v>Low</v>
      </c>
      <c r="K167" s="1"/>
      <c r="L167" s="1">
        <v>7.0000000000000007E-2</v>
      </c>
      <c r="M167" s="1">
        <v>8.68</v>
      </c>
      <c r="N167" s="1" t="s">
        <v>33</v>
      </c>
      <c r="O167" s="1" t="s">
        <v>34</v>
      </c>
      <c r="P167" s="2">
        <v>41662</v>
      </c>
      <c r="Q167" s="2" t="b">
        <f t="shared" si="8"/>
        <v>0</v>
      </c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</row>
    <row r="168" spans="1:35" ht="14.25" customHeight="1" x14ac:dyDescent="0.2">
      <c r="A168" s="1">
        <v>35936</v>
      </c>
      <c r="B168" s="1" t="s">
        <v>292</v>
      </c>
      <c r="C168" s="1" t="s">
        <v>21</v>
      </c>
      <c r="D168" s="2">
        <v>41660</v>
      </c>
      <c r="E168" s="1" t="s">
        <v>101</v>
      </c>
      <c r="F168" s="1" t="s">
        <v>284</v>
      </c>
      <c r="G168" s="1">
        <v>41</v>
      </c>
      <c r="H168" s="1">
        <v>7.84</v>
      </c>
      <c r="I168" s="1">
        <f t="shared" si="6"/>
        <v>321.44</v>
      </c>
      <c r="J168" t="str">
        <f t="shared" si="7"/>
        <v>Low</v>
      </c>
      <c r="K168" s="1"/>
      <c r="L168" s="1">
        <v>0.08</v>
      </c>
      <c r="M168" s="1">
        <v>4.71</v>
      </c>
      <c r="N168" s="1" t="s">
        <v>33</v>
      </c>
      <c r="O168" s="1" t="s">
        <v>34</v>
      </c>
      <c r="P168" s="2">
        <v>41661</v>
      </c>
      <c r="Q168" s="2" t="b">
        <f t="shared" si="8"/>
        <v>0</v>
      </c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</row>
    <row r="169" spans="1:35" ht="14.25" customHeight="1" x14ac:dyDescent="0.2">
      <c r="A169" s="1">
        <v>35936</v>
      </c>
      <c r="B169" s="1" t="s">
        <v>292</v>
      </c>
      <c r="C169" s="1" t="s">
        <v>21</v>
      </c>
      <c r="D169" s="2">
        <v>41660</v>
      </c>
      <c r="E169" s="1" t="s">
        <v>101</v>
      </c>
      <c r="F169" s="1" t="s">
        <v>293</v>
      </c>
      <c r="G169" s="1">
        <v>40</v>
      </c>
      <c r="H169" s="1">
        <v>105.34</v>
      </c>
      <c r="I169" s="1">
        <f t="shared" si="6"/>
        <v>4213.6000000000004</v>
      </c>
      <c r="J169" t="str">
        <f t="shared" si="7"/>
        <v>High</v>
      </c>
      <c r="K169" s="1"/>
      <c r="L169" s="1">
        <v>0.03</v>
      </c>
      <c r="M169" s="1">
        <v>24.49</v>
      </c>
      <c r="N169" s="1" t="s">
        <v>33</v>
      </c>
      <c r="O169" s="1" t="s">
        <v>26</v>
      </c>
      <c r="P169" s="2">
        <v>41661</v>
      </c>
      <c r="Q169" s="2" t="b">
        <f t="shared" si="8"/>
        <v>0</v>
      </c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</row>
    <row r="170" spans="1:35" ht="14.25" customHeight="1" x14ac:dyDescent="0.2">
      <c r="A170" s="1">
        <v>28226</v>
      </c>
      <c r="B170" s="1" t="s">
        <v>294</v>
      </c>
      <c r="C170" s="1" t="s">
        <v>21</v>
      </c>
      <c r="D170" s="2">
        <v>41661</v>
      </c>
      <c r="E170" s="1" t="s">
        <v>38</v>
      </c>
      <c r="F170" s="1" t="s">
        <v>295</v>
      </c>
      <c r="G170" s="1">
        <v>9</v>
      </c>
      <c r="H170" s="1">
        <v>20.28</v>
      </c>
      <c r="I170" s="1">
        <f t="shared" si="6"/>
        <v>182.52</v>
      </c>
      <c r="J170" t="str">
        <f t="shared" si="7"/>
        <v>Low</v>
      </c>
      <c r="K170" s="1"/>
      <c r="L170" s="1">
        <v>0</v>
      </c>
      <c r="M170" s="1">
        <v>14.39</v>
      </c>
      <c r="N170" s="1" t="s">
        <v>33</v>
      </c>
      <c r="O170" s="1" t="s">
        <v>34</v>
      </c>
      <c r="P170" s="2">
        <v>41661</v>
      </c>
      <c r="Q170" s="2" t="b">
        <f t="shared" si="8"/>
        <v>0</v>
      </c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</row>
    <row r="171" spans="1:35" ht="14.25" customHeight="1" x14ac:dyDescent="0.2">
      <c r="A171" s="1">
        <v>13636</v>
      </c>
      <c r="B171" s="1" t="s">
        <v>296</v>
      </c>
      <c r="C171" s="1" t="s">
        <v>51</v>
      </c>
      <c r="D171" s="2">
        <v>41661</v>
      </c>
      <c r="E171" s="1" t="s">
        <v>43</v>
      </c>
      <c r="F171" s="1" t="s">
        <v>105</v>
      </c>
      <c r="G171" s="1">
        <v>32</v>
      </c>
      <c r="H171" s="1">
        <v>880.98</v>
      </c>
      <c r="I171" s="1">
        <f t="shared" si="6"/>
        <v>28191.360000000001</v>
      </c>
      <c r="J171" t="str">
        <f t="shared" si="7"/>
        <v>High</v>
      </c>
      <c r="K171" s="1"/>
      <c r="L171" s="1">
        <v>0.02</v>
      </c>
      <c r="M171" s="1">
        <v>44.55</v>
      </c>
      <c r="N171" s="1" t="s">
        <v>45</v>
      </c>
      <c r="O171" s="1" t="s">
        <v>63</v>
      </c>
      <c r="P171" s="2">
        <v>41665</v>
      </c>
      <c r="Q171" s="2" t="b">
        <f t="shared" si="8"/>
        <v>0</v>
      </c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</row>
    <row r="172" spans="1:35" ht="14.25" customHeight="1" x14ac:dyDescent="0.2">
      <c r="A172" s="1">
        <v>53891</v>
      </c>
      <c r="B172" s="1" t="s">
        <v>297</v>
      </c>
      <c r="C172" s="1" t="s">
        <v>21</v>
      </c>
      <c r="D172" s="2">
        <v>41661</v>
      </c>
      <c r="E172" s="1" t="s">
        <v>31</v>
      </c>
      <c r="F172" s="1" t="s">
        <v>298</v>
      </c>
      <c r="G172" s="1">
        <v>36</v>
      </c>
      <c r="H172" s="1">
        <v>15.22</v>
      </c>
      <c r="I172" s="1">
        <f t="shared" si="6"/>
        <v>547.92000000000007</v>
      </c>
      <c r="J172" t="str">
        <f t="shared" si="7"/>
        <v>Low</v>
      </c>
      <c r="K172" s="1"/>
      <c r="L172" s="1">
        <v>0.02</v>
      </c>
      <c r="M172" s="1">
        <v>9.73</v>
      </c>
      <c r="N172" s="1" t="s">
        <v>33</v>
      </c>
      <c r="O172" s="1" t="s">
        <v>34</v>
      </c>
      <c r="P172" s="2">
        <v>41661</v>
      </c>
      <c r="Q172" s="2" t="b">
        <f t="shared" si="8"/>
        <v>0</v>
      </c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</row>
    <row r="173" spans="1:35" ht="14.25" customHeight="1" x14ac:dyDescent="0.2">
      <c r="A173" s="1">
        <v>28225</v>
      </c>
      <c r="B173" s="1" t="s">
        <v>299</v>
      </c>
      <c r="C173" s="1" t="s">
        <v>30</v>
      </c>
      <c r="D173" s="2">
        <v>41661</v>
      </c>
      <c r="E173" s="1" t="s">
        <v>38</v>
      </c>
      <c r="F173" s="1" t="s">
        <v>300</v>
      </c>
      <c r="G173" s="1">
        <v>13</v>
      </c>
      <c r="H173" s="1">
        <v>80.98</v>
      </c>
      <c r="I173" s="1">
        <f t="shared" si="6"/>
        <v>1052.74</v>
      </c>
      <c r="J173" t="str">
        <f t="shared" si="7"/>
        <v>High</v>
      </c>
      <c r="K173" s="1"/>
      <c r="L173" s="1">
        <v>0.01</v>
      </c>
      <c r="M173" s="1">
        <v>35</v>
      </c>
      <c r="N173" s="1" t="s">
        <v>33</v>
      </c>
      <c r="O173" s="1" t="s">
        <v>26</v>
      </c>
      <c r="P173" s="2">
        <v>41663</v>
      </c>
      <c r="Q173" s="2" t="b">
        <f t="shared" si="8"/>
        <v>0</v>
      </c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</row>
    <row r="174" spans="1:35" ht="14.25" customHeight="1" x14ac:dyDescent="0.2">
      <c r="A174" s="1">
        <v>53891</v>
      </c>
      <c r="B174" s="1" t="s">
        <v>297</v>
      </c>
      <c r="C174" s="1" t="s">
        <v>21</v>
      </c>
      <c r="D174" s="2">
        <v>41661</v>
      </c>
      <c r="E174" s="1" t="s">
        <v>31</v>
      </c>
      <c r="F174" s="1" t="s">
        <v>301</v>
      </c>
      <c r="G174" s="1">
        <v>27</v>
      </c>
      <c r="H174" s="1">
        <v>179.99</v>
      </c>
      <c r="I174" s="1">
        <f t="shared" si="6"/>
        <v>4859.7300000000005</v>
      </c>
      <c r="J174" t="str">
        <f t="shared" si="7"/>
        <v>High</v>
      </c>
      <c r="K174" s="1"/>
      <c r="L174" s="1">
        <v>7.0000000000000007E-2</v>
      </c>
      <c r="M174" s="1">
        <v>19.989999999999998</v>
      </c>
      <c r="N174" s="1" t="s">
        <v>33</v>
      </c>
      <c r="O174" s="1" t="s">
        <v>34</v>
      </c>
      <c r="P174" s="2">
        <v>41662</v>
      </c>
      <c r="Q174" s="2" t="b">
        <f t="shared" si="8"/>
        <v>0</v>
      </c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</row>
    <row r="175" spans="1:35" ht="14.25" customHeight="1" x14ac:dyDescent="0.2">
      <c r="A175" s="1">
        <v>53891</v>
      </c>
      <c r="B175" s="1" t="s">
        <v>297</v>
      </c>
      <c r="C175" s="1" t="s">
        <v>51</v>
      </c>
      <c r="D175" s="2">
        <v>41661</v>
      </c>
      <c r="E175" s="1" t="s">
        <v>31</v>
      </c>
      <c r="F175" s="1" t="s">
        <v>302</v>
      </c>
      <c r="G175" s="1">
        <v>44</v>
      </c>
      <c r="H175" s="1">
        <v>92.23</v>
      </c>
      <c r="I175" s="1">
        <f t="shared" si="6"/>
        <v>4058.1200000000003</v>
      </c>
      <c r="J175" t="str">
        <f t="shared" si="7"/>
        <v>High</v>
      </c>
      <c r="K175" s="1"/>
      <c r="L175" s="1">
        <v>0.02</v>
      </c>
      <c r="M175" s="1">
        <v>39.61</v>
      </c>
      <c r="N175" s="1" t="s">
        <v>25</v>
      </c>
      <c r="O175" s="1" t="s">
        <v>72</v>
      </c>
      <c r="P175" s="2">
        <v>41662</v>
      </c>
      <c r="Q175" s="2" t="b">
        <f t="shared" si="8"/>
        <v>0</v>
      </c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</row>
    <row r="176" spans="1:35" ht="14.25" customHeight="1" x14ac:dyDescent="0.2">
      <c r="A176" s="1">
        <v>53891</v>
      </c>
      <c r="B176" s="1" t="s">
        <v>297</v>
      </c>
      <c r="C176" s="1" t="s">
        <v>51</v>
      </c>
      <c r="D176" s="2">
        <v>41661</v>
      </c>
      <c r="E176" s="1" t="s">
        <v>31</v>
      </c>
      <c r="F176" s="1" t="s">
        <v>303</v>
      </c>
      <c r="G176" s="1">
        <v>25</v>
      </c>
      <c r="H176" s="1">
        <v>115.99</v>
      </c>
      <c r="I176" s="1">
        <f t="shared" si="6"/>
        <v>2899.75</v>
      </c>
      <c r="J176" t="str">
        <f t="shared" si="7"/>
        <v>High</v>
      </c>
      <c r="K176" s="1"/>
      <c r="L176" s="1">
        <v>0.03</v>
      </c>
      <c r="M176" s="1">
        <v>5.92</v>
      </c>
      <c r="N176" s="1" t="s">
        <v>25</v>
      </c>
      <c r="O176" s="1" t="s">
        <v>34</v>
      </c>
      <c r="P176" s="2">
        <v>41662</v>
      </c>
      <c r="Q176" s="2" t="b">
        <f t="shared" si="8"/>
        <v>0</v>
      </c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</row>
    <row r="177" spans="1:35" ht="14.25" customHeight="1" x14ac:dyDescent="0.2">
      <c r="A177" s="1">
        <v>55360</v>
      </c>
      <c r="B177" s="1" t="s">
        <v>304</v>
      </c>
      <c r="C177" s="1" t="s">
        <v>21</v>
      </c>
      <c r="D177" s="2">
        <v>41661</v>
      </c>
      <c r="E177" s="1" t="s">
        <v>101</v>
      </c>
      <c r="F177" s="1" t="s">
        <v>305</v>
      </c>
      <c r="G177" s="1">
        <v>49</v>
      </c>
      <c r="H177" s="1">
        <v>2.89</v>
      </c>
      <c r="I177" s="1">
        <f t="shared" si="6"/>
        <v>141.61000000000001</v>
      </c>
      <c r="J177" t="str">
        <f t="shared" si="7"/>
        <v>Low</v>
      </c>
      <c r="K177" s="1"/>
      <c r="L177" s="1">
        <v>7.0000000000000007E-2</v>
      </c>
      <c r="M177" s="1">
        <v>0.5</v>
      </c>
      <c r="N177" s="1" t="s">
        <v>33</v>
      </c>
      <c r="O177" s="1" t="s">
        <v>34</v>
      </c>
      <c r="P177" s="2">
        <v>41663</v>
      </c>
      <c r="Q177" s="2" t="b">
        <f t="shared" si="8"/>
        <v>0</v>
      </c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</row>
    <row r="178" spans="1:35" ht="14.25" customHeight="1" x14ac:dyDescent="0.2">
      <c r="A178" s="1">
        <v>55360</v>
      </c>
      <c r="B178" s="1" t="s">
        <v>304</v>
      </c>
      <c r="C178" s="1" t="s">
        <v>30</v>
      </c>
      <c r="D178" s="2">
        <v>41661</v>
      </c>
      <c r="E178" s="1" t="s">
        <v>101</v>
      </c>
      <c r="F178" s="1" t="s">
        <v>306</v>
      </c>
      <c r="G178" s="1">
        <v>39</v>
      </c>
      <c r="H178" s="1">
        <v>217.85</v>
      </c>
      <c r="I178" s="1">
        <f t="shared" si="6"/>
        <v>8496.15</v>
      </c>
      <c r="J178" t="str">
        <f t="shared" si="7"/>
        <v>High</v>
      </c>
      <c r="K178" s="1"/>
      <c r="L178" s="1">
        <v>0</v>
      </c>
      <c r="M178" s="1">
        <v>29.1</v>
      </c>
      <c r="N178" s="1" t="s">
        <v>45</v>
      </c>
      <c r="O178" s="1" t="s">
        <v>63</v>
      </c>
      <c r="P178" s="2">
        <v>41662</v>
      </c>
      <c r="Q178" s="2" t="b">
        <f t="shared" si="8"/>
        <v>0</v>
      </c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</row>
    <row r="179" spans="1:35" ht="14.25" customHeight="1" x14ac:dyDescent="0.2">
      <c r="A179" s="1">
        <v>7815</v>
      </c>
      <c r="B179" s="1" t="s">
        <v>227</v>
      </c>
      <c r="C179" s="1" t="s">
        <v>21</v>
      </c>
      <c r="D179" s="2">
        <v>41661</v>
      </c>
      <c r="E179" s="1" t="s">
        <v>38</v>
      </c>
      <c r="F179" s="1" t="s">
        <v>307</v>
      </c>
      <c r="G179" s="1">
        <v>6</v>
      </c>
      <c r="H179" s="1">
        <v>32.979999999999997</v>
      </c>
      <c r="I179" s="1">
        <f t="shared" si="6"/>
        <v>197.88</v>
      </c>
      <c r="J179" t="str">
        <f t="shared" si="7"/>
        <v>Low</v>
      </c>
      <c r="K179" s="1"/>
      <c r="L179" s="1">
        <v>0.09</v>
      </c>
      <c r="M179" s="1">
        <v>5.5</v>
      </c>
      <c r="N179" s="1" t="s">
        <v>33</v>
      </c>
      <c r="O179" s="1" t="s">
        <v>34</v>
      </c>
      <c r="P179" s="2">
        <v>41662</v>
      </c>
      <c r="Q179" s="2" t="b">
        <f t="shared" si="8"/>
        <v>0</v>
      </c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</row>
    <row r="180" spans="1:35" ht="14.25" customHeight="1" x14ac:dyDescent="0.2">
      <c r="A180" s="1">
        <v>10661</v>
      </c>
      <c r="B180" s="1" t="s">
        <v>308</v>
      </c>
      <c r="C180" s="1" t="s">
        <v>21</v>
      </c>
      <c r="D180" s="2">
        <v>41662</v>
      </c>
      <c r="E180" s="1" t="s">
        <v>22</v>
      </c>
      <c r="F180" s="1" t="s">
        <v>309</v>
      </c>
      <c r="G180" s="1">
        <v>18</v>
      </c>
      <c r="H180" s="1">
        <v>6.84</v>
      </c>
      <c r="I180" s="1">
        <f t="shared" si="6"/>
        <v>123.12</v>
      </c>
      <c r="J180" t="str">
        <f t="shared" si="7"/>
        <v>Low</v>
      </c>
      <c r="K180" s="1"/>
      <c r="L180" s="1">
        <v>0</v>
      </c>
      <c r="M180" s="1">
        <v>8.3699999999999992</v>
      </c>
      <c r="N180" s="1" t="s">
        <v>33</v>
      </c>
      <c r="O180" s="1" t="s">
        <v>84</v>
      </c>
      <c r="P180" s="2">
        <v>41663</v>
      </c>
      <c r="Q180" s="2" t="b">
        <f t="shared" si="8"/>
        <v>0</v>
      </c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</row>
    <row r="181" spans="1:35" ht="14.25" customHeight="1" x14ac:dyDescent="0.2">
      <c r="A181" s="1">
        <v>10661</v>
      </c>
      <c r="B181" s="1" t="s">
        <v>308</v>
      </c>
      <c r="C181" s="1" t="s">
        <v>51</v>
      </c>
      <c r="D181" s="2">
        <v>41662</v>
      </c>
      <c r="E181" s="1" t="s">
        <v>22</v>
      </c>
      <c r="F181" s="1" t="s">
        <v>103</v>
      </c>
      <c r="G181" s="1">
        <v>42</v>
      </c>
      <c r="H181" s="1">
        <v>30.98</v>
      </c>
      <c r="I181" s="1">
        <f t="shared" si="6"/>
        <v>1301.1600000000001</v>
      </c>
      <c r="J181" t="str">
        <f t="shared" si="7"/>
        <v>High</v>
      </c>
      <c r="K181" s="1"/>
      <c r="L181" s="1">
        <v>7.0000000000000007E-2</v>
      </c>
      <c r="M181" s="1">
        <v>5.76</v>
      </c>
      <c r="N181" s="1" t="s">
        <v>33</v>
      </c>
      <c r="O181" s="1" t="s">
        <v>34</v>
      </c>
      <c r="P181" s="2">
        <v>41664</v>
      </c>
      <c r="Q181" s="2" t="b">
        <f t="shared" si="8"/>
        <v>0</v>
      </c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</row>
    <row r="182" spans="1:35" ht="14.25" customHeight="1" x14ac:dyDescent="0.2">
      <c r="A182" s="1">
        <v>24802</v>
      </c>
      <c r="B182" s="1" t="s">
        <v>310</v>
      </c>
      <c r="C182" s="1" t="s">
        <v>21</v>
      </c>
      <c r="D182" s="2">
        <v>41662</v>
      </c>
      <c r="E182" s="1" t="s">
        <v>101</v>
      </c>
      <c r="F182" s="1" t="s">
        <v>311</v>
      </c>
      <c r="G182" s="1">
        <v>18</v>
      </c>
      <c r="H182" s="1">
        <v>73.98</v>
      </c>
      <c r="I182" s="1">
        <f t="shared" si="6"/>
        <v>1331.64</v>
      </c>
      <c r="J182" t="str">
        <f t="shared" si="7"/>
        <v>High</v>
      </c>
      <c r="K182" s="1"/>
      <c r="L182" s="1">
        <v>0.01</v>
      </c>
      <c r="M182" s="1">
        <v>12.14</v>
      </c>
      <c r="N182" s="1" t="s">
        <v>33</v>
      </c>
      <c r="O182" s="1" t="s">
        <v>34</v>
      </c>
      <c r="P182" s="2">
        <v>41664</v>
      </c>
      <c r="Q182" s="2" t="b">
        <f t="shared" si="8"/>
        <v>0</v>
      </c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</row>
    <row r="183" spans="1:35" ht="14.25" customHeight="1" x14ac:dyDescent="0.2">
      <c r="A183" s="1">
        <v>29319</v>
      </c>
      <c r="B183" s="1" t="s">
        <v>312</v>
      </c>
      <c r="C183" s="1" t="s">
        <v>21</v>
      </c>
      <c r="D183" s="2">
        <v>41663</v>
      </c>
      <c r="E183" s="1" t="s">
        <v>43</v>
      </c>
      <c r="F183" s="1" t="s">
        <v>313</v>
      </c>
      <c r="G183" s="1">
        <v>30</v>
      </c>
      <c r="H183" s="1">
        <v>238.4</v>
      </c>
      <c r="I183" s="1">
        <f t="shared" si="6"/>
        <v>7152</v>
      </c>
      <c r="J183" t="str">
        <f t="shared" si="7"/>
        <v>High</v>
      </c>
      <c r="K183" s="1"/>
      <c r="L183" s="1">
        <v>0.1</v>
      </c>
      <c r="M183" s="1">
        <v>24.49</v>
      </c>
      <c r="N183" s="1" t="s">
        <v>33</v>
      </c>
      <c r="O183" s="1" t="s">
        <v>26</v>
      </c>
      <c r="P183" s="2">
        <v>41665</v>
      </c>
      <c r="Q183" s="2" t="b">
        <f t="shared" si="8"/>
        <v>0</v>
      </c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</row>
    <row r="184" spans="1:35" ht="14.25" customHeight="1" x14ac:dyDescent="0.2">
      <c r="A184" s="1">
        <v>29319</v>
      </c>
      <c r="B184" s="1" t="s">
        <v>312</v>
      </c>
      <c r="C184" s="1" t="s">
        <v>30</v>
      </c>
      <c r="D184" s="2">
        <v>41663</v>
      </c>
      <c r="E184" s="1" t="s">
        <v>43</v>
      </c>
      <c r="F184" s="1" t="s">
        <v>314</v>
      </c>
      <c r="G184" s="1">
        <v>21</v>
      </c>
      <c r="H184" s="1">
        <v>199.99</v>
      </c>
      <c r="I184" s="1">
        <f t="shared" si="6"/>
        <v>4199.79</v>
      </c>
      <c r="J184" t="str">
        <f t="shared" si="7"/>
        <v>High</v>
      </c>
      <c r="K184" s="1"/>
      <c r="L184" s="1">
        <v>0.03</v>
      </c>
      <c r="M184" s="1">
        <v>24.49</v>
      </c>
      <c r="N184" s="1" t="s">
        <v>25</v>
      </c>
      <c r="O184" s="1" t="s">
        <v>26</v>
      </c>
      <c r="P184" s="2">
        <v>41665</v>
      </c>
      <c r="Q184" s="2" t="b">
        <f t="shared" si="8"/>
        <v>1</v>
      </c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</row>
    <row r="185" spans="1:35" ht="14.25" customHeight="1" x14ac:dyDescent="0.2">
      <c r="A185" s="1">
        <v>58277</v>
      </c>
      <c r="B185" s="1" t="s">
        <v>315</v>
      </c>
      <c r="C185" s="1" t="s">
        <v>51</v>
      </c>
      <c r="D185" s="2">
        <v>41663</v>
      </c>
      <c r="E185" s="1" t="s">
        <v>101</v>
      </c>
      <c r="F185" s="1" t="s">
        <v>316</v>
      </c>
      <c r="G185" s="1">
        <v>23</v>
      </c>
      <c r="H185" s="1">
        <v>11.7</v>
      </c>
      <c r="I185" s="1">
        <f t="shared" si="6"/>
        <v>269.09999999999997</v>
      </c>
      <c r="J185" t="str">
        <f t="shared" si="7"/>
        <v>Low</v>
      </c>
      <c r="K185" s="1"/>
      <c r="L185" s="1">
        <v>0.01</v>
      </c>
      <c r="M185" s="1">
        <v>6.96</v>
      </c>
      <c r="N185" s="1" t="s">
        <v>33</v>
      </c>
      <c r="O185" s="1" t="s">
        <v>72</v>
      </c>
      <c r="P185" s="2">
        <v>41665</v>
      </c>
      <c r="Q185" s="2" t="b">
        <f t="shared" si="8"/>
        <v>0</v>
      </c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</row>
    <row r="186" spans="1:35" ht="14.25" customHeight="1" x14ac:dyDescent="0.2">
      <c r="A186" s="1">
        <v>33025</v>
      </c>
      <c r="B186" s="1" t="s">
        <v>317</v>
      </c>
      <c r="C186" s="1" t="s">
        <v>51</v>
      </c>
      <c r="D186" s="2">
        <v>41663</v>
      </c>
      <c r="E186" s="1" t="s">
        <v>43</v>
      </c>
      <c r="F186" s="1" t="s">
        <v>318</v>
      </c>
      <c r="G186" s="1">
        <v>5</v>
      </c>
      <c r="H186" s="1">
        <v>67.84</v>
      </c>
      <c r="I186" s="1">
        <f t="shared" si="6"/>
        <v>339.20000000000005</v>
      </c>
      <c r="J186" t="str">
        <f t="shared" si="7"/>
        <v>Low</v>
      </c>
      <c r="K186" s="1"/>
      <c r="L186" s="1">
        <v>0.08</v>
      </c>
      <c r="M186" s="1">
        <v>0.99</v>
      </c>
      <c r="N186" s="1" t="s">
        <v>33</v>
      </c>
      <c r="O186" s="1" t="s">
        <v>34</v>
      </c>
      <c r="P186" s="2">
        <v>41668</v>
      </c>
      <c r="Q186" s="2" t="b">
        <f t="shared" si="8"/>
        <v>0</v>
      </c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</row>
    <row r="187" spans="1:35" ht="14.25" customHeight="1" x14ac:dyDescent="0.2">
      <c r="A187" s="1">
        <v>19234</v>
      </c>
      <c r="B187" s="1" t="s">
        <v>319</v>
      </c>
      <c r="C187" s="1" t="s">
        <v>30</v>
      </c>
      <c r="D187" s="2">
        <v>41663</v>
      </c>
      <c r="E187" s="1" t="s">
        <v>31</v>
      </c>
      <c r="F187" s="1" t="s">
        <v>181</v>
      </c>
      <c r="G187" s="1">
        <v>24</v>
      </c>
      <c r="H187" s="1">
        <v>14.42</v>
      </c>
      <c r="I187" s="1">
        <f t="shared" si="6"/>
        <v>346.08</v>
      </c>
      <c r="J187" t="str">
        <f t="shared" si="7"/>
        <v>Low</v>
      </c>
      <c r="K187" s="1"/>
      <c r="L187" s="1">
        <v>0.01</v>
      </c>
      <c r="M187" s="1">
        <v>6.75</v>
      </c>
      <c r="N187" s="1" t="s">
        <v>33</v>
      </c>
      <c r="O187" s="1" t="s">
        <v>72</v>
      </c>
      <c r="P187" s="2">
        <v>41663</v>
      </c>
      <c r="Q187" s="2" t="b">
        <f t="shared" si="8"/>
        <v>0</v>
      </c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</row>
    <row r="188" spans="1:35" ht="14.25" customHeight="1" x14ac:dyDescent="0.2">
      <c r="A188" s="1">
        <v>12869</v>
      </c>
      <c r="B188" s="1" t="s">
        <v>320</v>
      </c>
      <c r="C188" s="1" t="s">
        <v>21</v>
      </c>
      <c r="D188" s="2">
        <v>41664</v>
      </c>
      <c r="E188" s="1" t="s">
        <v>22</v>
      </c>
      <c r="F188" s="1" t="s">
        <v>321</v>
      </c>
      <c r="G188" s="1">
        <v>15</v>
      </c>
      <c r="H188" s="1">
        <v>125.99</v>
      </c>
      <c r="I188" s="1">
        <f t="shared" si="6"/>
        <v>1889.85</v>
      </c>
      <c r="J188" t="str">
        <f t="shared" si="7"/>
        <v>High</v>
      </c>
      <c r="K188" s="1"/>
      <c r="L188" s="1">
        <v>0.1</v>
      </c>
      <c r="M188" s="1">
        <v>8.99</v>
      </c>
      <c r="N188" s="1" t="s">
        <v>33</v>
      </c>
      <c r="O188" s="1" t="s">
        <v>34</v>
      </c>
      <c r="P188" s="2">
        <v>41667</v>
      </c>
      <c r="Q188" s="2" t="b">
        <f t="shared" si="8"/>
        <v>0</v>
      </c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</row>
    <row r="189" spans="1:35" ht="14.25" customHeight="1" x14ac:dyDescent="0.2">
      <c r="A189" s="1">
        <v>7043</v>
      </c>
      <c r="B189" s="1" t="s">
        <v>171</v>
      </c>
      <c r="C189" s="1" t="s">
        <v>21</v>
      </c>
      <c r="D189" s="2">
        <v>41664</v>
      </c>
      <c r="E189" s="1" t="s">
        <v>38</v>
      </c>
      <c r="F189" s="1" t="s">
        <v>322</v>
      </c>
      <c r="G189" s="1">
        <v>4</v>
      </c>
      <c r="H189" s="1">
        <v>1.74</v>
      </c>
      <c r="I189" s="1">
        <f t="shared" si="6"/>
        <v>6.96</v>
      </c>
      <c r="J189" t="str">
        <f t="shared" si="7"/>
        <v>Low</v>
      </c>
      <c r="K189" s="1"/>
      <c r="L189" s="1">
        <v>0.06</v>
      </c>
      <c r="M189" s="1">
        <v>4.08</v>
      </c>
      <c r="N189" s="1" t="s">
        <v>33</v>
      </c>
      <c r="O189" s="1" t="s">
        <v>84</v>
      </c>
      <c r="P189" s="2">
        <v>41665</v>
      </c>
      <c r="Q189" s="2" t="b">
        <f t="shared" si="8"/>
        <v>0</v>
      </c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</row>
    <row r="190" spans="1:35" ht="14.25" customHeight="1" x14ac:dyDescent="0.2">
      <c r="A190" s="1">
        <v>20422</v>
      </c>
      <c r="B190" s="1" t="s">
        <v>323</v>
      </c>
      <c r="C190" s="1" t="s">
        <v>30</v>
      </c>
      <c r="D190" s="2">
        <v>41665</v>
      </c>
      <c r="E190" s="1" t="s">
        <v>31</v>
      </c>
      <c r="F190" s="1" t="s">
        <v>324</v>
      </c>
      <c r="G190" s="1">
        <v>30</v>
      </c>
      <c r="H190" s="1">
        <v>14.34</v>
      </c>
      <c r="I190" s="1">
        <f t="shared" si="6"/>
        <v>430.2</v>
      </c>
      <c r="J190" t="str">
        <f t="shared" si="7"/>
        <v>Low</v>
      </c>
      <c r="K190" s="1"/>
      <c r="L190" s="1">
        <v>0.03</v>
      </c>
      <c r="M190" s="1">
        <v>5</v>
      </c>
      <c r="N190" s="1" t="s">
        <v>33</v>
      </c>
      <c r="O190" s="1" t="s">
        <v>84</v>
      </c>
      <c r="P190" s="2">
        <v>41666</v>
      </c>
      <c r="Q190" s="2" t="b">
        <f t="shared" si="8"/>
        <v>0</v>
      </c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</row>
    <row r="191" spans="1:35" ht="14.25" customHeight="1" x14ac:dyDescent="0.2">
      <c r="A191" s="1">
        <v>20422</v>
      </c>
      <c r="B191" s="1" t="s">
        <v>323</v>
      </c>
      <c r="C191" s="1" t="s">
        <v>51</v>
      </c>
      <c r="D191" s="2">
        <v>41665</v>
      </c>
      <c r="E191" s="1" t="s">
        <v>31</v>
      </c>
      <c r="F191" s="1" t="s">
        <v>305</v>
      </c>
      <c r="G191" s="1">
        <v>5</v>
      </c>
      <c r="H191" s="1">
        <v>2.89</v>
      </c>
      <c r="I191" s="1">
        <f t="shared" si="6"/>
        <v>14.450000000000001</v>
      </c>
      <c r="J191" t="str">
        <f t="shared" si="7"/>
        <v>Low</v>
      </c>
      <c r="K191" s="1"/>
      <c r="L191" s="1">
        <v>0.01</v>
      </c>
      <c r="M191" s="1">
        <v>0.5</v>
      </c>
      <c r="N191" s="1" t="s">
        <v>33</v>
      </c>
      <c r="O191" s="1" t="s">
        <v>34</v>
      </c>
      <c r="P191" s="2">
        <v>41667</v>
      </c>
      <c r="Q191" s="2" t="b">
        <f t="shared" si="8"/>
        <v>0</v>
      </c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</row>
    <row r="192" spans="1:35" ht="14.25" customHeight="1" x14ac:dyDescent="0.2">
      <c r="A192" s="1">
        <v>17186</v>
      </c>
      <c r="B192" s="1" t="s">
        <v>325</v>
      </c>
      <c r="C192" s="1" t="s">
        <v>21</v>
      </c>
      <c r="D192" s="2">
        <v>41665</v>
      </c>
      <c r="E192" s="1" t="s">
        <v>101</v>
      </c>
      <c r="F192" s="1" t="s">
        <v>326</v>
      </c>
      <c r="G192" s="1">
        <v>49</v>
      </c>
      <c r="H192" s="1">
        <v>90.98</v>
      </c>
      <c r="I192" s="1">
        <f t="shared" si="6"/>
        <v>4458.0200000000004</v>
      </c>
      <c r="J192" t="str">
        <f t="shared" si="7"/>
        <v>High</v>
      </c>
      <c r="K192" s="1"/>
      <c r="L192" s="1">
        <v>0.08</v>
      </c>
      <c r="M192" s="1">
        <v>56.2</v>
      </c>
      <c r="N192" s="1" t="s">
        <v>33</v>
      </c>
      <c r="O192" s="1" t="s">
        <v>72</v>
      </c>
      <c r="P192" s="2">
        <v>41667</v>
      </c>
      <c r="Q192" s="2" t="b">
        <f t="shared" si="8"/>
        <v>0</v>
      </c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</row>
    <row r="193" spans="1:35" ht="14.25" customHeight="1" x14ac:dyDescent="0.2">
      <c r="A193" s="1">
        <v>17186</v>
      </c>
      <c r="B193" s="1" t="s">
        <v>325</v>
      </c>
      <c r="C193" s="1" t="s">
        <v>30</v>
      </c>
      <c r="D193" s="2">
        <v>41665</v>
      </c>
      <c r="E193" s="1" t="s">
        <v>101</v>
      </c>
      <c r="F193" s="1" t="s">
        <v>327</v>
      </c>
      <c r="G193" s="1">
        <v>11</v>
      </c>
      <c r="H193" s="1">
        <v>5.98</v>
      </c>
      <c r="I193" s="1">
        <f t="shared" si="6"/>
        <v>65.78</v>
      </c>
      <c r="J193" t="str">
        <f t="shared" si="7"/>
        <v>Low</v>
      </c>
      <c r="K193" s="1"/>
      <c r="L193" s="1">
        <v>7.0000000000000007E-2</v>
      </c>
      <c r="M193" s="1">
        <v>5.35</v>
      </c>
      <c r="N193" s="1" t="s">
        <v>33</v>
      </c>
      <c r="O193" s="1" t="s">
        <v>34</v>
      </c>
      <c r="P193" s="2">
        <v>41667</v>
      </c>
      <c r="Q193" s="2" t="b">
        <f t="shared" si="8"/>
        <v>0</v>
      </c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</row>
    <row r="194" spans="1:35" ht="14.25" customHeight="1" x14ac:dyDescent="0.2">
      <c r="A194" s="1">
        <v>55937</v>
      </c>
      <c r="B194" s="1" t="s">
        <v>328</v>
      </c>
      <c r="C194" s="1" t="s">
        <v>51</v>
      </c>
      <c r="D194" s="2">
        <v>41665</v>
      </c>
      <c r="E194" s="1" t="s">
        <v>101</v>
      </c>
      <c r="F194" s="1" t="s">
        <v>329</v>
      </c>
      <c r="G194" s="1">
        <v>10</v>
      </c>
      <c r="H194" s="1">
        <v>39.979999999999997</v>
      </c>
      <c r="I194" s="1">
        <f t="shared" ref="I194:I257" si="9">G194*H194</f>
        <v>399.79999999999995</v>
      </c>
      <c r="J194" t="str">
        <f t="shared" ref="J194:J257" si="10">IF(I194&lt;1000,"Low","High")</f>
        <v>Low</v>
      </c>
      <c r="K194" s="1"/>
      <c r="L194" s="1">
        <v>0.09</v>
      </c>
      <c r="M194" s="1">
        <v>7.12</v>
      </c>
      <c r="N194" s="1" t="s">
        <v>33</v>
      </c>
      <c r="O194" s="1" t="s">
        <v>34</v>
      </c>
      <c r="P194" s="2">
        <v>41667</v>
      </c>
      <c r="Q194" s="2" t="b">
        <f t="shared" ref="Q194:Q257" si="11">AND(N194="Express Air",O194="Large Box")</f>
        <v>0</v>
      </c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</row>
    <row r="195" spans="1:35" ht="14.25" customHeight="1" x14ac:dyDescent="0.2">
      <c r="A195" s="1">
        <v>55937</v>
      </c>
      <c r="B195" s="1" t="s">
        <v>328</v>
      </c>
      <c r="C195" s="1" t="s">
        <v>51</v>
      </c>
      <c r="D195" s="2">
        <v>41665</v>
      </c>
      <c r="E195" s="1" t="s">
        <v>101</v>
      </c>
      <c r="F195" s="1" t="s">
        <v>330</v>
      </c>
      <c r="G195" s="1">
        <v>24</v>
      </c>
      <c r="H195" s="1">
        <v>376.13</v>
      </c>
      <c r="I195" s="1">
        <f t="shared" si="9"/>
        <v>9027.119999999999</v>
      </c>
      <c r="J195" t="str">
        <f t="shared" si="10"/>
        <v>High</v>
      </c>
      <c r="K195" s="1"/>
      <c r="L195" s="1">
        <v>0.06</v>
      </c>
      <c r="M195" s="1">
        <v>85.63</v>
      </c>
      <c r="N195" s="1" t="s">
        <v>45</v>
      </c>
      <c r="O195" s="1" t="s">
        <v>63</v>
      </c>
      <c r="P195" s="2">
        <v>41667</v>
      </c>
      <c r="Q195" s="2" t="b">
        <f t="shared" si="11"/>
        <v>0</v>
      </c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</row>
    <row r="196" spans="1:35" ht="14.25" customHeight="1" x14ac:dyDescent="0.2">
      <c r="A196" s="1">
        <v>24544</v>
      </c>
      <c r="B196" s="1" t="s">
        <v>277</v>
      </c>
      <c r="C196" s="1" t="s">
        <v>30</v>
      </c>
      <c r="D196" s="2">
        <v>41665</v>
      </c>
      <c r="E196" s="1" t="s">
        <v>31</v>
      </c>
      <c r="F196" s="1" t="s">
        <v>331</v>
      </c>
      <c r="G196" s="1">
        <v>31</v>
      </c>
      <c r="H196" s="1">
        <v>150.97999999999999</v>
      </c>
      <c r="I196" s="1">
        <f t="shared" si="9"/>
        <v>4680.38</v>
      </c>
      <c r="J196" t="str">
        <f t="shared" si="10"/>
        <v>High</v>
      </c>
      <c r="K196" s="1"/>
      <c r="L196" s="1">
        <v>0.08</v>
      </c>
      <c r="M196" s="1">
        <v>13.99</v>
      </c>
      <c r="N196" s="1" t="s">
        <v>25</v>
      </c>
      <c r="O196" s="1" t="s">
        <v>72</v>
      </c>
      <c r="P196" s="2">
        <v>41666</v>
      </c>
      <c r="Q196" s="2" t="b">
        <f t="shared" si="11"/>
        <v>0</v>
      </c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</row>
    <row r="197" spans="1:35" ht="14.25" customHeight="1" x14ac:dyDescent="0.2">
      <c r="A197" s="1">
        <v>24544</v>
      </c>
      <c r="B197" s="1" t="s">
        <v>277</v>
      </c>
      <c r="C197" s="1" t="s">
        <v>51</v>
      </c>
      <c r="D197" s="2">
        <v>41665</v>
      </c>
      <c r="E197" s="1" t="s">
        <v>31</v>
      </c>
      <c r="F197" s="1" t="s">
        <v>332</v>
      </c>
      <c r="G197" s="1">
        <v>15</v>
      </c>
      <c r="H197" s="1">
        <v>25.98</v>
      </c>
      <c r="I197" s="1">
        <f t="shared" si="9"/>
        <v>389.7</v>
      </c>
      <c r="J197" t="str">
        <f t="shared" si="10"/>
        <v>Low</v>
      </c>
      <c r="K197" s="1"/>
      <c r="L197" s="1">
        <v>0.03</v>
      </c>
      <c r="M197" s="1">
        <v>14.36</v>
      </c>
      <c r="N197" s="1" t="s">
        <v>45</v>
      </c>
      <c r="O197" s="1" t="s">
        <v>46</v>
      </c>
      <c r="P197" s="2">
        <v>41666</v>
      </c>
      <c r="Q197" s="2" t="b">
        <f t="shared" si="11"/>
        <v>0</v>
      </c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</row>
    <row r="198" spans="1:35" ht="14.25" customHeight="1" x14ac:dyDescent="0.2">
      <c r="A198" s="1">
        <v>24544</v>
      </c>
      <c r="B198" s="1" t="s">
        <v>277</v>
      </c>
      <c r="C198" s="1" t="s">
        <v>30</v>
      </c>
      <c r="D198" s="2">
        <v>41665</v>
      </c>
      <c r="E198" s="1" t="s">
        <v>31</v>
      </c>
      <c r="F198" s="1" t="s">
        <v>333</v>
      </c>
      <c r="G198" s="1">
        <v>39</v>
      </c>
      <c r="H198" s="1">
        <v>32.479999999999997</v>
      </c>
      <c r="I198" s="1">
        <f t="shared" si="9"/>
        <v>1266.7199999999998</v>
      </c>
      <c r="J198" t="str">
        <f t="shared" si="10"/>
        <v>High</v>
      </c>
      <c r="K198" s="1"/>
      <c r="L198" s="1">
        <v>0.1</v>
      </c>
      <c r="M198" s="1">
        <v>35</v>
      </c>
      <c r="N198" s="1" t="s">
        <v>33</v>
      </c>
      <c r="O198" s="1" t="s">
        <v>26</v>
      </c>
      <c r="P198" s="2">
        <v>41666</v>
      </c>
      <c r="Q198" s="2" t="b">
        <f t="shared" si="11"/>
        <v>0</v>
      </c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</row>
    <row r="199" spans="1:35" ht="14.25" customHeight="1" x14ac:dyDescent="0.2">
      <c r="A199" s="1">
        <v>15718</v>
      </c>
      <c r="B199" s="1" t="s">
        <v>334</v>
      </c>
      <c r="C199" s="1" t="s">
        <v>21</v>
      </c>
      <c r="D199" s="2">
        <v>41666</v>
      </c>
      <c r="E199" s="1" t="s">
        <v>38</v>
      </c>
      <c r="F199" s="1" t="s">
        <v>335</v>
      </c>
      <c r="G199" s="1">
        <v>36</v>
      </c>
      <c r="H199" s="1">
        <v>2.94</v>
      </c>
      <c r="I199" s="1">
        <f t="shared" si="9"/>
        <v>105.84</v>
      </c>
      <c r="J199" t="str">
        <f t="shared" si="10"/>
        <v>Low</v>
      </c>
      <c r="K199" s="1"/>
      <c r="L199" s="1">
        <v>0.09</v>
      </c>
      <c r="M199" s="1">
        <v>0.7</v>
      </c>
      <c r="N199" s="1" t="s">
        <v>33</v>
      </c>
      <c r="O199" s="1" t="s">
        <v>55</v>
      </c>
      <c r="P199" s="2">
        <v>41667</v>
      </c>
      <c r="Q199" s="2" t="b">
        <f t="shared" si="11"/>
        <v>0</v>
      </c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</row>
    <row r="200" spans="1:35" ht="14.25" customHeight="1" x14ac:dyDescent="0.2">
      <c r="A200" s="1">
        <v>11686</v>
      </c>
      <c r="B200" s="1" t="s">
        <v>315</v>
      </c>
      <c r="C200" s="1" t="s">
        <v>21</v>
      </c>
      <c r="D200" s="2">
        <v>41666</v>
      </c>
      <c r="E200" s="1" t="s">
        <v>22</v>
      </c>
      <c r="F200" s="1" t="s">
        <v>336</v>
      </c>
      <c r="G200" s="1">
        <v>38</v>
      </c>
      <c r="H200" s="1">
        <v>205.99</v>
      </c>
      <c r="I200" s="1">
        <f t="shared" si="9"/>
        <v>7827.6200000000008</v>
      </c>
      <c r="J200" t="str">
        <f t="shared" si="10"/>
        <v>High</v>
      </c>
      <c r="K200" s="1"/>
      <c r="L200" s="1">
        <v>0.08</v>
      </c>
      <c r="M200" s="1">
        <v>2.5</v>
      </c>
      <c r="N200" s="1" t="s">
        <v>33</v>
      </c>
      <c r="O200" s="1" t="s">
        <v>34</v>
      </c>
      <c r="P200" s="2">
        <v>41667</v>
      </c>
      <c r="Q200" s="2" t="b">
        <f t="shared" si="11"/>
        <v>0</v>
      </c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</row>
    <row r="201" spans="1:35" ht="14.25" customHeight="1" x14ac:dyDescent="0.2">
      <c r="A201" s="1">
        <v>15718</v>
      </c>
      <c r="B201" s="1" t="s">
        <v>334</v>
      </c>
      <c r="C201" s="1" t="s">
        <v>30</v>
      </c>
      <c r="D201" s="2">
        <v>41666</v>
      </c>
      <c r="E201" s="1" t="s">
        <v>38</v>
      </c>
      <c r="F201" s="1" t="s">
        <v>337</v>
      </c>
      <c r="G201" s="1">
        <v>41</v>
      </c>
      <c r="H201" s="1">
        <v>43.98</v>
      </c>
      <c r="I201" s="1">
        <f t="shared" si="9"/>
        <v>1803.1799999999998</v>
      </c>
      <c r="J201" t="str">
        <f t="shared" si="10"/>
        <v>High</v>
      </c>
      <c r="K201" s="1"/>
      <c r="L201" s="1">
        <v>0.03</v>
      </c>
      <c r="M201" s="1">
        <v>8.99</v>
      </c>
      <c r="N201" s="1" t="s">
        <v>33</v>
      </c>
      <c r="O201" s="1" t="s">
        <v>84</v>
      </c>
      <c r="P201" s="2">
        <v>41668</v>
      </c>
      <c r="Q201" s="2" t="b">
        <f t="shared" si="11"/>
        <v>0</v>
      </c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</row>
    <row r="202" spans="1:35" ht="14.25" customHeight="1" x14ac:dyDescent="0.2">
      <c r="A202" s="1">
        <v>15718</v>
      </c>
      <c r="B202" s="1" t="s">
        <v>334</v>
      </c>
      <c r="C202" s="1" t="s">
        <v>51</v>
      </c>
      <c r="D202" s="2">
        <v>41666</v>
      </c>
      <c r="E202" s="1" t="s">
        <v>38</v>
      </c>
      <c r="F202" s="1" t="s">
        <v>338</v>
      </c>
      <c r="G202" s="1">
        <v>50</v>
      </c>
      <c r="H202" s="1">
        <v>1.1399999999999999</v>
      </c>
      <c r="I202" s="1">
        <f t="shared" si="9"/>
        <v>56.999999999999993</v>
      </c>
      <c r="J202" t="str">
        <f t="shared" si="10"/>
        <v>Low</v>
      </c>
      <c r="K202" s="1"/>
      <c r="L202" s="1">
        <v>0.06</v>
      </c>
      <c r="M202" s="1">
        <v>0.7</v>
      </c>
      <c r="N202" s="1" t="s">
        <v>33</v>
      </c>
      <c r="O202" s="1" t="s">
        <v>55</v>
      </c>
      <c r="P202" s="2">
        <v>41669</v>
      </c>
      <c r="Q202" s="2" t="b">
        <f t="shared" si="11"/>
        <v>0</v>
      </c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</row>
    <row r="203" spans="1:35" ht="14.25" customHeight="1" x14ac:dyDescent="0.2">
      <c r="A203" s="1">
        <v>10530</v>
      </c>
      <c r="B203" s="1" t="s">
        <v>108</v>
      </c>
      <c r="C203" s="1" t="s">
        <v>51</v>
      </c>
      <c r="D203" s="2">
        <v>41666</v>
      </c>
      <c r="E203" s="1" t="s">
        <v>101</v>
      </c>
      <c r="F203" s="1" t="s">
        <v>59</v>
      </c>
      <c r="G203" s="1">
        <v>4</v>
      </c>
      <c r="H203" s="1">
        <v>110.99</v>
      </c>
      <c r="I203" s="1">
        <f t="shared" si="9"/>
        <v>443.96</v>
      </c>
      <c r="J203" t="str">
        <f t="shared" si="10"/>
        <v>Low</v>
      </c>
      <c r="K203" s="1"/>
      <c r="L203" s="1">
        <v>0.02</v>
      </c>
      <c r="M203" s="1">
        <v>2.5</v>
      </c>
      <c r="N203" s="1" t="s">
        <v>33</v>
      </c>
      <c r="O203" s="1" t="s">
        <v>34</v>
      </c>
      <c r="P203" s="2">
        <v>41668</v>
      </c>
      <c r="Q203" s="2" t="b">
        <f t="shared" si="11"/>
        <v>0</v>
      </c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</row>
    <row r="204" spans="1:35" ht="14.25" customHeight="1" x14ac:dyDescent="0.2">
      <c r="A204" s="1">
        <v>8868</v>
      </c>
      <c r="B204" s="1" t="s">
        <v>339</v>
      </c>
      <c r="C204" s="1" t="s">
        <v>21</v>
      </c>
      <c r="D204" s="2">
        <v>41667</v>
      </c>
      <c r="E204" s="1" t="s">
        <v>43</v>
      </c>
      <c r="F204" s="1" t="s">
        <v>187</v>
      </c>
      <c r="G204" s="1">
        <v>3</v>
      </c>
      <c r="H204" s="1">
        <v>59.98</v>
      </c>
      <c r="I204" s="1">
        <f t="shared" si="9"/>
        <v>179.94</v>
      </c>
      <c r="J204" t="str">
        <f t="shared" si="10"/>
        <v>Low</v>
      </c>
      <c r="K204" s="1"/>
      <c r="L204" s="1">
        <v>0.02</v>
      </c>
      <c r="M204" s="1">
        <v>3.99</v>
      </c>
      <c r="N204" s="1" t="s">
        <v>33</v>
      </c>
      <c r="O204" s="1" t="s">
        <v>34</v>
      </c>
      <c r="P204" s="2">
        <v>41676</v>
      </c>
      <c r="Q204" s="2" t="b">
        <f t="shared" si="11"/>
        <v>0</v>
      </c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</row>
    <row r="205" spans="1:35" ht="14.25" customHeight="1" x14ac:dyDescent="0.2">
      <c r="A205" s="1">
        <v>8868</v>
      </c>
      <c r="B205" s="1" t="s">
        <v>339</v>
      </c>
      <c r="C205" s="1" t="s">
        <v>30</v>
      </c>
      <c r="D205" s="2">
        <v>41667</v>
      </c>
      <c r="E205" s="1" t="s">
        <v>43</v>
      </c>
      <c r="F205" s="1" t="s">
        <v>340</v>
      </c>
      <c r="G205" s="1">
        <v>34</v>
      </c>
      <c r="H205" s="1">
        <v>5.18</v>
      </c>
      <c r="I205" s="1">
        <f t="shared" si="9"/>
        <v>176.12</v>
      </c>
      <c r="J205" t="str">
        <f t="shared" si="10"/>
        <v>Low</v>
      </c>
      <c r="K205" s="1"/>
      <c r="L205" s="1">
        <v>0.03</v>
      </c>
      <c r="M205" s="1">
        <v>5.74</v>
      </c>
      <c r="N205" s="1" t="s">
        <v>33</v>
      </c>
      <c r="O205" s="1" t="s">
        <v>34</v>
      </c>
      <c r="P205" s="2">
        <v>41671</v>
      </c>
      <c r="Q205" s="2" t="b">
        <f t="shared" si="11"/>
        <v>0</v>
      </c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</row>
    <row r="206" spans="1:35" ht="14.25" customHeight="1" x14ac:dyDescent="0.2">
      <c r="A206" s="1">
        <v>19047</v>
      </c>
      <c r="B206" s="1" t="s">
        <v>341</v>
      </c>
      <c r="C206" s="1" t="s">
        <v>51</v>
      </c>
      <c r="D206" s="2">
        <v>41667</v>
      </c>
      <c r="E206" s="1" t="s">
        <v>31</v>
      </c>
      <c r="F206" s="1" t="s">
        <v>342</v>
      </c>
      <c r="G206" s="1">
        <v>1</v>
      </c>
      <c r="H206" s="1">
        <v>55.48</v>
      </c>
      <c r="I206" s="1">
        <f t="shared" si="9"/>
        <v>55.48</v>
      </c>
      <c r="J206" t="str">
        <f t="shared" si="10"/>
        <v>Low</v>
      </c>
      <c r="K206" s="1"/>
      <c r="L206" s="1">
        <v>0.06</v>
      </c>
      <c r="M206" s="1">
        <v>14.3</v>
      </c>
      <c r="N206" s="1" t="s">
        <v>33</v>
      </c>
      <c r="O206" s="1" t="s">
        <v>34</v>
      </c>
      <c r="P206" s="2">
        <v>41668</v>
      </c>
      <c r="Q206" s="2" t="b">
        <f t="shared" si="11"/>
        <v>0</v>
      </c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</row>
    <row r="207" spans="1:35" ht="14.25" customHeight="1" x14ac:dyDescent="0.2">
      <c r="A207" s="1">
        <v>19047</v>
      </c>
      <c r="B207" s="1" t="s">
        <v>341</v>
      </c>
      <c r="C207" s="1" t="s">
        <v>51</v>
      </c>
      <c r="D207" s="2">
        <v>41667</v>
      </c>
      <c r="E207" s="1" t="s">
        <v>31</v>
      </c>
      <c r="F207" s="1" t="s">
        <v>245</v>
      </c>
      <c r="G207" s="1">
        <v>3</v>
      </c>
      <c r="H207" s="1">
        <v>1.68</v>
      </c>
      <c r="I207" s="1">
        <f t="shared" si="9"/>
        <v>5.04</v>
      </c>
      <c r="J207" t="str">
        <f t="shared" si="10"/>
        <v>Low</v>
      </c>
      <c r="K207" s="1"/>
      <c r="L207" s="1">
        <v>0.02</v>
      </c>
      <c r="M207" s="1">
        <v>1.57</v>
      </c>
      <c r="N207" s="1" t="s">
        <v>33</v>
      </c>
      <c r="O207" s="1" t="s">
        <v>55</v>
      </c>
      <c r="P207" s="2">
        <v>41669</v>
      </c>
      <c r="Q207" s="2" t="b">
        <f t="shared" si="11"/>
        <v>0</v>
      </c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</row>
    <row r="208" spans="1:35" ht="14.25" customHeight="1" x14ac:dyDescent="0.2">
      <c r="A208" s="1">
        <v>17155</v>
      </c>
      <c r="B208" s="1" t="s">
        <v>343</v>
      </c>
      <c r="C208" s="1" t="s">
        <v>30</v>
      </c>
      <c r="D208" s="2">
        <v>41667</v>
      </c>
      <c r="E208" s="1" t="s">
        <v>101</v>
      </c>
      <c r="F208" s="1" t="s">
        <v>344</v>
      </c>
      <c r="G208" s="1">
        <v>36</v>
      </c>
      <c r="H208" s="1">
        <v>6.88</v>
      </c>
      <c r="I208" s="1">
        <f t="shared" si="9"/>
        <v>247.68</v>
      </c>
      <c r="J208" t="str">
        <f t="shared" si="10"/>
        <v>Low</v>
      </c>
      <c r="K208" s="1"/>
      <c r="L208" s="1">
        <v>0</v>
      </c>
      <c r="M208" s="1">
        <v>2</v>
      </c>
      <c r="N208" s="1" t="s">
        <v>25</v>
      </c>
      <c r="O208" s="1" t="s">
        <v>55</v>
      </c>
      <c r="P208" s="2">
        <v>41668</v>
      </c>
      <c r="Q208" s="2" t="b">
        <f t="shared" si="11"/>
        <v>0</v>
      </c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</row>
    <row r="209" spans="1:35" ht="14.25" customHeight="1" x14ac:dyDescent="0.2">
      <c r="A209" s="1">
        <v>17155</v>
      </c>
      <c r="B209" s="1" t="s">
        <v>343</v>
      </c>
      <c r="C209" s="1" t="s">
        <v>30</v>
      </c>
      <c r="D209" s="2">
        <v>41667</v>
      </c>
      <c r="E209" s="1" t="s">
        <v>101</v>
      </c>
      <c r="F209" s="1" t="s">
        <v>333</v>
      </c>
      <c r="G209" s="1">
        <v>31</v>
      </c>
      <c r="H209" s="1">
        <v>32.479999999999997</v>
      </c>
      <c r="I209" s="1">
        <f t="shared" si="9"/>
        <v>1006.8799999999999</v>
      </c>
      <c r="J209" t="str">
        <f t="shared" si="10"/>
        <v>High</v>
      </c>
      <c r="K209" s="1"/>
      <c r="L209" s="1">
        <v>0.03</v>
      </c>
      <c r="M209" s="1">
        <v>35</v>
      </c>
      <c r="N209" s="1" t="s">
        <v>25</v>
      </c>
      <c r="O209" s="1" t="s">
        <v>26</v>
      </c>
      <c r="P209" s="2">
        <v>41667</v>
      </c>
      <c r="Q209" s="2" t="b">
        <f t="shared" si="11"/>
        <v>1</v>
      </c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</row>
    <row r="210" spans="1:35" ht="14.25" customHeight="1" x14ac:dyDescent="0.2">
      <c r="A210" s="1">
        <v>20480</v>
      </c>
      <c r="B210" s="1" t="s">
        <v>345</v>
      </c>
      <c r="C210" s="1" t="s">
        <v>30</v>
      </c>
      <c r="D210" s="2">
        <v>41668</v>
      </c>
      <c r="E210" s="1" t="s">
        <v>101</v>
      </c>
      <c r="F210" s="1" t="s">
        <v>346</v>
      </c>
      <c r="G210" s="1">
        <v>4</v>
      </c>
      <c r="H210" s="1">
        <v>240.98</v>
      </c>
      <c r="I210" s="1">
        <f t="shared" si="9"/>
        <v>963.92</v>
      </c>
      <c r="J210" t="str">
        <f t="shared" si="10"/>
        <v>Low</v>
      </c>
      <c r="K210" s="1"/>
      <c r="L210" s="1">
        <v>0.02</v>
      </c>
      <c r="M210" s="1">
        <v>60.2</v>
      </c>
      <c r="N210" s="1" t="s">
        <v>45</v>
      </c>
      <c r="O210" s="1" t="s">
        <v>63</v>
      </c>
      <c r="P210" s="2">
        <v>41670</v>
      </c>
      <c r="Q210" s="2" t="b">
        <f t="shared" si="11"/>
        <v>0</v>
      </c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</row>
    <row r="211" spans="1:35" ht="14.25" customHeight="1" x14ac:dyDescent="0.2">
      <c r="A211" s="1">
        <v>20480</v>
      </c>
      <c r="B211" s="1" t="s">
        <v>345</v>
      </c>
      <c r="C211" s="1" t="s">
        <v>21</v>
      </c>
      <c r="D211" s="2">
        <v>41668</v>
      </c>
      <c r="E211" s="1" t="s">
        <v>101</v>
      </c>
      <c r="F211" s="1" t="s">
        <v>347</v>
      </c>
      <c r="G211" s="1">
        <v>38</v>
      </c>
      <c r="H211" s="1">
        <v>420.98</v>
      </c>
      <c r="I211" s="1">
        <f t="shared" si="9"/>
        <v>15997.240000000002</v>
      </c>
      <c r="J211" t="str">
        <f t="shared" si="10"/>
        <v>High</v>
      </c>
      <c r="K211" s="1"/>
      <c r="L211" s="1">
        <v>0.02</v>
      </c>
      <c r="M211" s="1">
        <v>19.989999999999998</v>
      </c>
      <c r="N211" s="1" t="s">
        <v>33</v>
      </c>
      <c r="O211" s="1" t="s">
        <v>34</v>
      </c>
      <c r="P211" s="2">
        <v>41671</v>
      </c>
      <c r="Q211" s="2" t="b">
        <f t="shared" si="11"/>
        <v>0</v>
      </c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</row>
    <row r="212" spans="1:35" ht="14.25" customHeight="1" x14ac:dyDescent="0.2">
      <c r="A212" s="1">
        <v>20484</v>
      </c>
      <c r="B212" s="1" t="s">
        <v>348</v>
      </c>
      <c r="C212" s="1" t="s">
        <v>51</v>
      </c>
      <c r="D212" s="2">
        <v>41668</v>
      </c>
      <c r="E212" s="1" t="s">
        <v>38</v>
      </c>
      <c r="F212" s="1" t="s">
        <v>349</v>
      </c>
      <c r="G212" s="1">
        <v>14</v>
      </c>
      <c r="H212" s="1">
        <v>95.99</v>
      </c>
      <c r="I212" s="1">
        <f t="shared" si="9"/>
        <v>1343.86</v>
      </c>
      <c r="J212" t="str">
        <f t="shared" si="10"/>
        <v>High</v>
      </c>
      <c r="K212" s="1"/>
      <c r="L212" s="1">
        <v>0.09</v>
      </c>
      <c r="M212" s="1">
        <v>4.9000000000000004</v>
      </c>
      <c r="N212" s="1" t="s">
        <v>33</v>
      </c>
      <c r="O212" s="1" t="s">
        <v>34</v>
      </c>
      <c r="P212" s="2">
        <v>41670</v>
      </c>
      <c r="Q212" s="2" t="b">
        <f t="shared" si="11"/>
        <v>0</v>
      </c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</row>
    <row r="213" spans="1:35" ht="14.25" customHeight="1" x14ac:dyDescent="0.2">
      <c r="A213" s="1">
        <v>5316</v>
      </c>
      <c r="B213" s="1" t="s">
        <v>350</v>
      </c>
      <c r="C213" s="1" t="s">
        <v>51</v>
      </c>
      <c r="D213" s="2">
        <v>41669</v>
      </c>
      <c r="E213" s="1" t="s">
        <v>38</v>
      </c>
      <c r="F213" s="1" t="s">
        <v>351</v>
      </c>
      <c r="G213" s="1">
        <v>42</v>
      </c>
      <c r="H213" s="1">
        <v>31.78</v>
      </c>
      <c r="I213" s="1">
        <f t="shared" si="9"/>
        <v>1334.76</v>
      </c>
      <c r="J213" t="str">
        <f t="shared" si="10"/>
        <v>High</v>
      </c>
      <c r="K213" s="1"/>
      <c r="L213" s="1">
        <v>0.1</v>
      </c>
      <c r="M213" s="1">
        <v>1.99</v>
      </c>
      <c r="N213" s="1" t="s">
        <v>33</v>
      </c>
      <c r="O213" s="1" t="s">
        <v>84</v>
      </c>
      <c r="P213" s="2">
        <v>41671</v>
      </c>
      <c r="Q213" s="2" t="b">
        <f t="shared" si="11"/>
        <v>0</v>
      </c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</row>
    <row r="214" spans="1:35" ht="14.25" customHeight="1" x14ac:dyDescent="0.2">
      <c r="A214" s="1">
        <v>21383</v>
      </c>
      <c r="B214" s="1" t="s">
        <v>188</v>
      </c>
      <c r="C214" s="1" t="s">
        <v>51</v>
      </c>
      <c r="D214" s="2">
        <v>41669</v>
      </c>
      <c r="E214" s="1" t="s">
        <v>43</v>
      </c>
      <c r="F214" s="1" t="s">
        <v>66</v>
      </c>
      <c r="G214" s="1">
        <v>31</v>
      </c>
      <c r="H214" s="1">
        <v>574.74</v>
      </c>
      <c r="I214" s="1">
        <f t="shared" si="9"/>
        <v>17816.939999999999</v>
      </c>
      <c r="J214" t="str">
        <f t="shared" si="10"/>
        <v>High</v>
      </c>
      <c r="K214" s="1"/>
      <c r="L214" s="1">
        <v>7.0000000000000007E-2</v>
      </c>
      <c r="M214" s="1">
        <v>24.49</v>
      </c>
      <c r="N214" s="1" t="s">
        <v>33</v>
      </c>
      <c r="O214" s="1" t="s">
        <v>26</v>
      </c>
      <c r="P214" s="2">
        <v>41674</v>
      </c>
      <c r="Q214" s="2" t="b">
        <f t="shared" si="11"/>
        <v>0</v>
      </c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</row>
    <row r="215" spans="1:35" ht="14.25" customHeight="1" x14ac:dyDescent="0.2">
      <c r="A215" s="1">
        <v>35847</v>
      </c>
      <c r="B215" s="1" t="s">
        <v>352</v>
      </c>
      <c r="C215" s="1" t="s">
        <v>51</v>
      </c>
      <c r="D215" s="2">
        <v>41669</v>
      </c>
      <c r="E215" s="1" t="s">
        <v>38</v>
      </c>
      <c r="F215" s="1" t="s">
        <v>353</v>
      </c>
      <c r="G215" s="1">
        <v>23</v>
      </c>
      <c r="H215" s="1">
        <v>15.98</v>
      </c>
      <c r="I215" s="1">
        <f t="shared" si="9"/>
        <v>367.54</v>
      </c>
      <c r="J215" t="str">
        <f t="shared" si="10"/>
        <v>Low</v>
      </c>
      <c r="K215" s="1"/>
      <c r="L215" s="1">
        <v>0.08</v>
      </c>
      <c r="M215" s="1">
        <v>8.99</v>
      </c>
      <c r="N215" s="1" t="s">
        <v>25</v>
      </c>
      <c r="O215" s="1" t="s">
        <v>84</v>
      </c>
      <c r="P215" s="2">
        <v>41669</v>
      </c>
      <c r="Q215" s="2" t="b">
        <f t="shared" si="11"/>
        <v>0</v>
      </c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</row>
    <row r="216" spans="1:35" ht="14.25" customHeight="1" x14ac:dyDescent="0.2">
      <c r="A216" s="1">
        <v>30341</v>
      </c>
      <c r="B216" s="1" t="s">
        <v>354</v>
      </c>
      <c r="C216" s="1" t="s">
        <v>51</v>
      </c>
      <c r="D216" s="2">
        <v>41670</v>
      </c>
      <c r="E216" s="1" t="s">
        <v>43</v>
      </c>
      <c r="F216" s="1" t="s">
        <v>355</v>
      </c>
      <c r="G216" s="1">
        <v>42</v>
      </c>
      <c r="H216" s="1">
        <v>160.97999999999999</v>
      </c>
      <c r="I216" s="1">
        <f t="shared" si="9"/>
        <v>6761.16</v>
      </c>
      <c r="J216" t="str">
        <f t="shared" si="10"/>
        <v>High</v>
      </c>
      <c r="K216" s="1"/>
      <c r="L216" s="1">
        <v>0.09</v>
      </c>
      <c r="M216" s="1">
        <v>30</v>
      </c>
      <c r="N216" s="1" t="s">
        <v>45</v>
      </c>
      <c r="O216" s="1" t="s">
        <v>46</v>
      </c>
      <c r="P216" s="2">
        <v>41670</v>
      </c>
      <c r="Q216" s="2" t="b">
        <f t="shared" si="11"/>
        <v>0</v>
      </c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</row>
    <row r="217" spans="1:35" ht="14.25" customHeight="1" x14ac:dyDescent="0.2">
      <c r="A217" s="1">
        <v>30341</v>
      </c>
      <c r="B217" s="1" t="s">
        <v>354</v>
      </c>
      <c r="C217" s="1" t="s">
        <v>30</v>
      </c>
      <c r="D217" s="2">
        <v>41670</v>
      </c>
      <c r="E217" s="1" t="s">
        <v>43</v>
      </c>
      <c r="F217" s="1" t="s">
        <v>356</v>
      </c>
      <c r="G217" s="1">
        <v>41</v>
      </c>
      <c r="H217" s="1">
        <v>6.3</v>
      </c>
      <c r="I217" s="1">
        <f t="shared" si="9"/>
        <v>258.3</v>
      </c>
      <c r="J217" t="str">
        <f t="shared" si="10"/>
        <v>Low</v>
      </c>
      <c r="K217" s="1"/>
      <c r="L217" s="1">
        <v>0.09</v>
      </c>
      <c r="M217" s="1">
        <v>0.5</v>
      </c>
      <c r="N217" s="1" t="s">
        <v>33</v>
      </c>
      <c r="O217" s="1" t="s">
        <v>34</v>
      </c>
      <c r="P217" s="2">
        <v>41670</v>
      </c>
      <c r="Q217" s="2" t="b">
        <f t="shared" si="11"/>
        <v>0</v>
      </c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</row>
    <row r="218" spans="1:35" ht="14.25" customHeight="1" x14ac:dyDescent="0.2">
      <c r="A218" s="1">
        <v>30341</v>
      </c>
      <c r="B218" s="1" t="s">
        <v>354</v>
      </c>
      <c r="C218" s="1" t="s">
        <v>30</v>
      </c>
      <c r="D218" s="2">
        <v>41670</v>
      </c>
      <c r="E218" s="1" t="s">
        <v>43</v>
      </c>
      <c r="F218" s="1" t="s">
        <v>357</v>
      </c>
      <c r="G218" s="1">
        <v>30</v>
      </c>
      <c r="H218" s="1">
        <v>4.9800000000000004</v>
      </c>
      <c r="I218" s="1">
        <f t="shared" si="9"/>
        <v>149.4</v>
      </c>
      <c r="J218" t="str">
        <f t="shared" si="10"/>
        <v>Low</v>
      </c>
      <c r="K218" s="1"/>
      <c r="L218" s="1">
        <v>0</v>
      </c>
      <c r="M218" s="1">
        <v>0.8</v>
      </c>
      <c r="N218" s="1" t="s">
        <v>33</v>
      </c>
      <c r="O218" s="1" t="s">
        <v>55</v>
      </c>
      <c r="P218" s="2">
        <v>41677</v>
      </c>
      <c r="Q218" s="2" t="b">
        <f t="shared" si="11"/>
        <v>0</v>
      </c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</row>
    <row r="219" spans="1:35" ht="14.25" customHeight="1" x14ac:dyDescent="0.2">
      <c r="A219" s="1">
        <v>18595</v>
      </c>
      <c r="B219" s="1" t="s">
        <v>358</v>
      </c>
      <c r="C219" s="1" t="s">
        <v>51</v>
      </c>
      <c r="D219" s="2">
        <v>41670</v>
      </c>
      <c r="E219" s="1" t="s">
        <v>38</v>
      </c>
      <c r="F219" s="1" t="s">
        <v>359</v>
      </c>
      <c r="G219" s="1">
        <v>6</v>
      </c>
      <c r="H219" s="1">
        <v>78.650000000000006</v>
      </c>
      <c r="I219" s="1">
        <f t="shared" si="9"/>
        <v>471.90000000000003</v>
      </c>
      <c r="J219" t="str">
        <f t="shared" si="10"/>
        <v>Low</v>
      </c>
      <c r="K219" s="1"/>
      <c r="L219" s="1">
        <v>0.1</v>
      </c>
      <c r="M219" s="1">
        <v>13.99</v>
      </c>
      <c r="N219" s="1" t="s">
        <v>33</v>
      </c>
      <c r="O219" s="1" t="s">
        <v>72</v>
      </c>
      <c r="P219" s="2">
        <v>41672</v>
      </c>
      <c r="Q219" s="2" t="b">
        <f t="shared" si="11"/>
        <v>0</v>
      </c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</row>
    <row r="220" spans="1:35" ht="14.25" customHeight="1" x14ac:dyDescent="0.2">
      <c r="A220" s="1">
        <v>18595</v>
      </c>
      <c r="B220" s="1" t="s">
        <v>358</v>
      </c>
      <c r="C220" s="1" t="s">
        <v>30</v>
      </c>
      <c r="D220" s="2">
        <v>41670</v>
      </c>
      <c r="E220" s="1" t="s">
        <v>38</v>
      </c>
      <c r="F220" s="1" t="s">
        <v>360</v>
      </c>
      <c r="G220" s="1">
        <v>16</v>
      </c>
      <c r="H220" s="1">
        <v>8.34</v>
      </c>
      <c r="I220" s="1">
        <f t="shared" si="9"/>
        <v>133.44</v>
      </c>
      <c r="J220" t="str">
        <f t="shared" si="10"/>
        <v>Low</v>
      </c>
      <c r="K220" s="1"/>
      <c r="L220" s="1">
        <v>0.03</v>
      </c>
      <c r="M220" s="1">
        <v>2.64</v>
      </c>
      <c r="N220" s="1" t="s">
        <v>33</v>
      </c>
      <c r="O220" s="1" t="s">
        <v>84</v>
      </c>
      <c r="P220" s="2">
        <v>41672</v>
      </c>
      <c r="Q220" s="2" t="b">
        <f t="shared" si="11"/>
        <v>0</v>
      </c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</row>
    <row r="221" spans="1:35" ht="14.25" customHeight="1" x14ac:dyDescent="0.2">
      <c r="A221" s="1">
        <v>52416</v>
      </c>
      <c r="B221" s="1" t="s">
        <v>361</v>
      </c>
      <c r="C221" s="1" t="s">
        <v>30</v>
      </c>
      <c r="D221" s="2">
        <v>41670</v>
      </c>
      <c r="E221" s="1" t="s">
        <v>22</v>
      </c>
      <c r="F221" s="1" t="s">
        <v>99</v>
      </c>
      <c r="G221" s="1">
        <v>6</v>
      </c>
      <c r="H221" s="1">
        <v>7.64</v>
      </c>
      <c r="I221" s="1">
        <f t="shared" si="9"/>
        <v>45.839999999999996</v>
      </c>
      <c r="J221" t="str">
        <f t="shared" si="10"/>
        <v>Low</v>
      </c>
      <c r="K221" s="1"/>
      <c r="L221" s="1">
        <v>0.05</v>
      </c>
      <c r="M221" s="1">
        <v>5.83</v>
      </c>
      <c r="N221" s="1" t="s">
        <v>33</v>
      </c>
      <c r="O221" s="1" t="s">
        <v>55</v>
      </c>
      <c r="P221" s="2">
        <v>41672</v>
      </c>
      <c r="Q221" s="2" t="b">
        <f t="shared" si="11"/>
        <v>0</v>
      </c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</row>
    <row r="222" spans="1:35" ht="14.25" customHeight="1" x14ac:dyDescent="0.2">
      <c r="A222" s="1">
        <v>52416</v>
      </c>
      <c r="B222" s="1" t="s">
        <v>361</v>
      </c>
      <c r="C222" s="1" t="s">
        <v>30</v>
      </c>
      <c r="D222" s="2">
        <v>41670</v>
      </c>
      <c r="E222" s="1" t="s">
        <v>22</v>
      </c>
      <c r="F222" s="1" t="s">
        <v>362</v>
      </c>
      <c r="G222" s="1">
        <v>40</v>
      </c>
      <c r="H222" s="1">
        <v>218.75</v>
      </c>
      <c r="I222" s="1">
        <f t="shared" si="9"/>
        <v>8750</v>
      </c>
      <c r="J222" t="str">
        <f t="shared" si="10"/>
        <v>High</v>
      </c>
      <c r="K222" s="1"/>
      <c r="L222" s="1">
        <v>0.04</v>
      </c>
      <c r="M222" s="1">
        <v>69.64</v>
      </c>
      <c r="N222" s="1" t="s">
        <v>45</v>
      </c>
      <c r="O222" s="1" t="s">
        <v>63</v>
      </c>
      <c r="P222" s="2">
        <v>41671</v>
      </c>
      <c r="Q222" s="2" t="b">
        <f t="shared" si="11"/>
        <v>0</v>
      </c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</row>
    <row r="223" spans="1:35" ht="14.25" customHeight="1" x14ac:dyDescent="0.2">
      <c r="A223" s="1">
        <v>40101</v>
      </c>
      <c r="B223" s="1" t="s">
        <v>248</v>
      </c>
      <c r="C223" s="1" t="s">
        <v>30</v>
      </c>
      <c r="D223" s="2">
        <v>41670</v>
      </c>
      <c r="E223" s="1" t="s">
        <v>43</v>
      </c>
      <c r="F223" s="1" t="s">
        <v>363</v>
      </c>
      <c r="G223" s="1">
        <v>46</v>
      </c>
      <c r="H223" s="1">
        <v>49.99</v>
      </c>
      <c r="I223" s="1">
        <f t="shared" si="9"/>
        <v>2299.54</v>
      </c>
      <c r="J223" t="str">
        <f t="shared" si="10"/>
        <v>High</v>
      </c>
      <c r="K223" s="1"/>
      <c r="L223" s="1">
        <v>0.1</v>
      </c>
      <c r="M223" s="1">
        <v>19.989999999999998</v>
      </c>
      <c r="N223" s="1" t="s">
        <v>25</v>
      </c>
      <c r="O223" s="1" t="s">
        <v>34</v>
      </c>
      <c r="P223" s="2">
        <v>41675</v>
      </c>
      <c r="Q223" s="2" t="b">
        <f t="shared" si="11"/>
        <v>0</v>
      </c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</row>
    <row r="224" spans="1:35" ht="14.25" customHeight="1" x14ac:dyDescent="0.2">
      <c r="A224" s="1">
        <v>15270</v>
      </c>
      <c r="B224" s="1" t="s">
        <v>364</v>
      </c>
      <c r="C224" s="1" t="s">
        <v>21</v>
      </c>
      <c r="D224" s="2">
        <v>41670</v>
      </c>
      <c r="E224" s="1" t="s">
        <v>22</v>
      </c>
      <c r="F224" s="1" t="s">
        <v>365</v>
      </c>
      <c r="G224" s="1">
        <v>36</v>
      </c>
      <c r="H224" s="1">
        <v>6.98</v>
      </c>
      <c r="I224" s="1">
        <f t="shared" si="9"/>
        <v>251.28000000000003</v>
      </c>
      <c r="J224" t="str">
        <f t="shared" si="10"/>
        <v>Low</v>
      </c>
      <c r="K224" s="1"/>
      <c r="L224" s="1">
        <v>0</v>
      </c>
      <c r="M224" s="1">
        <v>1.6</v>
      </c>
      <c r="N224" s="1" t="s">
        <v>33</v>
      </c>
      <c r="O224" s="1" t="s">
        <v>55</v>
      </c>
      <c r="P224" s="2">
        <v>41672</v>
      </c>
      <c r="Q224" s="2" t="b">
        <f t="shared" si="11"/>
        <v>0</v>
      </c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</row>
    <row r="225" spans="1:35" ht="14.25" customHeight="1" x14ac:dyDescent="0.2">
      <c r="A225" s="1">
        <v>4454</v>
      </c>
      <c r="B225" s="1" t="s">
        <v>259</v>
      </c>
      <c r="C225" s="1" t="s">
        <v>30</v>
      </c>
      <c r="D225" s="2">
        <v>41671</v>
      </c>
      <c r="E225" s="1" t="s">
        <v>43</v>
      </c>
      <c r="F225" s="1" t="s">
        <v>366</v>
      </c>
      <c r="G225" s="1">
        <v>17</v>
      </c>
      <c r="H225" s="1">
        <v>3.08</v>
      </c>
      <c r="I225" s="1">
        <f t="shared" si="9"/>
        <v>52.36</v>
      </c>
      <c r="J225" t="str">
        <f t="shared" si="10"/>
        <v>Low</v>
      </c>
      <c r="K225" s="1"/>
      <c r="L225" s="1">
        <v>0.01</v>
      </c>
      <c r="M225" s="1">
        <v>0.5</v>
      </c>
      <c r="N225" s="1" t="s">
        <v>33</v>
      </c>
      <c r="O225" s="1" t="s">
        <v>34</v>
      </c>
      <c r="P225" s="2">
        <v>41676</v>
      </c>
      <c r="Q225" s="2" t="b">
        <f t="shared" si="11"/>
        <v>0</v>
      </c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</row>
    <row r="226" spans="1:35" ht="14.25" customHeight="1" x14ac:dyDescent="0.2">
      <c r="A226" s="1">
        <v>32676</v>
      </c>
      <c r="B226" s="1" t="s">
        <v>367</v>
      </c>
      <c r="C226" s="1" t="s">
        <v>30</v>
      </c>
      <c r="D226" s="2">
        <v>41671</v>
      </c>
      <c r="E226" s="1" t="s">
        <v>38</v>
      </c>
      <c r="F226" s="1" t="s">
        <v>368</v>
      </c>
      <c r="G226" s="1">
        <v>37</v>
      </c>
      <c r="H226" s="1">
        <v>45.19</v>
      </c>
      <c r="I226" s="1">
        <f t="shared" si="9"/>
        <v>1672.03</v>
      </c>
      <c r="J226" t="str">
        <f t="shared" si="10"/>
        <v>High</v>
      </c>
      <c r="K226" s="1"/>
      <c r="L226" s="1">
        <v>0.06</v>
      </c>
      <c r="M226" s="1">
        <v>1.99</v>
      </c>
      <c r="N226" s="1" t="s">
        <v>33</v>
      </c>
      <c r="O226" s="1" t="s">
        <v>84</v>
      </c>
      <c r="P226" s="2">
        <v>41674</v>
      </c>
      <c r="Q226" s="2" t="b">
        <f t="shared" si="11"/>
        <v>0</v>
      </c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</row>
    <row r="227" spans="1:35" ht="14.25" customHeight="1" x14ac:dyDescent="0.2">
      <c r="A227" s="1">
        <v>30053</v>
      </c>
      <c r="B227" s="1" t="s">
        <v>369</v>
      </c>
      <c r="C227" s="1" t="s">
        <v>51</v>
      </c>
      <c r="D227" s="2">
        <v>41671</v>
      </c>
      <c r="E227" s="1" t="s">
        <v>38</v>
      </c>
      <c r="F227" s="1" t="s">
        <v>370</v>
      </c>
      <c r="G227" s="1">
        <v>41</v>
      </c>
      <c r="H227" s="1">
        <v>80.97</v>
      </c>
      <c r="I227" s="1">
        <f t="shared" si="9"/>
        <v>3319.77</v>
      </c>
      <c r="J227" t="str">
        <f t="shared" si="10"/>
        <v>High</v>
      </c>
      <c r="K227" s="1"/>
      <c r="L227" s="1">
        <v>0.06</v>
      </c>
      <c r="M227" s="1">
        <v>33.6</v>
      </c>
      <c r="N227" s="1" t="s">
        <v>45</v>
      </c>
      <c r="O227" s="1" t="s">
        <v>46</v>
      </c>
      <c r="P227" s="2">
        <v>41673</v>
      </c>
      <c r="Q227" s="2" t="b">
        <f t="shared" si="11"/>
        <v>0</v>
      </c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</row>
    <row r="228" spans="1:35" ht="14.25" customHeight="1" x14ac:dyDescent="0.2">
      <c r="A228" s="1">
        <v>13604</v>
      </c>
      <c r="B228" s="1" t="s">
        <v>259</v>
      </c>
      <c r="C228" s="1" t="s">
        <v>51</v>
      </c>
      <c r="D228" s="2">
        <v>41672</v>
      </c>
      <c r="E228" s="1" t="s">
        <v>22</v>
      </c>
      <c r="F228" s="1" t="s">
        <v>371</v>
      </c>
      <c r="G228" s="1">
        <v>38</v>
      </c>
      <c r="H228" s="1">
        <v>83.1</v>
      </c>
      <c r="I228" s="1">
        <f t="shared" si="9"/>
        <v>3157.7999999999997</v>
      </c>
      <c r="J228" t="str">
        <f t="shared" si="10"/>
        <v>High</v>
      </c>
      <c r="K228" s="1"/>
      <c r="L228" s="1">
        <v>0.04</v>
      </c>
      <c r="M228" s="1">
        <v>6.13</v>
      </c>
      <c r="N228" s="1" t="s">
        <v>33</v>
      </c>
      <c r="O228" s="1" t="s">
        <v>34</v>
      </c>
      <c r="P228" s="2">
        <v>41674</v>
      </c>
      <c r="Q228" s="2" t="b">
        <f t="shared" si="11"/>
        <v>0</v>
      </c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</row>
    <row r="229" spans="1:35" ht="14.25" customHeight="1" x14ac:dyDescent="0.2">
      <c r="A229" s="1">
        <v>13604</v>
      </c>
      <c r="B229" s="1" t="s">
        <v>259</v>
      </c>
      <c r="C229" s="1" t="s">
        <v>51</v>
      </c>
      <c r="D229" s="2">
        <v>41672</v>
      </c>
      <c r="E229" s="1" t="s">
        <v>22</v>
      </c>
      <c r="F229" s="1" t="s">
        <v>326</v>
      </c>
      <c r="G229" s="1">
        <v>42</v>
      </c>
      <c r="H229" s="1">
        <v>90.98</v>
      </c>
      <c r="I229" s="1">
        <f t="shared" si="9"/>
        <v>3821.1600000000003</v>
      </c>
      <c r="J229" t="str">
        <f t="shared" si="10"/>
        <v>High</v>
      </c>
      <c r="K229" s="1"/>
      <c r="L229" s="1">
        <v>7.0000000000000007E-2</v>
      </c>
      <c r="M229" s="1">
        <v>56.2</v>
      </c>
      <c r="N229" s="1" t="s">
        <v>33</v>
      </c>
      <c r="O229" s="1" t="s">
        <v>72</v>
      </c>
      <c r="P229" s="2">
        <v>41675</v>
      </c>
      <c r="Q229" s="2" t="b">
        <f t="shared" si="11"/>
        <v>0</v>
      </c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</row>
    <row r="230" spans="1:35" ht="14.25" customHeight="1" x14ac:dyDescent="0.2">
      <c r="A230" s="1">
        <v>19493</v>
      </c>
      <c r="B230" s="1" t="s">
        <v>372</v>
      </c>
      <c r="C230" s="1" t="s">
        <v>51</v>
      </c>
      <c r="D230" s="2">
        <v>41672</v>
      </c>
      <c r="E230" s="1" t="s">
        <v>38</v>
      </c>
      <c r="F230" s="1" t="s">
        <v>373</v>
      </c>
      <c r="G230" s="1">
        <v>31</v>
      </c>
      <c r="H230" s="1">
        <v>154.13</v>
      </c>
      <c r="I230" s="1">
        <f t="shared" si="9"/>
        <v>4778.03</v>
      </c>
      <c r="J230" t="str">
        <f t="shared" si="10"/>
        <v>High</v>
      </c>
      <c r="K230" s="1"/>
      <c r="L230" s="1">
        <v>0.1</v>
      </c>
      <c r="M230" s="1">
        <v>69</v>
      </c>
      <c r="N230" s="1" t="s">
        <v>33</v>
      </c>
      <c r="O230" s="1" t="s">
        <v>26</v>
      </c>
      <c r="P230" s="2">
        <v>41673</v>
      </c>
      <c r="Q230" s="2" t="b">
        <f t="shared" si="11"/>
        <v>0</v>
      </c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</row>
    <row r="231" spans="1:35" ht="14.25" customHeight="1" x14ac:dyDescent="0.2">
      <c r="A231" s="1">
        <v>39904</v>
      </c>
      <c r="B231" s="1" t="s">
        <v>374</v>
      </c>
      <c r="C231" s="1" t="s">
        <v>51</v>
      </c>
      <c r="D231" s="2">
        <v>41672</v>
      </c>
      <c r="E231" s="1" t="s">
        <v>22</v>
      </c>
      <c r="F231" s="1" t="s">
        <v>226</v>
      </c>
      <c r="G231" s="1">
        <v>44</v>
      </c>
      <c r="H231" s="1">
        <v>8.09</v>
      </c>
      <c r="I231" s="1">
        <f t="shared" si="9"/>
        <v>355.96</v>
      </c>
      <c r="J231" t="str">
        <f t="shared" si="10"/>
        <v>Low</v>
      </c>
      <c r="K231" s="1"/>
      <c r="L231" s="1">
        <v>0</v>
      </c>
      <c r="M231" s="1">
        <v>7.96</v>
      </c>
      <c r="N231" s="1" t="s">
        <v>33</v>
      </c>
      <c r="O231" s="1" t="s">
        <v>34</v>
      </c>
      <c r="P231" s="2">
        <v>41673</v>
      </c>
      <c r="Q231" s="2" t="b">
        <f t="shared" si="11"/>
        <v>0</v>
      </c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</row>
    <row r="232" spans="1:35" ht="14.25" customHeight="1" x14ac:dyDescent="0.2">
      <c r="A232" s="1">
        <v>55713</v>
      </c>
      <c r="B232" s="1" t="s">
        <v>42</v>
      </c>
      <c r="C232" s="1" t="s">
        <v>51</v>
      </c>
      <c r="D232" s="2">
        <v>41672</v>
      </c>
      <c r="E232" s="1" t="s">
        <v>31</v>
      </c>
      <c r="F232" s="1" t="s">
        <v>375</v>
      </c>
      <c r="G232" s="1">
        <v>49</v>
      </c>
      <c r="H232" s="1">
        <v>122.99</v>
      </c>
      <c r="I232" s="1">
        <f t="shared" si="9"/>
        <v>6026.5099999999993</v>
      </c>
      <c r="J232" t="str">
        <f t="shared" si="10"/>
        <v>High</v>
      </c>
      <c r="K232" s="1"/>
      <c r="L232" s="1">
        <v>0.09</v>
      </c>
      <c r="M232" s="1">
        <v>70.2</v>
      </c>
      <c r="N232" s="1" t="s">
        <v>45</v>
      </c>
      <c r="O232" s="1" t="s">
        <v>46</v>
      </c>
      <c r="P232" s="2">
        <v>41674</v>
      </c>
      <c r="Q232" s="2" t="b">
        <f t="shared" si="11"/>
        <v>0</v>
      </c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</row>
    <row r="233" spans="1:35" ht="14.25" customHeight="1" x14ac:dyDescent="0.2">
      <c r="A233" s="1">
        <v>38529</v>
      </c>
      <c r="B233" s="1" t="s">
        <v>167</v>
      </c>
      <c r="C233" s="1" t="s">
        <v>21</v>
      </c>
      <c r="D233" s="2">
        <v>41672</v>
      </c>
      <c r="E233" s="1" t="s">
        <v>43</v>
      </c>
      <c r="F233" s="1" t="s">
        <v>338</v>
      </c>
      <c r="G233" s="1">
        <v>38</v>
      </c>
      <c r="H233" s="1">
        <v>1.1399999999999999</v>
      </c>
      <c r="I233" s="1">
        <f t="shared" si="9"/>
        <v>43.319999999999993</v>
      </c>
      <c r="J233" t="str">
        <f t="shared" si="10"/>
        <v>Low</v>
      </c>
      <c r="K233" s="1"/>
      <c r="L233" s="1">
        <v>0.02</v>
      </c>
      <c r="M233" s="1">
        <v>0.7</v>
      </c>
      <c r="N233" s="1" t="s">
        <v>33</v>
      </c>
      <c r="O233" s="1" t="s">
        <v>55</v>
      </c>
      <c r="P233" s="2">
        <v>41672</v>
      </c>
      <c r="Q233" s="2" t="b">
        <f t="shared" si="11"/>
        <v>0</v>
      </c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</row>
    <row r="234" spans="1:35" ht="14.25" customHeight="1" x14ac:dyDescent="0.2">
      <c r="A234" s="1">
        <v>21222</v>
      </c>
      <c r="B234" s="1" t="s">
        <v>376</v>
      </c>
      <c r="C234" s="1" t="s">
        <v>51</v>
      </c>
      <c r="D234" s="2">
        <v>41673</v>
      </c>
      <c r="E234" s="1" t="s">
        <v>22</v>
      </c>
      <c r="F234" s="1" t="s">
        <v>377</v>
      </c>
      <c r="G234" s="1">
        <v>36</v>
      </c>
      <c r="H234" s="1">
        <v>5.08</v>
      </c>
      <c r="I234" s="1">
        <f t="shared" si="9"/>
        <v>182.88</v>
      </c>
      <c r="J234" t="str">
        <f t="shared" si="10"/>
        <v>Low</v>
      </c>
      <c r="K234" s="1"/>
      <c r="L234" s="1">
        <v>0.1</v>
      </c>
      <c r="M234" s="1">
        <v>3.63</v>
      </c>
      <c r="N234" s="1" t="s">
        <v>33</v>
      </c>
      <c r="O234" s="1" t="s">
        <v>55</v>
      </c>
      <c r="P234" s="2">
        <v>41675</v>
      </c>
      <c r="Q234" s="2" t="b">
        <f t="shared" si="11"/>
        <v>0</v>
      </c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</row>
    <row r="235" spans="1:35" ht="14.25" customHeight="1" x14ac:dyDescent="0.2">
      <c r="A235" s="1">
        <v>21222</v>
      </c>
      <c r="B235" s="1" t="s">
        <v>376</v>
      </c>
      <c r="C235" s="1" t="s">
        <v>51</v>
      </c>
      <c r="D235" s="2">
        <v>41673</v>
      </c>
      <c r="E235" s="1" t="s">
        <v>22</v>
      </c>
      <c r="F235" s="1" t="s">
        <v>378</v>
      </c>
      <c r="G235" s="1">
        <v>26</v>
      </c>
      <c r="H235" s="1">
        <v>35.99</v>
      </c>
      <c r="I235" s="1">
        <f t="shared" si="9"/>
        <v>935.74</v>
      </c>
      <c r="J235" t="str">
        <f t="shared" si="10"/>
        <v>Low</v>
      </c>
      <c r="K235" s="1"/>
      <c r="L235" s="1">
        <v>0.02</v>
      </c>
      <c r="M235" s="1">
        <v>5</v>
      </c>
      <c r="N235" s="1" t="s">
        <v>33</v>
      </c>
      <c r="O235" s="1" t="s">
        <v>34</v>
      </c>
      <c r="P235" s="2">
        <v>41675</v>
      </c>
      <c r="Q235" s="2" t="b">
        <f t="shared" si="11"/>
        <v>0</v>
      </c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</row>
    <row r="236" spans="1:35" ht="14.25" customHeight="1" x14ac:dyDescent="0.2">
      <c r="A236" s="1">
        <v>44387</v>
      </c>
      <c r="B236" s="1" t="s">
        <v>259</v>
      </c>
      <c r="C236" s="1" t="s">
        <v>30</v>
      </c>
      <c r="D236" s="2">
        <v>41674</v>
      </c>
      <c r="E236" s="1" t="s">
        <v>43</v>
      </c>
      <c r="F236" s="1" t="s">
        <v>379</v>
      </c>
      <c r="G236" s="1">
        <v>50</v>
      </c>
      <c r="H236" s="1">
        <v>29.89</v>
      </c>
      <c r="I236" s="1">
        <f t="shared" si="9"/>
        <v>1494.5</v>
      </c>
      <c r="J236" t="str">
        <f t="shared" si="10"/>
        <v>High</v>
      </c>
      <c r="K236" s="1"/>
      <c r="L236" s="1">
        <v>7.0000000000000007E-2</v>
      </c>
      <c r="M236" s="1">
        <v>1.99</v>
      </c>
      <c r="N236" s="1" t="s">
        <v>25</v>
      </c>
      <c r="O236" s="1" t="s">
        <v>84</v>
      </c>
      <c r="P236" s="2">
        <v>41679</v>
      </c>
      <c r="Q236" s="2" t="b">
        <f t="shared" si="11"/>
        <v>0</v>
      </c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</row>
    <row r="237" spans="1:35" ht="14.25" customHeight="1" x14ac:dyDescent="0.2">
      <c r="A237" s="1">
        <v>44387</v>
      </c>
      <c r="B237" s="1" t="s">
        <v>259</v>
      </c>
      <c r="C237" s="1" t="s">
        <v>51</v>
      </c>
      <c r="D237" s="2">
        <v>41674</v>
      </c>
      <c r="E237" s="1" t="s">
        <v>43</v>
      </c>
      <c r="F237" s="1" t="s">
        <v>380</v>
      </c>
      <c r="G237" s="1">
        <v>20</v>
      </c>
      <c r="H237" s="1">
        <v>8.34</v>
      </c>
      <c r="I237" s="1">
        <f t="shared" si="9"/>
        <v>166.8</v>
      </c>
      <c r="J237" t="str">
        <f t="shared" si="10"/>
        <v>Low</v>
      </c>
      <c r="K237" s="1"/>
      <c r="L237" s="1">
        <v>0.03</v>
      </c>
      <c r="M237" s="1">
        <v>4.82</v>
      </c>
      <c r="N237" s="1" t="s">
        <v>33</v>
      </c>
      <c r="O237" s="1" t="s">
        <v>34</v>
      </c>
      <c r="P237" s="2">
        <v>41678</v>
      </c>
      <c r="Q237" s="2" t="b">
        <f t="shared" si="11"/>
        <v>0</v>
      </c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</row>
    <row r="238" spans="1:35" ht="14.25" customHeight="1" x14ac:dyDescent="0.2">
      <c r="A238" s="1">
        <v>14627</v>
      </c>
      <c r="B238" s="1" t="s">
        <v>381</v>
      </c>
      <c r="C238" s="1" t="s">
        <v>21</v>
      </c>
      <c r="D238" s="2">
        <v>41674</v>
      </c>
      <c r="E238" s="1" t="s">
        <v>101</v>
      </c>
      <c r="F238" s="1" t="s">
        <v>382</v>
      </c>
      <c r="G238" s="1">
        <v>47</v>
      </c>
      <c r="H238" s="1">
        <v>14.48</v>
      </c>
      <c r="I238" s="1">
        <f t="shared" si="9"/>
        <v>680.56000000000006</v>
      </c>
      <c r="J238" t="str">
        <f t="shared" si="10"/>
        <v>Low</v>
      </c>
      <c r="K238" s="1"/>
      <c r="L238" s="1">
        <v>7.0000000000000007E-2</v>
      </c>
      <c r="M238" s="1">
        <v>6.46</v>
      </c>
      <c r="N238" s="1" t="s">
        <v>33</v>
      </c>
      <c r="O238" s="1" t="s">
        <v>34</v>
      </c>
      <c r="P238" s="2">
        <v>41675</v>
      </c>
      <c r="Q238" s="2" t="b">
        <f t="shared" si="11"/>
        <v>0</v>
      </c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</row>
    <row r="239" spans="1:35" ht="14.25" customHeight="1" x14ac:dyDescent="0.2">
      <c r="A239" s="1">
        <v>41988</v>
      </c>
      <c r="B239" s="1" t="s">
        <v>354</v>
      </c>
      <c r="C239" s="1" t="s">
        <v>21</v>
      </c>
      <c r="D239" s="2">
        <v>41674</v>
      </c>
      <c r="E239" s="1" t="s">
        <v>43</v>
      </c>
      <c r="F239" s="1" t="s">
        <v>91</v>
      </c>
      <c r="G239" s="1">
        <v>33</v>
      </c>
      <c r="H239" s="1">
        <v>145.44999999999999</v>
      </c>
      <c r="I239" s="1">
        <f t="shared" si="9"/>
        <v>4799.8499999999995</v>
      </c>
      <c r="J239" t="str">
        <f t="shared" si="10"/>
        <v>High</v>
      </c>
      <c r="K239" s="1"/>
      <c r="L239" s="1">
        <v>0.08</v>
      </c>
      <c r="M239" s="1">
        <v>17.850000000000001</v>
      </c>
      <c r="N239" s="1" t="s">
        <v>45</v>
      </c>
      <c r="O239" s="1" t="s">
        <v>46</v>
      </c>
      <c r="P239" s="2">
        <v>41674</v>
      </c>
      <c r="Q239" s="2" t="b">
        <f t="shared" si="11"/>
        <v>0</v>
      </c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</row>
    <row r="240" spans="1:35" ht="14.25" customHeight="1" x14ac:dyDescent="0.2">
      <c r="A240" s="1">
        <v>41988</v>
      </c>
      <c r="B240" s="1" t="s">
        <v>354</v>
      </c>
      <c r="C240" s="1" t="s">
        <v>30</v>
      </c>
      <c r="D240" s="2">
        <v>41674</v>
      </c>
      <c r="E240" s="1" t="s">
        <v>43</v>
      </c>
      <c r="F240" s="1" t="s">
        <v>93</v>
      </c>
      <c r="G240" s="1">
        <v>18</v>
      </c>
      <c r="H240" s="1">
        <v>33.94</v>
      </c>
      <c r="I240" s="1">
        <f t="shared" si="9"/>
        <v>610.91999999999996</v>
      </c>
      <c r="J240" t="str">
        <f t="shared" si="10"/>
        <v>Low</v>
      </c>
      <c r="K240" s="1"/>
      <c r="L240" s="1">
        <v>7.0000000000000007E-2</v>
      </c>
      <c r="M240" s="1">
        <v>19.190000000000001</v>
      </c>
      <c r="N240" s="1" t="s">
        <v>45</v>
      </c>
      <c r="O240" s="1" t="s">
        <v>46</v>
      </c>
      <c r="P240" s="2">
        <v>41678</v>
      </c>
      <c r="Q240" s="2" t="b">
        <f t="shared" si="11"/>
        <v>0</v>
      </c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</row>
    <row r="241" spans="1:35" ht="14.25" customHeight="1" x14ac:dyDescent="0.2">
      <c r="A241" s="1">
        <v>41988</v>
      </c>
      <c r="B241" s="1" t="s">
        <v>354</v>
      </c>
      <c r="C241" s="1" t="s">
        <v>30</v>
      </c>
      <c r="D241" s="2">
        <v>41674</v>
      </c>
      <c r="E241" s="1" t="s">
        <v>43</v>
      </c>
      <c r="F241" s="1" t="s">
        <v>241</v>
      </c>
      <c r="G241" s="1">
        <v>14</v>
      </c>
      <c r="H241" s="1">
        <v>13.43</v>
      </c>
      <c r="I241" s="1">
        <f t="shared" si="9"/>
        <v>188.01999999999998</v>
      </c>
      <c r="J241" t="str">
        <f t="shared" si="10"/>
        <v>Low</v>
      </c>
      <c r="K241" s="1"/>
      <c r="L241" s="1">
        <v>0.1</v>
      </c>
      <c r="M241" s="1">
        <v>5.5</v>
      </c>
      <c r="N241" s="1" t="s">
        <v>33</v>
      </c>
      <c r="O241" s="1" t="s">
        <v>34</v>
      </c>
      <c r="P241" s="2">
        <v>41678</v>
      </c>
      <c r="Q241" s="2" t="b">
        <f t="shared" si="11"/>
        <v>0</v>
      </c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</row>
    <row r="242" spans="1:35" ht="14.25" customHeight="1" x14ac:dyDescent="0.2">
      <c r="A242" s="1">
        <v>59459</v>
      </c>
      <c r="B242" s="1" t="s">
        <v>383</v>
      </c>
      <c r="C242" s="1" t="s">
        <v>30</v>
      </c>
      <c r="D242" s="2">
        <v>41674</v>
      </c>
      <c r="E242" s="1" t="s">
        <v>101</v>
      </c>
      <c r="F242" s="1" t="s">
        <v>118</v>
      </c>
      <c r="G242" s="1">
        <v>40</v>
      </c>
      <c r="H242" s="1">
        <v>1.7</v>
      </c>
      <c r="I242" s="1">
        <f t="shared" si="9"/>
        <v>68</v>
      </c>
      <c r="J242" t="str">
        <f t="shared" si="10"/>
        <v>Low</v>
      </c>
      <c r="K242" s="1"/>
      <c r="L242" s="1">
        <v>7.0000000000000007E-2</v>
      </c>
      <c r="M242" s="1">
        <v>1.99</v>
      </c>
      <c r="N242" s="1" t="s">
        <v>33</v>
      </c>
      <c r="O242" s="1" t="s">
        <v>84</v>
      </c>
      <c r="P242" s="2">
        <v>41675</v>
      </c>
      <c r="Q242" s="2" t="b">
        <f t="shared" si="11"/>
        <v>0</v>
      </c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</row>
    <row r="243" spans="1:35" ht="14.25" customHeight="1" x14ac:dyDescent="0.2">
      <c r="A243" s="1">
        <v>14400</v>
      </c>
      <c r="B243" s="1" t="s">
        <v>384</v>
      </c>
      <c r="C243" s="1" t="s">
        <v>30</v>
      </c>
      <c r="D243" s="2">
        <v>41674</v>
      </c>
      <c r="E243" s="1" t="s">
        <v>101</v>
      </c>
      <c r="F243" s="1" t="s">
        <v>385</v>
      </c>
      <c r="G243" s="1">
        <v>32</v>
      </c>
      <c r="H243" s="1">
        <v>2.16</v>
      </c>
      <c r="I243" s="1">
        <f t="shared" si="9"/>
        <v>69.12</v>
      </c>
      <c r="J243" t="str">
        <f t="shared" si="10"/>
        <v>Low</v>
      </c>
      <c r="K243" s="1"/>
      <c r="L243" s="1">
        <v>0.05</v>
      </c>
      <c r="M243" s="1">
        <v>6.05</v>
      </c>
      <c r="N243" s="1" t="s">
        <v>33</v>
      </c>
      <c r="O243" s="1" t="s">
        <v>34</v>
      </c>
      <c r="P243" s="2">
        <v>41675</v>
      </c>
      <c r="Q243" s="2" t="b">
        <f t="shared" si="11"/>
        <v>0</v>
      </c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</row>
    <row r="244" spans="1:35" ht="14.25" customHeight="1" x14ac:dyDescent="0.2">
      <c r="A244" s="1">
        <v>14400</v>
      </c>
      <c r="B244" s="1" t="s">
        <v>384</v>
      </c>
      <c r="C244" s="1" t="s">
        <v>21</v>
      </c>
      <c r="D244" s="2">
        <v>41674</v>
      </c>
      <c r="E244" s="1" t="s">
        <v>101</v>
      </c>
      <c r="F244" s="1" t="s">
        <v>386</v>
      </c>
      <c r="G244" s="1">
        <v>35</v>
      </c>
      <c r="H244" s="1">
        <v>6.48</v>
      </c>
      <c r="I244" s="1">
        <f t="shared" si="9"/>
        <v>226.8</v>
      </c>
      <c r="J244" t="str">
        <f t="shared" si="10"/>
        <v>Low</v>
      </c>
      <c r="K244" s="1"/>
      <c r="L244" s="1">
        <v>0.03</v>
      </c>
      <c r="M244" s="1">
        <v>6.6</v>
      </c>
      <c r="N244" s="1" t="s">
        <v>33</v>
      </c>
      <c r="O244" s="1" t="s">
        <v>34</v>
      </c>
      <c r="P244" s="2">
        <v>41675</v>
      </c>
      <c r="Q244" s="2" t="b">
        <f t="shared" si="11"/>
        <v>0</v>
      </c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</row>
    <row r="245" spans="1:35" ht="14.25" customHeight="1" x14ac:dyDescent="0.2">
      <c r="A245" s="1">
        <v>14400</v>
      </c>
      <c r="B245" s="1" t="s">
        <v>384</v>
      </c>
      <c r="C245" s="1" t="s">
        <v>30</v>
      </c>
      <c r="D245" s="2">
        <v>41674</v>
      </c>
      <c r="E245" s="1" t="s">
        <v>101</v>
      </c>
      <c r="F245" s="1" t="s">
        <v>387</v>
      </c>
      <c r="G245" s="1">
        <v>43</v>
      </c>
      <c r="H245" s="1">
        <v>146.05000000000001</v>
      </c>
      <c r="I245" s="1">
        <f t="shared" si="9"/>
        <v>6280.1500000000005</v>
      </c>
      <c r="J245" t="str">
        <f t="shared" si="10"/>
        <v>High</v>
      </c>
      <c r="K245" s="1"/>
      <c r="L245" s="1">
        <v>0.08</v>
      </c>
      <c r="M245" s="1">
        <v>80.2</v>
      </c>
      <c r="N245" s="1" t="s">
        <v>45</v>
      </c>
      <c r="O245" s="1" t="s">
        <v>63</v>
      </c>
      <c r="P245" s="2">
        <v>41675</v>
      </c>
      <c r="Q245" s="2" t="b">
        <f t="shared" si="11"/>
        <v>0</v>
      </c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</row>
    <row r="246" spans="1:35" ht="14.25" customHeight="1" x14ac:dyDescent="0.2">
      <c r="A246" s="1">
        <v>35776</v>
      </c>
      <c r="B246" s="1" t="s">
        <v>388</v>
      </c>
      <c r="C246" s="1" t="s">
        <v>51</v>
      </c>
      <c r="D246" s="2">
        <v>41674</v>
      </c>
      <c r="E246" s="1" t="s">
        <v>101</v>
      </c>
      <c r="F246" s="1" t="s">
        <v>389</v>
      </c>
      <c r="G246" s="1">
        <v>9</v>
      </c>
      <c r="H246" s="1">
        <v>12.97</v>
      </c>
      <c r="I246" s="1">
        <f t="shared" si="9"/>
        <v>116.73</v>
      </c>
      <c r="J246" t="str">
        <f t="shared" si="10"/>
        <v>Low</v>
      </c>
      <c r="K246" s="1"/>
      <c r="L246" s="1">
        <v>0.05</v>
      </c>
      <c r="M246" s="1">
        <v>1.49</v>
      </c>
      <c r="N246" s="1" t="s">
        <v>33</v>
      </c>
      <c r="O246" s="1" t="s">
        <v>34</v>
      </c>
      <c r="P246" s="2">
        <v>41676</v>
      </c>
      <c r="Q246" s="2" t="b">
        <f t="shared" si="11"/>
        <v>0</v>
      </c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</row>
    <row r="247" spans="1:35" ht="14.25" customHeight="1" x14ac:dyDescent="0.2">
      <c r="A247" s="1">
        <v>35776</v>
      </c>
      <c r="B247" s="1" t="s">
        <v>388</v>
      </c>
      <c r="C247" s="1" t="s">
        <v>21</v>
      </c>
      <c r="D247" s="2">
        <v>41674</v>
      </c>
      <c r="E247" s="1" t="s">
        <v>101</v>
      </c>
      <c r="F247" s="1" t="s">
        <v>390</v>
      </c>
      <c r="G247" s="1">
        <v>36</v>
      </c>
      <c r="H247" s="1">
        <v>5.81</v>
      </c>
      <c r="I247" s="1">
        <f t="shared" si="9"/>
        <v>209.16</v>
      </c>
      <c r="J247" t="str">
        <f t="shared" si="10"/>
        <v>Low</v>
      </c>
      <c r="K247" s="1"/>
      <c r="L247" s="1">
        <v>0.06</v>
      </c>
      <c r="M247" s="1">
        <v>3.37</v>
      </c>
      <c r="N247" s="1" t="s">
        <v>33</v>
      </c>
      <c r="O247" s="1" t="s">
        <v>55</v>
      </c>
      <c r="P247" s="2">
        <v>41676</v>
      </c>
      <c r="Q247" s="2" t="b">
        <f t="shared" si="11"/>
        <v>0</v>
      </c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</row>
    <row r="248" spans="1:35" ht="14.25" customHeight="1" x14ac:dyDescent="0.2">
      <c r="A248" s="1">
        <v>25120</v>
      </c>
      <c r="B248" s="1" t="s">
        <v>391</v>
      </c>
      <c r="C248" s="1" t="s">
        <v>51</v>
      </c>
      <c r="D248" s="2">
        <v>41674</v>
      </c>
      <c r="E248" s="1" t="s">
        <v>101</v>
      </c>
      <c r="F248" s="1" t="s">
        <v>392</v>
      </c>
      <c r="G248" s="1">
        <v>46</v>
      </c>
      <c r="H248" s="1">
        <v>4.91</v>
      </c>
      <c r="I248" s="1">
        <f t="shared" si="9"/>
        <v>225.86</v>
      </c>
      <c r="J248" t="str">
        <f t="shared" si="10"/>
        <v>Low</v>
      </c>
      <c r="K248" s="1"/>
      <c r="L248" s="1">
        <v>0</v>
      </c>
      <c r="M248" s="1">
        <v>0.5</v>
      </c>
      <c r="N248" s="1" t="s">
        <v>33</v>
      </c>
      <c r="O248" s="1" t="s">
        <v>34</v>
      </c>
      <c r="P248" s="2">
        <v>41676</v>
      </c>
      <c r="Q248" s="2" t="b">
        <f t="shared" si="11"/>
        <v>0</v>
      </c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</row>
    <row r="249" spans="1:35" ht="14.25" customHeight="1" x14ac:dyDescent="0.2">
      <c r="A249" s="1">
        <v>25120</v>
      </c>
      <c r="B249" s="1" t="s">
        <v>391</v>
      </c>
      <c r="C249" s="1" t="s">
        <v>30</v>
      </c>
      <c r="D249" s="2">
        <v>41674</v>
      </c>
      <c r="E249" s="1" t="s">
        <v>101</v>
      </c>
      <c r="F249" s="1" t="s">
        <v>393</v>
      </c>
      <c r="G249" s="1">
        <v>22</v>
      </c>
      <c r="H249" s="1">
        <v>7.28</v>
      </c>
      <c r="I249" s="1">
        <f t="shared" si="9"/>
        <v>160.16</v>
      </c>
      <c r="J249" t="str">
        <f t="shared" si="10"/>
        <v>Low</v>
      </c>
      <c r="K249" s="1"/>
      <c r="L249" s="1">
        <v>0.01</v>
      </c>
      <c r="M249" s="1">
        <v>11.15</v>
      </c>
      <c r="N249" s="1" t="s">
        <v>33</v>
      </c>
      <c r="O249" s="1" t="s">
        <v>34</v>
      </c>
      <c r="P249" s="2">
        <v>41675</v>
      </c>
      <c r="Q249" s="2" t="b">
        <f t="shared" si="11"/>
        <v>0</v>
      </c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</row>
    <row r="250" spans="1:35" ht="14.25" customHeight="1" x14ac:dyDescent="0.2">
      <c r="A250" s="1">
        <v>25120</v>
      </c>
      <c r="B250" s="1" t="s">
        <v>391</v>
      </c>
      <c r="C250" s="1" t="s">
        <v>21</v>
      </c>
      <c r="D250" s="2">
        <v>41674</v>
      </c>
      <c r="E250" s="1" t="s">
        <v>101</v>
      </c>
      <c r="F250" s="1" t="s">
        <v>394</v>
      </c>
      <c r="G250" s="1">
        <v>10</v>
      </c>
      <c r="H250" s="1">
        <v>6.68</v>
      </c>
      <c r="I250" s="1">
        <f t="shared" si="9"/>
        <v>66.8</v>
      </c>
      <c r="J250" t="str">
        <f t="shared" si="10"/>
        <v>Low</v>
      </c>
      <c r="K250" s="1"/>
      <c r="L250" s="1">
        <v>0.1</v>
      </c>
      <c r="M250" s="1">
        <v>6.93</v>
      </c>
      <c r="N250" s="1" t="s">
        <v>33</v>
      </c>
      <c r="O250" s="1" t="s">
        <v>34</v>
      </c>
      <c r="P250" s="2">
        <v>41677</v>
      </c>
      <c r="Q250" s="2" t="b">
        <f t="shared" si="11"/>
        <v>0</v>
      </c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</row>
    <row r="251" spans="1:35" ht="14.25" customHeight="1" x14ac:dyDescent="0.2">
      <c r="A251" s="1">
        <v>17636</v>
      </c>
      <c r="B251" s="1" t="s">
        <v>395</v>
      </c>
      <c r="C251" s="1" t="s">
        <v>30</v>
      </c>
      <c r="D251" s="2">
        <v>41674</v>
      </c>
      <c r="E251" s="1" t="s">
        <v>43</v>
      </c>
      <c r="F251" s="1" t="s">
        <v>396</v>
      </c>
      <c r="G251" s="1">
        <v>2</v>
      </c>
      <c r="H251" s="1">
        <v>2.94</v>
      </c>
      <c r="I251" s="1">
        <f t="shared" si="9"/>
        <v>5.88</v>
      </c>
      <c r="J251" t="str">
        <f t="shared" si="10"/>
        <v>Low</v>
      </c>
      <c r="K251" s="1"/>
      <c r="L251" s="1">
        <v>0.03</v>
      </c>
      <c r="M251" s="1">
        <v>0.96</v>
      </c>
      <c r="N251" s="1" t="s">
        <v>33</v>
      </c>
      <c r="O251" s="1" t="s">
        <v>55</v>
      </c>
      <c r="P251" s="2">
        <v>41678</v>
      </c>
      <c r="Q251" s="2" t="b">
        <f t="shared" si="11"/>
        <v>0</v>
      </c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</row>
    <row r="252" spans="1:35" ht="14.25" customHeight="1" x14ac:dyDescent="0.2">
      <c r="A252" s="1">
        <v>10310</v>
      </c>
      <c r="B252" s="1" t="s">
        <v>397</v>
      </c>
      <c r="C252" s="1" t="s">
        <v>21</v>
      </c>
      <c r="D252" s="2">
        <v>41675</v>
      </c>
      <c r="E252" s="1" t="s">
        <v>43</v>
      </c>
      <c r="F252" s="1" t="s">
        <v>398</v>
      </c>
      <c r="G252" s="1">
        <v>48</v>
      </c>
      <c r="H252" s="1">
        <v>2.88</v>
      </c>
      <c r="I252" s="1">
        <f t="shared" si="9"/>
        <v>138.24</v>
      </c>
      <c r="J252" t="str">
        <f t="shared" si="10"/>
        <v>Low</v>
      </c>
      <c r="K252" s="1"/>
      <c r="L252" s="1">
        <v>7.0000000000000007E-2</v>
      </c>
      <c r="M252" s="1">
        <v>1.01</v>
      </c>
      <c r="N252" s="1" t="s">
        <v>33</v>
      </c>
      <c r="O252" s="1" t="s">
        <v>55</v>
      </c>
      <c r="P252" s="2">
        <v>41679</v>
      </c>
      <c r="Q252" s="2" t="b">
        <f t="shared" si="11"/>
        <v>0</v>
      </c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</row>
    <row r="253" spans="1:35" ht="14.25" customHeight="1" x14ac:dyDescent="0.2">
      <c r="A253" s="1">
        <v>10310</v>
      </c>
      <c r="B253" s="1" t="s">
        <v>397</v>
      </c>
      <c r="C253" s="1" t="s">
        <v>51</v>
      </c>
      <c r="D253" s="2">
        <v>41675</v>
      </c>
      <c r="E253" s="1" t="s">
        <v>43</v>
      </c>
      <c r="F253" s="1" t="s">
        <v>399</v>
      </c>
      <c r="G253" s="1">
        <v>6</v>
      </c>
      <c r="H253" s="1">
        <v>195.99</v>
      </c>
      <c r="I253" s="1">
        <f t="shared" si="9"/>
        <v>1175.94</v>
      </c>
      <c r="J253" t="str">
        <f t="shared" si="10"/>
        <v>High</v>
      </c>
      <c r="K253" s="1"/>
      <c r="L253" s="1">
        <v>0.1</v>
      </c>
      <c r="M253" s="1">
        <v>3.99</v>
      </c>
      <c r="N253" s="1" t="s">
        <v>33</v>
      </c>
      <c r="O253" s="1" t="s">
        <v>34</v>
      </c>
      <c r="P253" s="2">
        <v>41682</v>
      </c>
      <c r="Q253" s="2" t="b">
        <f t="shared" si="11"/>
        <v>0</v>
      </c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</row>
    <row r="254" spans="1:35" ht="14.25" customHeight="1" x14ac:dyDescent="0.2">
      <c r="A254" s="1">
        <v>36068</v>
      </c>
      <c r="B254" s="1" t="s">
        <v>400</v>
      </c>
      <c r="C254" s="1" t="s">
        <v>51</v>
      </c>
      <c r="D254" s="2">
        <v>41675</v>
      </c>
      <c r="E254" s="1" t="s">
        <v>38</v>
      </c>
      <c r="F254" s="1" t="s">
        <v>286</v>
      </c>
      <c r="G254" s="1">
        <v>23</v>
      </c>
      <c r="H254" s="1">
        <v>279.81</v>
      </c>
      <c r="I254" s="1">
        <f t="shared" si="9"/>
        <v>6435.63</v>
      </c>
      <c r="J254" t="str">
        <f t="shared" si="10"/>
        <v>High</v>
      </c>
      <c r="K254" s="1"/>
      <c r="L254" s="1">
        <v>0.06</v>
      </c>
      <c r="M254" s="1">
        <v>23.19</v>
      </c>
      <c r="N254" s="1" t="s">
        <v>45</v>
      </c>
      <c r="O254" s="1" t="s">
        <v>46</v>
      </c>
      <c r="P254" s="2">
        <v>41676</v>
      </c>
      <c r="Q254" s="2" t="b">
        <f t="shared" si="11"/>
        <v>0</v>
      </c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</row>
    <row r="255" spans="1:35" ht="14.25" customHeight="1" x14ac:dyDescent="0.2">
      <c r="A255" s="1">
        <v>26945</v>
      </c>
      <c r="B255" s="1" t="s">
        <v>401</v>
      </c>
      <c r="C255" s="1" t="s">
        <v>51</v>
      </c>
      <c r="D255" s="2">
        <v>41675</v>
      </c>
      <c r="E255" s="1" t="s">
        <v>38</v>
      </c>
      <c r="F255" s="1" t="s">
        <v>402</v>
      </c>
      <c r="G255" s="1">
        <v>29</v>
      </c>
      <c r="H255" s="1">
        <v>7.28</v>
      </c>
      <c r="I255" s="1">
        <f t="shared" si="9"/>
        <v>211.12</v>
      </c>
      <c r="J255" t="str">
        <f t="shared" si="10"/>
        <v>Low</v>
      </c>
      <c r="K255" s="1"/>
      <c r="L255" s="1">
        <v>0</v>
      </c>
      <c r="M255" s="1">
        <v>1.77</v>
      </c>
      <c r="N255" s="1" t="s">
        <v>33</v>
      </c>
      <c r="O255" s="1" t="s">
        <v>55</v>
      </c>
      <c r="P255" s="2">
        <v>41675</v>
      </c>
      <c r="Q255" s="2" t="b">
        <f t="shared" si="11"/>
        <v>0</v>
      </c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</row>
    <row r="256" spans="1:35" ht="14.25" customHeight="1" x14ac:dyDescent="0.2">
      <c r="A256" s="1">
        <v>35200</v>
      </c>
      <c r="B256" s="1" t="s">
        <v>403</v>
      </c>
      <c r="C256" s="1" t="s">
        <v>51</v>
      </c>
      <c r="D256" s="2">
        <v>41675</v>
      </c>
      <c r="E256" s="1" t="s">
        <v>101</v>
      </c>
      <c r="F256" s="1" t="s">
        <v>404</v>
      </c>
      <c r="G256" s="1">
        <v>15</v>
      </c>
      <c r="H256" s="1">
        <v>9.98</v>
      </c>
      <c r="I256" s="1">
        <f t="shared" si="9"/>
        <v>149.70000000000002</v>
      </c>
      <c r="J256" t="str">
        <f t="shared" si="10"/>
        <v>Low</v>
      </c>
      <c r="K256" s="1"/>
      <c r="L256" s="1">
        <v>0.08</v>
      </c>
      <c r="M256" s="1">
        <v>12.52</v>
      </c>
      <c r="N256" s="1" t="s">
        <v>33</v>
      </c>
      <c r="O256" s="1" t="s">
        <v>34</v>
      </c>
      <c r="P256" s="2">
        <v>41677</v>
      </c>
      <c r="Q256" s="2" t="b">
        <f t="shared" si="11"/>
        <v>0</v>
      </c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</row>
    <row r="257" spans="1:35" ht="14.25" customHeight="1" x14ac:dyDescent="0.2">
      <c r="A257" s="1">
        <v>417</v>
      </c>
      <c r="B257" s="1" t="s">
        <v>405</v>
      </c>
      <c r="C257" s="1" t="s">
        <v>51</v>
      </c>
      <c r="D257" s="2">
        <v>41675</v>
      </c>
      <c r="E257" s="1" t="s">
        <v>101</v>
      </c>
      <c r="F257" s="1" t="s">
        <v>406</v>
      </c>
      <c r="G257" s="1">
        <v>39</v>
      </c>
      <c r="H257" s="1">
        <v>500.98</v>
      </c>
      <c r="I257" s="1">
        <f t="shared" si="9"/>
        <v>19538.22</v>
      </c>
      <c r="J257" t="str">
        <f t="shared" si="10"/>
        <v>High</v>
      </c>
      <c r="K257" s="1"/>
      <c r="L257" s="1">
        <v>7.0000000000000007E-2</v>
      </c>
      <c r="M257" s="1">
        <v>28.14</v>
      </c>
      <c r="N257" s="1" t="s">
        <v>45</v>
      </c>
      <c r="O257" s="1" t="s">
        <v>46</v>
      </c>
      <c r="P257" s="2">
        <v>41676</v>
      </c>
      <c r="Q257" s="2" t="b">
        <f t="shared" si="11"/>
        <v>0</v>
      </c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</row>
    <row r="258" spans="1:35" ht="14.25" customHeight="1" x14ac:dyDescent="0.2">
      <c r="A258" s="1">
        <v>417</v>
      </c>
      <c r="B258" s="1" t="s">
        <v>405</v>
      </c>
      <c r="C258" s="1" t="s">
        <v>51</v>
      </c>
      <c r="D258" s="2">
        <v>41675</v>
      </c>
      <c r="E258" s="1" t="s">
        <v>101</v>
      </c>
      <c r="F258" s="1" t="s">
        <v>407</v>
      </c>
      <c r="G258" s="1">
        <v>3</v>
      </c>
      <c r="H258" s="1">
        <v>178.47</v>
      </c>
      <c r="I258" s="1">
        <f t="shared" ref="I258:I321" si="12">G258*H258</f>
        <v>535.41</v>
      </c>
      <c r="J258" t="str">
        <f t="shared" ref="J258:J321" si="13">IF(I258&lt;1000,"Low","High")</f>
        <v>Low</v>
      </c>
      <c r="K258" s="1"/>
      <c r="L258" s="1">
        <v>0.1</v>
      </c>
      <c r="M258" s="1">
        <v>19.989999999999998</v>
      </c>
      <c r="N258" s="1" t="s">
        <v>33</v>
      </c>
      <c r="O258" s="1" t="s">
        <v>34</v>
      </c>
      <c r="P258" s="2">
        <v>41677</v>
      </c>
      <c r="Q258" s="2" t="b">
        <f t="shared" ref="Q258:Q321" si="14">AND(N258="Express Air",O258="Large Box")</f>
        <v>0</v>
      </c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</row>
    <row r="259" spans="1:35" ht="14.25" customHeight="1" x14ac:dyDescent="0.2">
      <c r="A259" s="1">
        <v>41543</v>
      </c>
      <c r="B259" s="1" t="s">
        <v>57</v>
      </c>
      <c r="C259" s="1" t="s">
        <v>21</v>
      </c>
      <c r="D259" s="2">
        <v>41676</v>
      </c>
      <c r="E259" s="1" t="s">
        <v>43</v>
      </c>
      <c r="F259" s="1" t="s">
        <v>355</v>
      </c>
      <c r="G259" s="1">
        <v>45</v>
      </c>
      <c r="H259" s="1">
        <v>160.97999999999999</v>
      </c>
      <c r="I259" s="1">
        <f t="shared" si="12"/>
        <v>7244.0999999999995</v>
      </c>
      <c r="J259" t="str">
        <f t="shared" si="13"/>
        <v>High</v>
      </c>
      <c r="K259" s="1"/>
      <c r="L259" s="1">
        <v>0.03</v>
      </c>
      <c r="M259" s="1">
        <v>30</v>
      </c>
      <c r="N259" s="1" t="s">
        <v>45</v>
      </c>
      <c r="O259" s="1" t="s">
        <v>46</v>
      </c>
      <c r="P259" s="2">
        <v>41680</v>
      </c>
      <c r="Q259" s="2" t="b">
        <f t="shared" si="14"/>
        <v>0</v>
      </c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</row>
    <row r="260" spans="1:35" ht="14.25" customHeight="1" x14ac:dyDescent="0.2">
      <c r="A260" s="1">
        <v>41543</v>
      </c>
      <c r="B260" s="1" t="s">
        <v>57</v>
      </c>
      <c r="C260" s="1" t="s">
        <v>51</v>
      </c>
      <c r="D260" s="2">
        <v>41676</v>
      </c>
      <c r="E260" s="1" t="s">
        <v>43</v>
      </c>
      <c r="F260" s="1" t="s">
        <v>408</v>
      </c>
      <c r="G260" s="1">
        <v>24</v>
      </c>
      <c r="H260" s="1">
        <v>65.989999999999995</v>
      </c>
      <c r="I260" s="1">
        <f t="shared" si="12"/>
        <v>1583.7599999999998</v>
      </c>
      <c r="J260" t="str">
        <f t="shared" si="13"/>
        <v>High</v>
      </c>
      <c r="K260" s="1"/>
      <c r="L260" s="1">
        <v>0.03</v>
      </c>
      <c r="M260" s="1">
        <v>3.99</v>
      </c>
      <c r="N260" s="1" t="s">
        <v>33</v>
      </c>
      <c r="O260" s="1" t="s">
        <v>34</v>
      </c>
      <c r="P260" s="2">
        <v>41680</v>
      </c>
      <c r="Q260" s="2" t="b">
        <f t="shared" si="14"/>
        <v>0</v>
      </c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</row>
    <row r="261" spans="1:35" ht="14.25" customHeight="1" x14ac:dyDescent="0.2">
      <c r="A261" s="1">
        <v>26724</v>
      </c>
      <c r="B261" s="1" t="s">
        <v>409</v>
      </c>
      <c r="C261" s="1" t="s">
        <v>51</v>
      </c>
      <c r="D261" s="2">
        <v>41676</v>
      </c>
      <c r="E261" s="1" t="s">
        <v>38</v>
      </c>
      <c r="F261" s="1" t="s">
        <v>410</v>
      </c>
      <c r="G261" s="1">
        <v>2</v>
      </c>
      <c r="H261" s="1">
        <v>999.99</v>
      </c>
      <c r="I261" s="1">
        <f t="shared" si="12"/>
        <v>1999.98</v>
      </c>
      <c r="J261" t="str">
        <f t="shared" si="13"/>
        <v>High</v>
      </c>
      <c r="K261" s="1"/>
      <c r="L261" s="1">
        <v>0.09</v>
      </c>
      <c r="M261" s="1">
        <v>13.99</v>
      </c>
      <c r="N261" s="1" t="s">
        <v>33</v>
      </c>
      <c r="O261" s="1" t="s">
        <v>72</v>
      </c>
      <c r="P261" s="2">
        <v>41678</v>
      </c>
      <c r="Q261" s="2" t="b">
        <f t="shared" si="14"/>
        <v>0</v>
      </c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</row>
    <row r="262" spans="1:35" ht="14.25" customHeight="1" x14ac:dyDescent="0.2">
      <c r="A262" s="1">
        <v>28772</v>
      </c>
      <c r="B262" s="1" t="s">
        <v>411</v>
      </c>
      <c r="C262" s="1" t="s">
        <v>21</v>
      </c>
      <c r="D262" s="2">
        <v>41676</v>
      </c>
      <c r="E262" s="1" t="s">
        <v>31</v>
      </c>
      <c r="F262" s="1" t="s">
        <v>412</v>
      </c>
      <c r="G262" s="1">
        <v>16</v>
      </c>
      <c r="H262" s="1">
        <v>71.37</v>
      </c>
      <c r="I262" s="1">
        <f t="shared" si="12"/>
        <v>1141.92</v>
      </c>
      <c r="J262" t="str">
        <f t="shared" si="13"/>
        <v>High</v>
      </c>
      <c r="K262" s="1"/>
      <c r="L262" s="1">
        <v>0.02</v>
      </c>
      <c r="M262" s="1">
        <v>69</v>
      </c>
      <c r="N262" s="1" t="s">
        <v>33</v>
      </c>
      <c r="O262" s="1" t="s">
        <v>26</v>
      </c>
      <c r="P262" s="2">
        <v>41677</v>
      </c>
      <c r="Q262" s="2" t="b">
        <f t="shared" si="14"/>
        <v>0</v>
      </c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</row>
    <row r="263" spans="1:35" ht="14.25" customHeight="1" x14ac:dyDescent="0.2">
      <c r="A263" s="1">
        <v>28772</v>
      </c>
      <c r="B263" s="1" t="s">
        <v>411</v>
      </c>
      <c r="C263" s="1" t="s">
        <v>51</v>
      </c>
      <c r="D263" s="2">
        <v>41676</v>
      </c>
      <c r="E263" s="1" t="s">
        <v>31</v>
      </c>
      <c r="F263" s="1" t="s">
        <v>413</v>
      </c>
      <c r="G263" s="1">
        <v>4</v>
      </c>
      <c r="H263" s="1">
        <v>205.99</v>
      </c>
      <c r="I263" s="1">
        <f t="shared" si="12"/>
        <v>823.96</v>
      </c>
      <c r="J263" t="str">
        <f t="shared" si="13"/>
        <v>Low</v>
      </c>
      <c r="K263" s="1"/>
      <c r="L263" s="1">
        <v>0.03</v>
      </c>
      <c r="M263" s="1">
        <v>8.99</v>
      </c>
      <c r="N263" s="1" t="s">
        <v>25</v>
      </c>
      <c r="O263" s="1" t="s">
        <v>34</v>
      </c>
      <c r="P263" s="2">
        <v>41678</v>
      </c>
      <c r="Q263" s="2" t="b">
        <f t="shared" si="14"/>
        <v>0</v>
      </c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</row>
    <row r="264" spans="1:35" ht="14.25" customHeight="1" x14ac:dyDescent="0.2">
      <c r="A264" s="1">
        <v>25440</v>
      </c>
      <c r="B264" s="1" t="s">
        <v>414</v>
      </c>
      <c r="C264" s="1" t="s">
        <v>21</v>
      </c>
      <c r="D264" s="2">
        <v>41676</v>
      </c>
      <c r="E264" s="1" t="s">
        <v>31</v>
      </c>
      <c r="F264" s="1" t="s">
        <v>415</v>
      </c>
      <c r="G264" s="1">
        <v>30</v>
      </c>
      <c r="H264" s="1">
        <v>259.70999999999998</v>
      </c>
      <c r="I264" s="1">
        <f t="shared" si="12"/>
        <v>7791.2999999999993</v>
      </c>
      <c r="J264" t="str">
        <f t="shared" si="13"/>
        <v>High</v>
      </c>
      <c r="K264" s="1"/>
      <c r="L264" s="1">
        <v>0.02</v>
      </c>
      <c r="M264" s="1">
        <v>66.67</v>
      </c>
      <c r="N264" s="1" t="s">
        <v>45</v>
      </c>
      <c r="O264" s="1" t="s">
        <v>63</v>
      </c>
      <c r="P264" s="2">
        <v>41676</v>
      </c>
      <c r="Q264" s="2" t="b">
        <f t="shared" si="14"/>
        <v>0</v>
      </c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</row>
    <row r="265" spans="1:35" ht="14.25" customHeight="1" x14ac:dyDescent="0.2">
      <c r="A265" s="1">
        <v>44002</v>
      </c>
      <c r="B265" s="1" t="s">
        <v>248</v>
      </c>
      <c r="C265" s="1" t="s">
        <v>51</v>
      </c>
      <c r="D265" s="2">
        <v>41677</v>
      </c>
      <c r="E265" s="1" t="s">
        <v>101</v>
      </c>
      <c r="F265" s="1" t="s">
        <v>416</v>
      </c>
      <c r="G265" s="1">
        <v>46</v>
      </c>
      <c r="H265" s="1">
        <v>6.68</v>
      </c>
      <c r="I265" s="1">
        <f t="shared" si="12"/>
        <v>307.27999999999997</v>
      </c>
      <c r="J265" t="str">
        <f t="shared" si="13"/>
        <v>Low</v>
      </c>
      <c r="K265" s="1"/>
      <c r="L265" s="1">
        <v>0.05</v>
      </c>
      <c r="M265" s="1">
        <v>5.66</v>
      </c>
      <c r="N265" s="1" t="s">
        <v>33</v>
      </c>
      <c r="O265" s="1" t="s">
        <v>34</v>
      </c>
      <c r="P265" s="2">
        <v>41679</v>
      </c>
      <c r="Q265" s="2" t="b">
        <f t="shared" si="14"/>
        <v>0</v>
      </c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</row>
    <row r="266" spans="1:35" ht="14.25" customHeight="1" x14ac:dyDescent="0.2">
      <c r="A266" s="1">
        <v>44002</v>
      </c>
      <c r="B266" s="1" t="s">
        <v>248</v>
      </c>
      <c r="C266" s="1" t="s">
        <v>30</v>
      </c>
      <c r="D266" s="2">
        <v>41677</v>
      </c>
      <c r="E266" s="1" t="s">
        <v>101</v>
      </c>
      <c r="F266" s="1" t="s">
        <v>417</v>
      </c>
      <c r="G266" s="1">
        <v>14</v>
      </c>
      <c r="H266" s="1">
        <v>17.7</v>
      </c>
      <c r="I266" s="1">
        <f t="shared" si="12"/>
        <v>247.79999999999998</v>
      </c>
      <c r="J266" t="str">
        <f t="shared" si="13"/>
        <v>Low</v>
      </c>
      <c r="K266" s="1"/>
      <c r="L266" s="1">
        <v>0.03</v>
      </c>
      <c r="M266" s="1">
        <v>9.4700000000000006</v>
      </c>
      <c r="N266" s="1" t="s">
        <v>33</v>
      </c>
      <c r="O266" s="1" t="s">
        <v>34</v>
      </c>
      <c r="P266" s="2">
        <v>41677</v>
      </c>
      <c r="Q266" s="2" t="b">
        <f t="shared" si="14"/>
        <v>0</v>
      </c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</row>
    <row r="267" spans="1:35" ht="14.25" customHeight="1" x14ac:dyDescent="0.2">
      <c r="A267" s="1">
        <v>46981</v>
      </c>
      <c r="B267" s="1" t="s">
        <v>418</v>
      </c>
      <c r="C267" s="1" t="s">
        <v>30</v>
      </c>
      <c r="D267" s="2">
        <v>41677</v>
      </c>
      <c r="E267" s="1" t="s">
        <v>101</v>
      </c>
      <c r="F267" s="1" t="s">
        <v>419</v>
      </c>
      <c r="G267" s="1">
        <v>46</v>
      </c>
      <c r="H267" s="1">
        <v>30.56</v>
      </c>
      <c r="I267" s="1">
        <f t="shared" si="12"/>
        <v>1405.76</v>
      </c>
      <c r="J267" t="str">
        <f t="shared" si="13"/>
        <v>High</v>
      </c>
      <c r="K267" s="1"/>
      <c r="L267" s="1">
        <v>7.0000000000000007E-2</v>
      </c>
      <c r="M267" s="1">
        <v>2.99</v>
      </c>
      <c r="N267" s="1" t="s">
        <v>33</v>
      </c>
      <c r="O267" s="1" t="s">
        <v>34</v>
      </c>
      <c r="P267" s="2">
        <v>41677</v>
      </c>
      <c r="Q267" s="2" t="b">
        <f t="shared" si="14"/>
        <v>0</v>
      </c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</row>
    <row r="268" spans="1:35" ht="14.25" customHeight="1" x14ac:dyDescent="0.2">
      <c r="A268" s="1">
        <v>23808</v>
      </c>
      <c r="B268" s="1" t="s">
        <v>420</v>
      </c>
      <c r="C268" s="1" t="s">
        <v>51</v>
      </c>
      <c r="D268" s="2">
        <v>41677</v>
      </c>
      <c r="E268" s="1" t="s">
        <v>43</v>
      </c>
      <c r="F268" s="1" t="s">
        <v>291</v>
      </c>
      <c r="G268" s="1">
        <v>30</v>
      </c>
      <c r="H268" s="1">
        <v>19.98</v>
      </c>
      <c r="I268" s="1">
        <f t="shared" si="12"/>
        <v>599.4</v>
      </c>
      <c r="J268" t="str">
        <f t="shared" si="13"/>
        <v>Low</v>
      </c>
      <c r="K268" s="1"/>
      <c r="L268" s="1">
        <v>0.04</v>
      </c>
      <c r="M268" s="1">
        <v>8.68</v>
      </c>
      <c r="N268" s="1" t="s">
        <v>33</v>
      </c>
      <c r="O268" s="1" t="s">
        <v>34</v>
      </c>
      <c r="P268" s="2">
        <v>41684</v>
      </c>
      <c r="Q268" s="2" t="b">
        <f t="shared" si="14"/>
        <v>0</v>
      </c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</row>
    <row r="269" spans="1:35" ht="14.25" customHeight="1" x14ac:dyDescent="0.2">
      <c r="A269" s="1">
        <v>23808</v>
      </c>
      <c r="B269" s="1" t="s">
        <v>420</v>
      </c>
      <c r="C269" s="1" t="s">
        <v>21</v>
      </c>
      <c r="D269" s="2">
        <v>41677</v>
      </c>
      <c r="E269" s="1" t="s">
        <v>43</v>
      </c>
      <c r="F269" s="1" t="s">
        <v>421</v>
      </c>
      <c r="G269" s="1">
        <v>28</v>
      </c>
      <c r="H269" s="1">
        <v>125.99</v>
      </c>
      <c r="I269" s="1">
        <f t="shared" si="12"/>
        <v>3527.72</v>
      </c>
      <c r="J269" t="str">
        <f t="shared" si="13"/>
        <v>High</v>
      </c>
      <c r="K269" s="1"/>
      <c r="L269" s="1">
        <v>0.08</v>
      </c>
      <c r="M269" s="1">
        <v>7.69</v>
      </c>
      <c r="N269" s="1" t="s">
        <v>33</v>
      </c>
      <c r="O269" s="1" t="s">
        <v>34</v>
      </c>
      <c r="P269" s="2">
        <v>41679</v>
      </c>
      <c r="Q269" s="2" t="b">
        <f t="shared" si="14"/>
        <v>0</v>
      </c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</row>
    <row r="270" spans="1:35" ht="14.25" customHeight="1" x14ac:dyDescent="0.2">
      <c r="A270" s="1">
        <v>3138</v>
      </c>
      <c r="B270" s="1" t="s">
        <v>422</v>
      </c>
      <c r="C270" s="1" t="s">
        <v>51</v>
      </c>
      <c r="D270" s="2">
        <v>41678</v>
      </c>
      <c r="E270" s="1" t="s">
        <v>22</v>
      </c>
      <c r="F270" s="1" t="s">
        <v>301</v>
      </c>
      <c r="G270" s="1">
        <v>4</v>
      </c>
      <c r="H270" s="1">
        <v>179.99</v>
      </c>
      <c r="I270" s="1">
        <f t="shared" si="12"/>
        <v>719.96</v>
      </c>
      <c r="J270" t="str">
        <f t="shared" si="13"/>
        <v>Low</v>
      </c>
      <c r="K270" s="1"/>
      <c r="L270" s="1">
        <v>7.0000000000000007E-2</v>
      </c>
      <c r="M270" s="1">
        <v>19.989999999999998</v>
      </c>
      <c r="N270" s="1" t="s">
        <v>25</v>
      </c>
      <c r="O270" s="1" t="s">
        <v>34</v>
      </c>
      <c r="P270" s="2">
        <v>41678</v>
      </c>
      <c r="Q270" s="2" t="b">
        <f t="shared" si="14"/>
        <v>0</v>
      </c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</row>
    <row r="271" spans="1:35" ht="14.25" customHeight="1" x14ac:dyDescent="0.2">
      <c r="A271" s="1">
        <v>20162</v>
      </c>
      <c r="B271" s="1" t="s">
        <v>423</v>
      </c>
      <c r="C271" s="1" t="s">
        <v>21</v>
      </c>
      <c r="D271" s="2">
        <v>41678</v>
      </c>
      <c r="E271" s="1" t="s">
        <v>101</v>
      </c>
      <c r="F271" s="1" t="s">
        <v>424</v>
      </c>
      <c r="G271" s="1">
        <v>38</v>
      </c>
      <c r="H271" s="1">
        <v>15.16</v>
      </c>
      <c r="I271" s="1">
        <f t="shared" si="12"/>
        <v>576.08000000000004</v>
      </c>
      <c r="J271" t="str">
        <f t="shared" si="13"/>
        <v>Low</v>
      </c>
      <c r="K271" s="1"/>
      <c r="L271" s="1">
        <v>0.03</v>
      </c>
      <c r="M271" s="1">
        <v>15.09</v>
      </c>
      <c r="N271" s="1" t="s">
        <v>33</v>
      </c>
      <c r="O271" s="1" t="s">
        <v>34</v>
      </c>
      <c r="P271" s="2">
        <v>41679</v>
      </c>
      <c r="Q271" s="2" t="b">
        <f t="shared" si="14"/>
        <v>0</v>
      </c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</row>
    <row r="272" spans="1:35" ht="14.25" customHeight="1" x14ac:dyDescent="0.2">
      <c r="A272" s="1">
        <v>59942</v>
      </c>
      <c r="B272" s="1" t="s">
        <v>425</v>
      </c>
      <c r="C272" s="1" t="s">
        <v>51</v>
      </c>
      <c r="D272" s="2">
        <v>41678</v>
      </c>
      <c r="E272" s="1" t="s">
        <v>101</v>
      </c>
      <c r="F272" s="1" t="s">
        <v>353</v>
      </c>
      <c r="G272" s="1">
        <v>47</v>
      </c>
      <c r="H272" s="1">
        <v>15.98</v>
      </c>
      <c r="I272" s="1">
        <f t="shared" si="12"/>
        <v>751.06000000000006</v>
      </c>
      <c r="J272" t="str">
        <f t="shared" si="13"/>
        <v>Low</v>
      </c>
      <c r="K272" s="1"/>
      <c r="L272" s="1">
        <v>7.0000000000000007E-2</v>
      </c>
      <c r="M272" s="1">
        <v>8.99</v>
      </c>
      <c r="N272" s="1" t="s">
        <v>33</v>
      </c>
      <c r="O272" s="1" t="s">
        <v>84</v>
      </c>
      <c r="P272" s="2">
        <v>41680</v>
      </c>
      <c r="Q272" s="2" t="b">
        <f t="shared" si="14"/>
        <v>0</v>
      </c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</row>
    <row r="273" spans="1:35" ht="14.25" customHeight="1" x14ac:dyDescent="0.2">
      <c r="A273" s="1">
        <v>56581</v>
      </c>
      <c r="B273" s="1" t="s">
        <v>426</v>
      </c>
      <c r="C273" s="1" t="s">
        <v>51</v>
      </c>
      <c r="D273" s="2">
        <v>41678</v>
      </c>
      <c r="E273" s="1" t="s">
        <v>31</v>
      </c>
      <c r="F273" s="1" t="s">
        <v>427</v>
      </c>
      <c r="G273" s="1">
        <v>20</v>
      </c>
      <c r="H273" s="1">
        <v>105.98</v>
      </c>
      <c r="I273" s="1">
        <f t="shared" si="12"/>
        <v>2119.6</v>
      </c>
      <c r="J273" t="str">
        <f t="shared" si="13"/>
        <v>High</v>
      </c>
      <c r="K273" s="1"/>
      <c r="L273" s="1">
        <v>0.1</v>
      </c>
      <c r="M273" s="1">
        <v>13.99</v>
      </c>
      <c r="N273" s="1" t="s">
        <v>25</v>
      </c>
      <c r="O273" s="1" t="s">
        <v>72</v>
      </c>
      <c r="P273" s="2">
        <v>41681</v>
      </c>
      <c r="Q273" s="2" t="b">
        <f t="shared" si="14"/>
        <v>0</v>
      </c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</row>
    <row r="274" spans="1:35" ht="14.25" customHeight="1" x14ac:dyDescent="0.2">
      <c r="A274" s="1">
        <v>40128</v>
      </c>
      <c r="B274" s="1" t="s">
        <v>428</v>
      </c>
      <c r="C274" s="1" t="s">
        <v>30</v>
      </c>
      <c r="D274" s="2">
        <v>41679</v>
      </c>
      <c r="E274" s="1" t="s">
        <v>43</v>
      </c>
      <c r="F274" s="1" t="s">
        <v>346</v>
      </c>
      <c r="G274" s="1">
        <v>43</v>
      </c>
      <c r="H274" s="1">
        <v>240.98</v>
      </c>
      <c r="I274" s="1">
        <f t="shared" si="12"/>
        <v>10362.14</v>
      </c>
      <c r="J274" t="str">
        <f t="shared" si="13"/>
        <v>High</v>
      </c>
      <c r="K274" s="1"/>
      <c r="L274" s="1">
        <v>0.01</v>
      </c>
      <c r="M274" s="1">
        <v>60.2</v>
      </c>
      <c r="N274" s="1" t="s">
        <v>45</v>
      </c>
      <c r="O274" s="1" t="s">
        <v>63</v>
      </c>
      <c r="P274" s="2">
        <v>41686</v>
      </c>
      <c r="Q274" s="2" t="b">
        <f t="shared" si="14"/>
        <v>0</v>
      </c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</row>
    <row r="275" spans="1:35" ht="14.25" customHeight="1" x14ac:dyDescent="0.2">
      <c r="A275" s="1">
        <v>41604</v>
      </c>
      <c r="B275" s="1" t="s">
        <v>429</v>
      </c>
      <c r="C275" s="1" t="s">
        <v>51</v>
      </c>
      <c r="D275" s="2">
        <v>41680</v>
      </c>
      <c r="E275" s="1" t="s">
        <v>101</v>
      </c>
      <c r="F275" s="1" t="s">
        <v>430</v>
      </c>
      <c r="G275" s="1">
        <v>22</v>
      </c>
      <c r="H275" s="1">
        <v>6.37</v>
      </c>
      <c r="I275" s="1">
        <f t="shared" si="12"/>
        <v>140.14000000000001</v>
      </c>
      <c r="J275" t="str">
        <f t="shared" si="13"/>
        <v>Low</v>
      </c>
      <c r="K275" s="1"/>
      <c r="L275" s="1">
        <v>0.06</v>
      </c>
      <c r="M275" s="1">
        <v>5.19</v>
      </c>
      <c r="N275" s="1" t="s">
        <v>33</v>
      </c>
      <c r="O275" s="1" t="s">
        <v>34</v>
      </c>
      <c r="P275" s="2">
        <v>41681</v>
      </c>
      <c r="Q275" s="2" t="b">
        <f t="shared" si="14"/>
        <v>0</v>
      </c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</row>
    <row r="276" spans="1:35" ht="14.25" customHeight="1" x14ac:dyDescent="0.2">
      <c r="A276" s="1">
        <v>9222</v>
      </c>
      <c r="B276" s="1" t="s">
        <v>431</v>
      </c>
      <c r="C276" s="1" t="s">
        <v>30</v>
      </c>
      <c r="D276" s="2">
        <v>41680</v>
      </c>
      <c r="E276" s="1" t="s">
        <v>31</v>
      </c>
      <c r="F276" s="1" t="s">
        <v>183</v>
      </c>
      <c r="G276" s="1">
        <v>41</v>
      </c>
      <c r="H276" s="1">
        <v>11.34</v>
      </c>
      <c r="I276" s="1">
        <f t="shared" si="12"/>
        <v>464.94</v>
      </c>
      <c r="J276" t="str">
        <f t="shared" si="13"/>
        <v>Low</v>
      </c>
      <c r="K276" s="1"/>
      <c r="L276" s="1">
        <v>0.04</v>
      </c>
      <c r="M276" s="1">
        <v>5.01</v>
      </c>
      <c r="N276" s="1" t="s">
        <v>33</v>
      </c>
      <c r="O276" s="1" t="s">
        <v>34</v>
      </c>
      <c r="P276" s="2">
        <v>41681</v>
      </c>
      <c r="Q276" s="2" t="b">
        <f t="shared" si="14"/>
        <v>0</v>
      </c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</row>
    <row r="277" spans="1:35" ht="14.25" customHeight="1" x14ac:dyDescent="0.2">
      <c r="A277" s="1">
        <v>31078</v>
      </c>
      <c r="B277" s="1" t="s">
        <v>432</v>
      </c>
      <c r="C277" s="1" t="s">
        <v>51</v>
      </c>
      <c r="D277" s="2">
        <v>41680</v>
      </c>
      <c r="E277" s="1" t="s">
        <v>38</v>
      </c>
      <c r="F277" s="1" t="s">
        <v>433</v>
      </c>
      <c r="G277" s="1">
        <v>7</v>
      </c>
      <c r="H277" s="1">
        <v>13.99</v>
      </c>
      <c r="I277" s="1">
        <f t="shared" si="12"/>
        <v>97.93</v>
      </c>
      <c r="J277" t="str">
        <f t="shared" si="13"/>
        <v>Low</v>
      </c>
      <c r="K277" s="1"/>
      <c r="L277" s="1">
        <v>0.01</v>
      </c>
      <c r="M277" s="1">
        <v>7.51</v>
      </c>
      <c r="N277" s="1" t="s">
        <v>33</v>
      </c>
      <c r="O277" s="1" t="s">
        <v>72</v>
      </c>
      <c r="P277" s="2">
        <v>41681</v>
      </c>
      <c r="Q277" s="2" t="b">
        <f t="shared" si="14"/>
        <v>0</v>
      </c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</row>
    <row r="278" spans="1:35" ht="14.25" customHeight="1" x14ac:dyDescent="0.2">
      <c r="A278" s="1">
        <v>44325</v>
      </c>
      <c r="B278" s="1" t="s">
        <v>120</v>
      </c>
      <c r="C278" s="1" t="s">
        <v>51</v>
      </c>
      <c r="D278" s="2">
        <v>41680</v>
      </c>
      <c r="E278" s="1" t="s">
        <v>101</v>
      </c>
      <c r="F278" s="1" t="s">
        <v>295</v>
      </c>
      <c r="G278" s="1">
        <v>44</v>
      </c>
      <c r="H278" s="1">
        <v>20.28</v>
      </c>
      <c r="I278" s="1">
        <f t="shared" si="12"/>
        <v>892.32</v>
      </c>
      <c r="J278" t="str">
        <f t="shared" si="13"/>
        <v>Low</v>
      </c>
      <c r="K278" s="1"/>
      <c r="L278" s="1">
        <v>0</v>
      </c>
      <c r="M278" s="1">
        <v>14.39</v>
      </c>
      <c r="N278" s="1" t="s">
        <v>33</v>
      </c>
      <c r="O278" s="1" t="s">
        <v>34</v>
      </c>
      <c r="P278" s="2">
        <v>41682</v>
      </c>
      <c r="Q278" s="2" t="b">
        <f t="shared" si="14"/>
        <v>0</v>
      </c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</row>
    <row r="279" spans="1:35" ht="14.25" customHeight="1" x14ac:dyDescent="0.2">
      <c r="A279" s="1">
        <v>52258</v>
      </c>
      <c r="B279" s="1" t="s">
        <v>434</v>
      </c>
      <c r="C279" s="1" t="s">
        <v>51</v>
      </c>
      <c r="D279" s="2">
        <v>41680</v>
      </c>
      <c r="E279" s="1" t="s">
        <v>43</v>
      </c>
      <c r="F279" s="1" t="s">
        <v>435</v>
      </c>
      <c r="G279" s="1">
        <v>5</v>
      </c>
      <c r="H279" s="1">
        <v>12.22</v>
      </c>
      <c r="I279" s="1">
        <f t="shared" si="12"/>
        <v>61.1</v>
      </c>
      <c r="J279" t="str">
        <f t="shared" si="13"/>
        <v>Low</v>
      </c>
      <c r="K279" s="1"/>
      <c r="L279" s="1">
        <v>0.04</v>
      </c>
      <c r="M279" s="1">
        <v>2.85</v>
      </c>
      <c r="N279" s="1" t="s">
        <v>33</v>
      </c>
      <c r="O279" s="1" t="s">
        <v>84</v>
      </c>
      <c r="P279" s="2">
        <v>41687</v>
      </c>
      <c r="Q279" s="2" t="b">
        <f t="shared" si="14"/>
        <v>0</v>
      </c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</row>
    <row r="280" spans="1:35" ht="14.25" customHeight="1" x14ac:dyDescent="0.2">
      <c r="A280" s="1">
        <v>45414</v>
      </c>
      <c r="B280" s="1" t="s">
        <v>126</v>
      </c>
      <c r="C280" s="1" t="s">
        <v>30</v>
      </c>
      <c r="D280" s="2">
        <v>41681</v>
      </c>
      <c r="E280" s="1" t="s">
        <v>38</v>
      </c>
      <c r="F280" s="1" t="s">
        <v>436</v>
      </c>
      <c r="G280" s="1">
        <v>17</v>
      </c>
      <c r="H280" s="1">
        <v>60.98</v>
      </c>
      <c r="I280" s="1">
        <f t="shared" si="12"/>
        <v>1036.6599999999999</v>
      </c>
      <c r="J280" t="str">
        <f t="shared" si="13"/>
        <v>High</v>
      </c>
      <c r="K280" s="1"/>
      <c r="L280" s="1">
        <v>0.08</v>
      </c>
      <c r="M280" s="1">
        <v>49</v>
      </c>
      <c r="N280" s="1" t="s">
        <v>33</v>
      </c>
      <c r="O280" s="1" t="s">
        <v>26</v>
      </c>
      <c r="P280" s="2">
        <v>41682</v>
      </c>
      <c r="Q280" s="2" t="b">
        <f t="shared" si="14"/>
        <v>0</v>
      </c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</row>
    <row r="281" spans="1:35" ht="14.25" customHeight="1" x14ac:dyDescent="0.2">
      <c r="A281" s="1">
        <v>47493</v>
      </c>
      <c r="B281" s="1" t="s">
        <v>437</v>
      </c>
      <c r="C281" s="1" t="s">
        <v>21</v>
      </c>
      <c r="D281" s="2">
        <v>41681</v>
      </c>
      <c r="E281" s="1" t="s">
        <v>38</v>
      </c>
      <c r="F281" s="1" t="s">
        <v>438</v>
      </c>
      <c r="G281" s="1">
        <v>36</v>
      </c>
      <c r="H281" s="1">
        <v>270.98</v>
      </c>
      <c r="I281" s="1">
        <f t="shared" si="12"/>
        <v>9755.2800000000007</v>
      </c>
      <c r="J281" t="str">
        <f t="shared" si="13"/>
        <v>High</v>
      </c>
      <c r="K281" s="1"/>
      <c r="L281" s="1">
        <v>7.0000000000000007E-2</v>
      </c>
      <c r="M281" s="1">
        <v>50</v>
      </c>
      <c r="N281" s="1" t="s">
        <v>45</v>
      </c>
      <c r="O281" s="1" t="s">
        <v>46</v>
      </c>
      <c r="P281" s="2">
        <v>41683</v>
      </c>
      <c r="Q281" s="2" t="b">
        <f t="shared" si="14"/>
        <v>0</v>
      </c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</row>
    <row r="282" spans="1:35" ht="14.25" customHeight="1" x14ac:dyDescent="0.2">
      <c r="A282" s="1">
        <v>14983</v>
      </c>
      <c r="B282" s="1" t="s">
        <v>439</v>
      </c>
      <c r="C282" s="1" t="s">
        <v>51</v>
      </c>
      <c r="D282" s="2">
        <v>41681</v>
      </c>
      <c r="E282" s="1" t="s">
        <v>31</v>
      </c>
      <c r="F282" s="1" t="s">
        <v>440</v>
      </c>
      <c r="G282" s="1">
        <v>48</v>
      </c>
      <c r="H282" s="1">
        <v>205.99</v>
      </c>
      <c r="I282" s="1">
        <f t="shared" si="12"/>
        <v>9887.52</v>
      </c>
      <c r="J282" t="str">
        <f t="shared" si="13"/>
        <v>High</v>
      </c>
      <c r="K282" s="1"/>
      <c r="L282" s="1">
        <v>0.05</v>
      </c>
      <c r="M282" s="1">
        <v>8.99</v>
      </c>
      <c r="N282" s="1" t="s">
        <v>25</v>
      </c>
      <c r="O282" s="1" t="s">
        <v>34</v>
      </c>
      <c r="P282" s="2">
        <v>41682</v>
      </c>
      <c r="Q282" s="2" t="b">
        <f t="shared" si="14"/>
        <v>0</v>
      </c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</row>
    <row r="283" spans="1:35" ht="14.25" customHeight="1" x14ac:dyDescent="0.2">
      <c r="A283" s="1">
        <v>14983</v>
      </c>
      <c r="B283" s="1" t="s">
        <v>439</v>
      </c>
      <c r="C283" s="1" t="s">
        <v>51</v>
      </c>
      <c r="D283" s="2">
        <v>41681</v>
      </c>
      <c r="E283" s="1" t="s">
        <v>31</v>
      </c>
      <c r="F283" s="1" t="s">
        <v>441</v>
      </c>
      <c r="G283" s="1">
        <v>18</v>
      </c>
      <c r="H283" s="1">
        <v>205.99</v>
      </c>
      <c r="I283" s="1">
        <f t="shared" si="12"/>
        <v>3707.82</v>
      </c>
      <c r="J283" t="str">
        <f t="shared" si="13"/>
        <v>High</v>
      </c>
      <c r="K283" s="1"/>
      <c r="L283" s="1">
        <v>0.08</v>
      </c>
      <c r="M283" s="1">
        <v>8.99</v>
      </c>
      <c r="N283" s="1" t="s">
        <v>33</v>
      </c>
      <c r="O283" s="1" t="s">
        <v>34</v>
      </c>
      <c r="P283" s="2">
        <v>41682</v>
      </c>
      <c r="Q283" s="2" t="b">
        <f t="shared" si="14"/>
        <v>0</v>
      </c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</row>
    <row r="284" spans="1:35" ht="14.25" customHeight="1" x14ac:dyDescent="0.2">
      <c r="A284" s="1">
        <v>18790</v>
      </c>
      <c r="B284" s="1" t="s">
        <v>442</v>
      </c>
      <c r="C284" s="1" t="s">
        <v>51</v>
      </c>
      <c r="D284" s="2">
        <v>41681</v>
      </c>
      <c r="E284" s="1" t="s">
        <v>31</v>
      </c>
      <c r="F284" s="1" t="s">
        <v>443</v>
      </c>
      <c r="G284" s="1">
        <v>7</v>
      </c>
      <c r="H284" s="1">
        <v>2036.48</v>
      </c>
      <c r="I284" s="1">
        <f t="shared" si="12"/>
        <v>14255.36</v>
      </c>
      <c r="J284" t="str">
        <f t="shared" si="13"/>
        <v>High</v>
      </c>
      <c r="K284" s="1"/>
      <c r="L284" s="1">
        <v>0.01</v>
      </c>
      <c r="M284" s="1">
        <v>14.7</v>
      </c>
      <c r="N284" s="1" t="s">
        <v>45</v>
      </c>
      <c r="O284" s="1" t="s">
        <v>46</v>
      </c>
      <c r="P284" s="2">
        <v>41683</v>
      </c>
      <c r="Q284" s="2" t="b">
        <f t="shared" si="14"/>
        <v>0</v>
      </c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</row>
    <row r="285" spans="1:35" ht="14.25" customHeight="1" x14ac:dyDescent="0.2">
      <c r="A285" s="1">
        <v>42339</v>
      </c>
      <c r="B285" s="1" t="s">
        <v>444</v>
      </c>
      <c r="C285" s="1" t="s">
        <v>21</v>
      </c>
      <c r="D285" s="2">
        <v>41682</v>
      </c>
      <c r="E285" s="1" t="s">
        <v>38</v>
      </c>
      <c r="F285" s="1" t="s">
        <v>445</v>
      </c>
      <c r="G285" s="1">
        <v>31</v>
      </c>
      <c r="H285" s="1">
        <v>6.48</v>
      </c>
      <c r="I285" s="1">
        <f t="shared" si="12"/>
        <v>200.88000000000002</v>
      </c>
      <c r="J285" t="str">
        <f t="shared" si="13"/>
        <v>Low</v>
      </c>
      <c r="K285" s="1"/>
      <c r="L285" s="1">
        <v>0.02</v>
      </c>
      <c r="M285" s="1">
        <v>9.68</v>
      </c>
      <c r="N285" s="1" t="s">
        <v>33</v>
      </c>
      <c r="O285" s="1" t="s">
        <v>34</v>
      </c>
      <c r="P285" s="2">
        <v>41682</v>
      </c>
      <c r="Q285" s="2" t="b">
        <f t="shared" si="14"/>
        <v>0</v>
      </c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</row>
    <row r="286" spans="1:35" ht="14.25" customHeight="1" x14ac:dyDescent="0.2">
      <c r="A286" s="1">
        <v>14211</v>
      </c>
      <c r="B286" s="1" t="s">
        <v>446</v>
      </c>
      <c r="C286" s="1" t="s">
        <v>51</v>
      </c>
      <c r="D286" s="2">
        <v>41682</v>
      </c>
      <c r="E286" s="1" t="s">
        <v>22</v>
      </c>
      <c r="F286" s="1" t="s">
        <v>331</v>
      </c>
      <c r="G286" s="1">
        <v>22</v>
      </c>
      <c r="H286" s="1">
        <v>150.97999999999999</v>
      </c>
      <c r="I286" s="1">
        <f t="shared" si="12"/>
        <v>3321.56</v>
      </c>
      <c r="J286" t="str">
        <f t="shared" si="13"/>
        <v>High</v>
      </c>
      <c r="K286" s="1"/>
      <c r="L286" s="1">
        <v>0.04</v>
      </c>
      <c r="M286" s="1">
        <v>13.99</v>
      </c>
      <c r="N286" s="1" t="s">
        <v>33</v>
      </c>
      <c r="O286" s="1" t="s">
        <v>72</v>
      </c>
      <c r="P286" s="2">
        <v>41685</v>
      </c>
      <c r="Q286" s="2" t="b">
        <f t="shared" si="14"/>
        <v>0</v>
      </c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</row>
    <row r="287" spans="1:35" ht="14.25" customHeight="1" x14ac:dyDescent="0.2">
      <c r="A287" s="1">
        <v>14211</v>
      </c>
      <c r="B287" s="1" t="s">
        <v>446</v>
      </c>
      <c r="C287" s="1" t="s">
        <v>30</v>
      </c>
      <c r="D287" s="2">
        <v>41682</v>
      </c>
      <c r="E287" s="1" t="s">
        <v>22</v>
      </c>
      <c r="F287" s="1" t="s">
        <v>447</v>
      </c>
      <c r="G287" s="1">
        <v>14</v>
      </c>
      <c r="H287" s="1">
        <v>176.19</v>
      </c>
      <c r="I287" s="1">
        <f t="shared" si="12"/>
        <v>2466.66</v>
      </c>
      <c r="J287" t="str">
        <f t="shared" si="13"/>
        <v>High</v>
      </c>
      <c r="K287" s="1"/>
      <c r="L287" s="1">
        <v>0.04</v>
      </c>
      <c r="M287" s="1">
        <v>11.87</v>
      </c>
      <c r="N287" s="1" t="s">
        <v>33</v>
      </c>
      <c r="O287" s="1" t="s">
        <v>34</v>
      </c>
      <c r="P287" s="2">
        <v>41684</v>
      </c>
      <c r="Q287" s="2" t="b">
        <f t="shared" si="14"/>
        <v>0</v>
      </c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</row>
    <row r="288" spans="1:35" ht="14.25" customHeight="1" x14ac:dyDescent="0.2">
      <c r="A288" s="1">
        <v>14823</v>
      </c>
      <c r="B288" s="1" t="s">
        <v>448</v>
      </c>
      <c r="C288" s="1" t="s">
        <v>51</v>
      </c>
      <c r="D288" s="2">
        <v>41682</v>
      </c>
      <c r="E288" s="1" t="s">
        <v>43</v>
      </c>
      <c r="F288" s="1" t="s">
        <v>449</v>
      </c>
      <c r="G288" s="1">
        <v>15</v>
      </c>
      <c r="H288" s="1">
        <v>7.31</v>
      </c>
      <c r="I288" s="1">
        <f t="shared" si="12"/>
        <v>109.64999999999999</v>
      </c>
      <c r="J288" t="str">
        <f t="shared" si="13"/>
        <v>Low</v>
      </c>
      <c r="K288" s="1"/>
      <c r="L288" s="1">
        <v>0.1</v>
      </c>
      <c r="M288" s="1">
        <v>0.49</v>
      </c>
      <c r="N288" s="1" t="s">
        <v>33</v>
      </c>
      <c r="O288" s="1" t="s">
        <v>34</v>
      </c>
      <c r="P288" s="2">
        <v>41691</v>
      </c>
      <c r="Q288" s="2" t="b">
        <f t="shared" si="14"/>
        <v>0</v>
      </c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</row>
    <row r="289" spans="1:35" ht="14.25" customHeight="1" x14ac:dyDescent="0.2">
      <c r="A289" s="1">
        <v>14823</v>
      </c>
      <c r="B289" s="1" t="s">
        <v>448</v>
      </c>
      <c r="C289" s="1" t="s">
        <v>21</v>
      </c>
      <c r="D289" s="2">
        <v>41682</v>
      </c>
      <c r="E289" s="1" t="s">
        <v>43</v>
      </c>
      <c r="F289" s="1" t="s">
        <v>450</v>
      </c>
      <c r="G289" s="1">
        <v>20</v>
      </c>
      <c r="H289" s="1">
        <v>6.7</v>
      </c>
      <c r="I289" s="1">
        <f t="shared" si="12"/>
        <v>134</v>
      </c>
      <c r="J289" t="str">
        <f t="shared" si="13"/>
        <v>Low</v>
      </c>
      <c r="K289" s="1"/>
      <c r="L289" s="1">
        <v>0.08</v>
      </c>
      <c r="M289" s="1">
        <v>1.56</v>
      </c>
      <c r="N289" s="1" t="s">
        <v>33</v>
      </c>
      <c r="O289" s="1" t="s">
        <v>55</v>
      </c>
      <c r="P289" s="2">
        <v>41682</v>
      </c>
      <c r="Q289" s="2" t="b">
        <f t="shared" si="14"/>
        <v>0</v>
      </c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</row>
    <row r="290" spans="1:35" ht="14.25" customHeight="1" x14ac:dyDescent="0.2">
      <c r="A290" s="1">
        <v>833</v>
      </c>
      <c r="B290" s="1" t="s">
        <v>147</v>
      </c>
      <c r="C290" s="1" t="s">
        <v>30</v>
      </c>
      <c r="D290" s="2">
        <v>41682</v>
      </c>
      <c r="E290" s="1" t="s">
        <v>101</v>
      </c>
      <c r="F290" s="1" t="s">
        <v>451</v>
      </c>
      <c r="G290" s="1">
        <v>1</v>
      </c>
      <c r="H290" s="1">
        <v>12.53</v>
      </c>
      <c r="I290" s="1">
        <f t="shared" si="12"/>
        <v>12.53</v>
      </c>
      <c r="J290" t="str">
        <f t="shared" si="13"/>
        <v>Low</v>
      </c>
      <c r="K290" s="1"/>
      <c r="L290" s="1">
        <v>0.03</v>
      </c>
      <c r="M290" s="1">
        <v>7.17</v>
      </c>
      <c r="N290" s="1" t="s">
        <v>33</v>
      </c>
      <c r="O290" s="1" t="s">
        <v>34</v>
      </c>
      <c r="P290" s="2">
        <v>41683</v>
      </c>
      <c r="Q290" s="2" t="b">
        <f t="shared" si="14"/>
        <v>0</v>
      </c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</row>
    <row r="291" spans="1:35" ht="14.25" customHeight="1" x14ac:dyDescent="0.2">
      <c r="A291" s="1">
        <v>59104</v>
      </c>
      <c r="B291" s="1" t="s">
        <v>280</v>
      </c>
      <c r="C291" s="1" t="s">
        <v>30</v>
      </c>
      <c r="D291" s="2">
        <v>41682</v>
      </c>
      <c r="E291" s="1" t="s">
        <v>31</v>
      </c>
      <c r="F291" s="1" t="s">
        <v>452</v>
      </c>
      <c r="G291" s="1">
        <v>13</v>
      </c>
      <c r="H291" s="1">
        <v>14.27</v>
      </c>
      <c r="I291" s="1">
        <f t="shared" si="12"/>
        <v>185.51</v>
      </c>
      <c r="J291" t="str">
        <f t="shared" si="13"/>
        <v>Low</v>
      </c>
      <c r="K291" s="1"/>
      <c r="L291" s="1">
        <v>0.08</v>
      </c>
      <c r="M291" s="1">
        <v>7.27</v>
      </c>
      <c r="N291" s="1" t="s">
        <v>25</v>
      </c>
      <c r="O291" s="1" t="s">
        <v>34</v>
      </c>
      <c r="P291" s="2">
        <v>41685</v>
      </c>
      <c r="Q291" s="2" t="b">
        <f t="shared" si="14"/>
        <v>0</v>
      </c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</row>
    <row r="292" spans="1:35" ht="14.25" customHeight="1" x14ac:dyDescent="0.2">
      <c r="A292" s="1">
        <v>59104</v>
      </c>
      <c r="B292" s="1" t="s">
        <v>280</v>
      </c>
      <c r="C292" s="1" t="s">
        <v>21</v>
      </c>
      <c r="D292" s="2">
        <v>41682</v>
      </c>
      <c r="E292" s="1" t="s">
        <v>31</v>
      </c>
      <c r="F292" s="1" t="s">
        <v>453</v>
      </c>
      <c r="G292" s="1">
        <v>22</v>
      </c>
      <c r="H292" s="1">
        <v>2.98</v>
      </c>
      <c r="I292" s="1">
        <f t="shared" si="12"/>
        <v>65.56</v>
      </c>
      <c r="J292" t="str">
        <f t="shared" si="13"/>
        <v>Low</v>
      </c>
      <c r="K292" s="1"/>
      <c r="L292" s="1">
        <v>0.04</v>
      </c>
      <c r="M292" s="1">
        <v>1.58</v>
      </c>
      <c r="N292" s="1" t="s">
        <v>33</v>
      </c>
      <c r="O292" s="1" t="s">
        <v>55</v>
      </c>
      <c r="P292" s="2">
        <v>41685</v>
      </c>
      <c r="Q292" s="2" t="b">
        <f t="shared" si="14"/>
        <v>0</v>
      </c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</row>
    <row r="293" spans="1:35" ht="14.25" customHeight="1" x14ac:dyDescent="0.2">
      <c r="A293" s="1">
        <v>59104</v>
      </c>
      <c r="B293" s="1" t="s">
        <v>280</v>
      </c>
      <c r="C293" s="1" t="s">
        <v>51</v>
      </c>
      <c r="D293" s="2">
        <v>41682</v>
      </c>
      <c r="E293" s="1" t="s">
        <v>31</v>
      </c>
      <c r="F293" s="1" t="s">
        <v>454</v>
      </c>
      <c r="G293" s="1">
        <v>38</v>
      </c>
      <c r="H293" s="1">
        <v>115.99</v>
      </c>
      <c r="I293" s="1">
        <f t="shared" si="12"/>
        <v>4407.62</v>
      </c>
      <c r="J293" t="str">
        <f t="shared" si="13"/>
        <v>High</v>
      </c>
      <c r="K293" s="1"/>
      <c r="L293" s="1">
        <v>0.05</v>
      </c>
      <c r="M293" s="1">
        <v>2.5</v>
      </c>
      <c r="N293" s="1" t="s">
        <v>33</v>
      </c>
      <c r="O293" s="1" t="s">
        <v>34</v>
      </c>
      <c r="P293" s="2">
        <v>41684</v>
      </c>
      <c r="Q293" s="2" t="b">
        <f t="shared" si="14"/>
        <v>0</v>
      </c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</row>
    <row r="294" spans="1:35" ht="14.25" customHeight="1" x14ac:dyDescent="0.2">
      <c r="A294" s="1">
        <v>57856</v>
      </c>
      <c r="B294" s="1" t="s">
        <v>455</v>
      </c>
      <c r="C294" s="1" t="s">
        <v>30</v>
      </c>
      <c r="D294" s="2">
        <v>41682</v>
      </c>
      <c r="E294" s="1" t="s">
        <v>101</v>
      </c>
      <c r="F294" s="1" t="s">
        <v>456</v>
      </c>
      <c r="G294" s="1">
        <v>17</v>
      </c>
      <c r="H294" s="1">
        <v>7.1</v>
      </c>
      <c r="I294" s="1">
        <f t="shared" si="12"/>
        <v>120.69999999999999</v>
      </c>
      <c r="J294" t="str">
        <f t="shared" si="13"/>
        <v>Low</v>
      </c>
      <c r="K294" s="1"/>
      <c r="L294" s="1">
        <v>0.06</v>
      </c>
      <c r="M294" s="1">
        <v>6.05</v>
      </c>
      <c r="N294" s="1" t="s">
        <v>33</v>
      </c>
      <c r="O294" s="1" t="s">
        <v>34</v>
      </c>
      <c r="P294" s="2">
        <v>41683</v>
      </c>
      <c r="Q294" s="2" t="b">
        <f t="shared" si="14"/>
        <v>0</v>
      </c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</row>
    <row r="295" spans="1:35" ht="14.25" customHeight="1" x14ac:dyDescent="0.2">
      <c r="A295" s="1">
        <v>57856</v>
      </c>
      <c r="B295" s="1" t="s">
        <v>455</v>
      </c>
      <c r="C295" s="1" t="s">
        <v>30</v>
      </c>
      <c r="D295" s="2">
        <v>41682</v>
      </c>
      <c r="E295" s="1" t="s">
        <v>101</v>
      </c>
      <c r="F295" s="1" t="s">
        <v>150</v>
      </c>
      <c r="G295" s="1">
        <v>31</v>
      </c>
      <c r="H295" s="1">
        <v>2.78</v>
      </c>
      <c r="I295" s="1">
        <f t="shared" si="12"/>
        <v>86.179999999999993</v>
      </c>
      <c r="J295" t="str">
        <f t="shared" si="13"/>
        <v>Low</v>
      </c>
      <c r="K295" s="1"/>
      <c r="L295" s="1">
        <v>0.02</v>
      </c>
      <c r="M295" s="1">
        <v>0.97</v>
      </c>
      <c r="N295" s="1" t="s">
        <v>33</v>
      </c>
      <c r="O295" s="1" t="s">
        <v>55</v>
      </c>
      <c r="P295" s="2">
        <v>41683</v>
      </c>
      <c r="Q295" s="2" t="b">
        <f t="shared" si="14"/>
        <v>0</v>
      </c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</row>
    <row r="296" spans="1:35" ht="14.25" customHeight="1" x14ac:dyDescent="0.2">
      <c r="A296" s="1">
        <v>52227</v>
      </c>
      <c r="B296" s="1" t="s">
        <v>457</v>
      </c>
      <c r="C296" s="1" t="s">
        <v>51</v>
      </c>
      <c r="D296" s="2">
        <v>41682</v>
      </c>
      <c r="E296" s="1" t="s">
        <v>101</v>
      </c>
      <c r="F296" s="1" t="s">
        <v>458</v>
      </c>
      <c r="G296" s="1">
        <v>37</v>
      </c>
      <c r="H296" s="1">
        <v>6.48</v>
      </c>
      <c r="I296" s="1">
        <f t="shared" si="12"/>
        <v>239.76000000000002</v>
      </c>
      <c r="J296" t="str">
        <f t="shared" si="13"/>
        <v>Low</v>
      </c>
      <c r="K296" s="1"/>
      <c r="L296" s="1">
        <v>0.05</v>
      </c>
      <c r="M296" s="1">
        <v>8.19</v>
      </c>
      <c r="N296" s="1" t="s">
        <v>33</v>
      </c>
      <c r="O296" s="1" t="s">
        <v>34</v>
      </c>
      <c r="P296" s="2">
        <v>41685</v>
      </c>
      <c r="Q296" s="2" t="b">
        <f t="shared" si="14"/>
        <v>0</v>
      </c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</row>
    <row r="297" spans="1:35" ht="14.25" customHeight="1" x14ac:dyDescent="0.2">
      <c r="A297" s="1">
        <v>21572</v>
      </c>
      <c r="B297" s="1" t="s">
        <v>459</v>
      </c>
      <c r="C297" s="1" t="s">
        <v>21</v>
      </c>
      <c r="D297" s="2">
        <v>41683</v>
      </c>
      <c r="E297" s="1" t="s">
        <v>38</v>
      </c>
      <c r="F297" s="1" t="s">
        <v>89</v>
      </c>
      <c r="G297" s="1">
        <v>42</v>
      </c>
      <c r="H297" s="1">
        <v>194.3</v>
      </c>
      <c r="I297" s="1">
        <f t="shared" si="12"/>
        <v>8160.6</v>
      </c>
      <c r="J297" t="str">
        <f t="shared" si="13"/>
        <v>High</v>
      </c>
      <c r="K297" s="1"/>
      <c r="L297" s="1">
        <v>0.03</v>
      </c>
      <c r="M297" s="1">
        <v>11.54</v>
      </c>
      <c r="N297" s="1" t="s">
        <v>33</v>
      </c>
      <c r="O297" s="1" t="s">
        <v>26</v>
      </c>
      <c r="P297" s="2">
        <v>41685</v>
      </c>
      <c r="Q297" s="2" t="b">
        <f t="shared" si="14"/>
        <v>0</v>
      </c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</row>
    <row r="298" spans="1:35" ht="14.25" customHeight="1" x14ac:dyDescent="0.2">
      <c r="A298" s="1">
        <v>16612</v>
      </c>
      <c r="B298" s="1" t="s">
        <v>296</v>
      </c>
      <c r="C298" s="1" t="s">
        <v>51</v>
      </c>
      <c r="D298" s="2">
        <v>41683</v>
      </c>
      <c r="E298" s="1" t="s">
        <v>31</v>
      </c>
      <c r="F298" s="1" t="s">
        <v>460</v>
      </c>
      <c r="G298" s="1">
        <v>45</v>
      </c>
      <c r="H298" s="1">
        <v>80.97</v>
      </c>
      <c r="I298" s="1">
        <f t="shared" si="12"/>
        <v>3643.65</v>
      </c>
      <c r="J298" t="str">
        <f t="shared" si="13"/>
        <v>High</v>
      </c>
      <c r="K298" s="1"/>
      <c r="L298" s="1">
        <v>0.05</v>
      </c>
      <c r="M298" s="1">
        <v>30.06</v>
      </c>
      <c r="N298" s="1" t="s">
        <v>45</v>
      </c>
      <c r="O298" s="1" t="s">
        <v>63</v>
      </c>
      <c r="P298" s="2">
        <v>41684</v>
      </c>
      <c r="Q298" s="2" t="b">
        <f t="shared" si="14"/>
        <v>0</v>
      </c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</row>
    <row r="299" spans="1:35" ht="14.25" customHeight="1" x14ac:dyDescent="0.2">
      <c r="A299" s="1">
        <v>16612</v>
      </c>
      <c r="B299" s="1" t="s">
        <v>296</v>
      </c>
      <c r="C299" s="1" t="s">
        <v>30</v>
      </c>
      <c r="D299" s="2">
        <v>41683</v>
      </c>
      <c r="E299" s="1" t="s">
        <v>31</v>
      </c>
      <c r="F299" s="1" t="s">
        <v>461</v>
      </c>
      <c r="G299" s="1">
        <v>6</v>
      </c>
      <c r="H299" s="1">
        <v>6.48</v>
      </c>
      <c r="I299" s="1">
        <f t="shared" si="12"/>
        <v>38.880000000000003</v>
      </c>
      <c r="J299" t="str">
        <f t="shared" si="13"/>
        <v>Low</v>
      </c>
      <c r="K299" s="1"/>
      <c r="L299" s="1">
        <v>0</v>
      </c>
      <c r="M299" s="1">
        <v>10.050000000000001</v>
      </c>
      <c r="N299" s="1" t="s">
        <v>33</v>
      </c>
      <c r="O299" s="1" t="s">
        <v>34</v>
      </c>
      <c r="P299" s="2">
        <v>41685</v>
      </c>
      <c r="Q299" s="2" t="b">
        <f t="shared" si="14"/>
        <v>0</v>
      </c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</row>
    <row r="300" spans="1:35" ht="14.25" customHeight="1" x14ac:dyDescent="0.2">
      <c r="A300" s="1">
        <v>54055</v>
      </c>
      <c r="B300" s="1" t="s">
        <v>462</v>
      </c>
      <c r="C300" s="1" t="s">
        <v>30</v>
      </c>
      <c r="D300" s="2">
        <v>41683</v>
      </c>
      <c r="E300" s="1" t="s">
        <v>38</v>
      </c>
      <c r="F300" s="1" t="s">
        <v>463</v>
      </c>
      <c r="G300" s="1">
        <v>44</v>
      </c>
      <c r="H300" s="1">
        <v>120.98</v>
      </c>
      <c r="I300" s="1">
        <f t="shared" si="12"/>
        <v>5323.12</v>
      </c>
      <c r="J300" t="str">
        <f t="shared" si="13"/>
        <v>High</v>
      </c>
      <c r="K300" s="1"/>
      <c r="L300" s="1">
        <v>0.02</v>
      </c>
      <c r="M300" s="1">
        <v>58.64</v>
      </c>
      <c r="N300" s="1" t="s">
        <v>45</v>
      </c>
      <c r="O300" s="1" t="s">
        <v>63</v>
      </c>
      <c r="P300" s="2">
        <v>41685</v>
      </c>
      <c r="Q300" s="2" t="b">
        <f t="shared" si="14"/>
        <v>0</v>
      </c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</row>
    <row r="301" spans="1:35" ht="14.25" customHeight="1" x14ac:dyDescent="0.2">
      <c r="A301" s="1">
        <v>57506</v>
      </c>
      <c r="B301" s="1" t="s">
        <v>434</v>
      </c>
      <c r="C301" s="1" t="s">
        <v>21</v>
      </c>
      <c r="D301" s="2">
        <v>41683</v>
      </c>
      <c r="E301" s="1" t="s">
        <v>101</v>
      </c>
      <c r="F301" s="1" t="s">
        <v>464</v>
      </c>
      <c r="G301" s="1">
        <v>48</v>
      </c>
      <c r="H301" s="1">
        <v>7.28</v>
      </c>
      <c r="I301" s="1">
        <f t="shared" si="12"/>
        <v>349.44</v>
      </c>
      <c r="J301" t="str">
        <f t="shared" si="13"/>
        <v>Low</v>
      </c>
      <c r="K301" s="1"/>
      <c r="L301" s="1">
        <v>0.1</v>
      </c>
      <c r="M301" s="1">
        <v>5.47</v>
      </c>
      <c r="N301" s="1" t="s">
        <v>33</v>
      </c>
      <c r="O301" s="1" t="s">
        <v>34</v>
      </c>
      <c r="P301" s="2">
        <v>41683</v>
      </c>
      <c r="Q301" s="2" t="b">
        <f t="shared" si="14"/>
        <v>0</v>
      </c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</row>
    <row r="302" spans="1:35" ht="14.25" customHeight="1" x14ac:dyDescent="0.2">
      <c r="A302" s="1">
        <v>13408</v>
      </c>
      <c r="B302" s="1" t="s">
        <v>145</v>
      </c>
      <c r="C302" s="1" t="s">
        <v>30</v>
      </c>
      <c r="D302" s="2">
        <v>41684</v>
      </c>
      <c r="E302" s="1" t="s">
        <v>43</v>
      </c>
      <c r="F302" s="1" t="s">
        <v>465</v>
      </c>
      <c r="G302" s="1">
        <v>4</v>
      </c>
      <c r="H302" s="1">
        <v>60.65</v>
      </c>
      <c r="I302" s="1">
        <f t="shared" si="12"/>
        <v>242.6</v>
      </c>
      <c r="J302" t="str">
        <f t="shared" si="13"/>
        <v>Low</v>
      </c>
      <c r="K302" s="1"/>
      <c r="L302" s="1">
        <v>0.04</v>
      </c>
      <c r="M302" s="1">
        <v>12.23</v>
      </c>
      <c r="N302" s="1" t="s">
        <v>33</v>
      </c>
      <c r="O302" s="1" t="s">
        <v>72</v>
      </c>
      <c r="P302" s="2">
        <v>41686</v>
      </c>
      <c r="Q302" s="2" t="b">
        <f t="shared" si="14"/>
        <v>0</v>
      </c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</row>
    <row r="303" spans="1:35" ht="14.25" customHeight="1" x14ac:dyDescent="0.2">
      <c r="A303" s="1">
        <v>14913</v>
      </c>
      <c r="B303" s="1" t="s">
        <v>466</v>
      </c>
      <c r="C303" s="1" t="s">
        <v>51</v>
      </c>
      <c r="D303" s="2">
        <v>41684</v>
      </c>
      <c r="E303" s="1" t="s">
        <v>31</v>
      </c>
      <c r="F303" s="1" t="s">
        <v>291</v>
      </c>
      <c r="G303" s="1">
        <v>47</v>
      </c>
      <c r="H303" s="1">
        <v>19.98</v>
      </c>
      <c r="I303" s="1">
        <f t="shared" si="12"/>
        <v>939.06000000000006</v>
      </c>
      <c r="J303" t="str">
        <f t="shared" si="13"/>
        <v>Low</v>
      </c>
      <c r="K303" s="1"/>
      <c r="L303" s="1">
        <v>0.01</v>
      </c>
      <c r="M303" s="1">
        <v>8.68</v>
      </c>
      <c r="N303" s="1" t="s">
        <v>33</v>
      </c>
      <c r="O303" s="1" t="s">
        <v>34</v>
      </c>
      <c r="P303" s="2">
        <v>41685</v>
      </c>
      <c r="Q303" s="2" t="b">
        <f t="shared" si="14"/>
        <v>0</v>
      </c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</row>
    <row r="304" spans="1:35" ht="14.25" customHeight="1" x14ac:dyDescent="0.2">
      <c r="A304" s="1">
        <v>48836</v>
      </c>
      <c r="B304" s="1" t="s">
        <v>442</v>
      </c>
      <c r="C304" s="1" t="s">
        <v>30</v>
      </c>
      <c r="D304" s="2">
        <v>41684</v>
      </c>
      <c r="E304" s="1" t="s">
        <v>38</v>
      </c>
      <c r="F304" s="1" t="s">
        <v>467</v>
      </c>
      <c r="G304" s="1">
        <v>8</v>
      </c>
      <c r="H304" s="1">
        <v>348.21</v>
      </c>
      <c r="I304" s="1">
        <f t="shared" si="12"/>
        <v>2785.68</v>
      </c>
      <c r="J304" t="str">
        <f t="shared" si="13"/>
        <v>High</v>
      </c>
      <c r="K304" s="1"/>
      <c r="L304" s="1">
        <v>0.09</v>
      </c>
      <c r="M304" s="1">
        <v>40.19</v>
      </c>
      <c r="N304" s="1" t="s">
        <v>45</v>
      </c>
      <c r="O304" s="1" t="s">
        <v>63</v>
      </c>
      <c r="P304" s="2">
        <v>41686</v>
      </c>
      <c r="Q304" s="2" t="b">
        <f t="shared" si="14"/>
        <v>0</v>
      </c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</row>
    <row r="305" spans="1:35" ht="14.25" customHeight="1" x14ac:dyDescent="0.2">
      <c r="A305" s="1">
        <v>56452</v>
      </c>
      <c r="B305" s="1" t="s">
        <v>468</v>
      </c>
      <c r="C305" s="1" t="s">
        <v>30</v>
      </c>
      <c r="D305" s="2">
        <v>41684</v>
      </c>
      <c r="E305" s="1" t="s">
        <v>22</v>
      </c>
      <c r="F305" s="1" t="s">
        <v>469</v>
      </c>
      <c r="G305" s="1">
        <v>34</v>
      </c>
      <c r="H305" s="1">
        <v>236.97</v>
      </c>
      <c r="I305" s="1">
        <f t="shared" si="12"/>
        <v>8056.98</v>
      </c>
      <c r="J305" t="str">
        <f t="shared" si="13"/>
        <v>High</v>
      </c>
      <c r="K305" s="1"/>
      <c r="L305" s="1">
        <v>0</v>
      </c>
      <c r="M305" s="1">
        <v>59.24</v>
      </c>
      <c r="N305" s="1" t="s">
        <v>45</v>
      </c>
      <c r="O305" s="1" t="s">
        <v>63</v>
      </c>
      <c r="P305" s="2">
        <v>41685</v>
      </c>
      <c r="Q305" s="2" t="b">
        <f t="shared" si="14"/>
        <v>0</v>
      </c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</row>
    <row r="306" spans="1:35" ht="14.25" customHeight="1" x14ac:dyDescent="0.2">
      <c r="A306" s="1">
        <v>46119</v>
      </c>
      <c r="B306" s="1" t="s">
        <v>243</v>
      </c>
      <c r="C306" s="1" t="s">
        <v>30</v>
      </c>
      <c r="D306" s="2">
        <v>41685</v>
      </c>
      <c r="E306" s="1" t="s">
        <v>38</v>
      </c>
      <c r="F306" s="1" t="s">
        <v>470</v>
      </c>
      <c r="G306" s="1">
        <v>23</v>
      </c>
      <c r="H306" s="1">
        <v>3.8</v>
      </c>
      <c r="I306" s="1">
        <f t="shared" si="12"/>
        <v>87.399999999999991</v>
      </c>
      <c r="J306" t="str">
        <f t="shared" si="13"/>
        <v>Low</v>
      </c>
      <c r="K306" s="1"/>
      <c r="L306" s="1">
        <v>0.03</v>
      </c>
      <c r="M306" s="1">
        <v>1.49</v>
      </c>
      <c r="N306" s="1" t="s">
        <v>33</v>
      </c>
      <c r="O306" s="1" t="s">
        <v>34</v>
      </c>
      <c r="P306" s="2">
        <v>41687</v>
      </c>
      <c r="Q306" s="2" t="b">
        <f t="shared" si="14"/>
        <v>0</v>
      </c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</row>
    <row r="307" spans="1:35" ht="14.25" customHeight="1" x14ac:dyDescent="0.2">
      <c r="A307" s="1">
        <v>46119</v>
      </c>
      <c r="B307" s="1" t="s">
        <v>243</v>
      </c>
      <c r="C307" s="1" t="s">
        <v>21</v>
      </c>
      <c r="D307" s="2">
        <v>41685</v>
      </c>
      <c r="E307" s="1" t="s">
        <v>38</v>
      </c>
      <c r="F307" s="1" t="s">
        <v>471</v>
      </c>
      <c r="G307" s="1">
        <v>20</v>
      </c>
      <c r="H307" s="1">
        <v>7.98</v>
      </c>
      <c r="I307" s="1">
        <f t="shared" si="12"/>
        <v>159.60000000000002</v>
      </c>
      <c r="J307" t="str">
        <f t="shared" si="13"/>
        <v>Low</v>
      </c>
      <c r="K307" s="1"/>
      <c r="L307" s="1">
        <v>7.0000000000000007E-2</v>
      </c>
      <c r="M307" s="1">
        <v>1.25</v>
      </c>
      <c r="N307" s="1" t="s">
        <v>33</v>
      </c>
      <c r="O307" s="1" t="s">
        <v>55</v>
      </c>
      <c r="P307" s="2">
        <v>41687</v>
      </c>
      <c r="Q307" s="2" t="b">
        <f t="shared" si="14"/>
        <v>0</v>
      </c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</row>
    <row r="308" spans="1:35" ht="14.25" customHeight="1" x14ac:dyDescent="0.2">
      <c r="A308" s="1">
        <v>46119</v>
      </c>
      <c r="B308" s="1" t="s">
        <v>243</v>
      </c>
      <c r="C308" s="1" t="s">
        <v>21</v>
      </c>
      <c r="D308" s="2">
        <v>41685</v>
      </c>
      <c r="E308" s="1" t="s">
        <v>38</v>
      </c>
      <c r="F308" s="1" t="s">
        <v>472</v>
      </c>
      <c r="G308" s="1">
        <v>46</v>
      </c>
      <c r="H308" s="1">
        <v>417.4</v>
      </c>
      <c r="I308" s="1">
        <f t="shared" si="12"/>
        <v>19200.399999999998</v>
      </c>
      <c r="J308" t="str">
        <f t="shared" si="13"/>
        <v>High</v>
      </c>
      <c r="K308" s="1"/>
      <c r="L308" s="1">
        <v>7.0000000000000007E-2</v>
      </c>
      <c r="M308" s="1">
        <v>75.23</v>
      </c>
      <c r="N308" s="1" t="s">
        <v>45</v>
      </c>
      <c r="O308" s="1" t="s">
        <v>63</v>
      </c>
      <c r="P308" s="2">
        <v>41686</v>
      </c>
      <c r="Q308" s="2" t="b">
        <f t="shared" si="14"/>
        <v>0</v>
      </c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</row>
    <row r="309" spans="1:35" ht="14.25" customHeight="1" x14ac:dyDescent="0.2">
      <c r="A309" s="1">
        <v>32741</v>
      </c>
      <c r="B309" s="1" t="s">
        <v>473</v>
      </c>
      <c r="C309" s="1" t="s">
        <v>51</v>
      </c>
      <c r="D309" s="2">
        <v>41685</v>
      </c>
      <c r="E309" s="1" t="s">
        <v>43</v>
      </c>
      <c r="F309" s="1" t="s">
        <v>474</v>
      </c>
      <c r="G309" s="1">
        <v>13</v>
      </c>
      <c r="H309" s="1">
        <v>9.7100000000000009</v>
      </c>
      <c r="I309" s="1">
        <f t="shared" si="12"/>
        <v>126.23000000000002</v>
      </c>
      <c r="J309" t="str">
        <f t="shared" si="13"/>
        <v>Low</v>
      </c>
      <c r="K309" s="1"/>
      <c r="L309" s="1">
        <v>7.0000000000000007E-2</v>
      </c>
      <c r="M309" s="1">
        <v>9.4499999999999993</v>
      </c>
      <c r="N309" s="1" t="s">
        <v>33</v>
      </c>
      <c r="O309" s="1" t="s">
        <v>34</v>
      </c>
      <c r="P309" s="2">
        <v>41692</v>
      </c>
      <c r="Q309" s="2" t="b">
        <f t="shared" si="14"/>
        <v>0</v>
      </c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</row>
    <row r="310" spans="1:35" ht="14.25" customHeight="1" x14ac:dyDescent="0.2">
      <c r="A310" s="1">
        <v>34498</v>
      </c>
      <c r="B310" s="1" t="s">
        <v>475</v>
      </c>
      <c r="C310" s="1" t="s">
        <v>30</v>
      </c>
      <c r="D310" s="2">
        <v>41685</v>
      </c>
      <c r="E310" s="1" t="s">
        <v>43</v>
      </c>
      <c r="F310" s="1" t="s">
        <v>196</v>
      </c>
      <c r="G310" s="1">
        <v>4</v>
      </c>
      <c r="H310" s="1">
        <v>8.74</v>
      </c>
      <c r="I310" s="1">
        <f t="shared" si="12"/>
        <v>34.96</v>
      </c>
      <c r="J310" t="str">
        <f t="shared" si="13"/>
        <v>Low</v>
      </c>
      <c r="K310" s="1"/>
      <c r="L310" s="1">
        <v>0.09</v>
      </c>
      <c r="M310" s="1">
        <v>1.39</v>
      </c>
      <c r="N310" s="1" t="s">
        <v>25</v>
      </c>
      <c r="O310" s="1" t="s">
        <v>34</v>
      </c>
      <c r="P310" s="2">
        <v>41690</v>
      </c>
      <c r="Q310" s="2" t="b">
        <f t="shared" si="14"/>
        <v>0</v>
      </c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</row>
    <row r="311" spans="1:35" ht="14.25" customHeight="1" x14ac:dyDescent="0.2">
      <c r="A311" s="1">
        <v>34498</v>
      </c>
      <c r="B311" s="1" t="s">
        <v>475</v>
      </c>
      <c r="C311" s="1" t="s">
        <v>30</v>
      </c>
      <c r="D311" s="2">
        <v>41685</v>
      </c>
      <c r="E311" s="1" t="s">
        <v>43</v>
      </c>
      <c r="F311" s="1" t="s">
        <v>269</v>
      </c>
      <c r="G311" s="1">
        <v>3</v>
      </c>
      <c r="H311" s="1">
        <v>18.97</v>
      </c>
      <c r="I311" s="1">
        <f t="shared" si="12"/>
        <v>56.91</v>
      </c>
      <c r="J311" t="str">
        <f t="shared" si="13"/>
        <v>Low</v>
      </c>
      <c r="K311" s="1"/>
      <c r="L311" s="1">
        <v>0.09</v>
      </c>
      <c r="M311" s="1">
        <v>9.0299999999999994</v>
      </c>
      <c r="N311" s="1" t="s">
        <v>33</v>
      </c>
      <c r="O311" s="1" t="s">
        <v>34</v>
      </c>
      <c r="P311" s="2">
        <v>41690</v>
      </c>
      <c r="Q311" s="2" t="b">
        <f t="shared" si="14"/>
        <v>0</v>
      </c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</row>
    <row r="312" spans="1:35" ht="14.25" customHeight="1" x14ac:dyDescent="0.2">
      <c r="A312" s="1">
        <v>33095</v>
      </c>
      <c r="B312" s="1" t="s">
        <v>476</v>
      </c>
      <c r="C312" s="1" t="s">
        <v>30</v>
      </c>
      <c r="D312" s="2">
        <v>41685</v>
      </c>
      <c r="E312" s="1" t="s">
        <v>22</v>
      </c>
      <c r="F312" s="1" t="s">
        <v>477</v>
      </c>
      <c r="G312" s="1">
        <v>30</v>
      </c>
      <c r="H312" s="1">
        <v>159.99</v>
      </c>
      <c r="I312" s="1">
        <f t="shared" si="12"/>
        <v>4799.7000000000007</v>
      </c>
      <c r="J312" t="str">
        <f t="shared" si="13"/>
        <v>High</v>
      </c>
      <c r="K312" s="1"/>
      <c r="L312" s="1">
        <v>0.01</v>
      </c>
      <c r="M312" s="1">
        <v>5.5</v>
      </c>
      <c r="N312" s="1" t="s">
        <v>33</v>
      </c>
      <c r="O312" s="1" t="s">
        <v>34</v>
      </c>
      <c r="P312" s="2">
        <v>41687</v>
      </c>
      <c r="Q312" s="2" t="b">
        <f t="shared" si="14"/>
        <v>0</v>
      </c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</row>
    <row r="313" spans="1:35" ht="14.25" customHeight="1" x14ac:dyDescent="0.2">
      <c r="A313" s="1">
        <v>33095</v>
      </c>
      <c r="B313" s="1" t="s">
        <v>476</v>
      </c>
      <c r="C313" s="1" t="s">
        <v>21</v>
      </c>
      <c r="D313" s="2">
        <v>41685</v>
      </c>
      <c r="E313" s="1" t="s">
        <v>22</v>
      </c>
      <c r="F313" s="1" t="s">
        <v>478</v>
      </c>
      <c r="G313" s="1">
        <v>34</v>
      </c>
      <c r="H313" s="1">
        <v>78.69</v>
      </c>
      <c r="I313" s="1">
        <f t="shared" si="12"/>
        <v>2675.46</v>
      </c>
      <c r="J313" t="str">
        <f t="shared" si="13"/>
        <v>High</v>
      </c>
      <c r="K313" s="1"/>
      <c r="L313" s="1">
        <v>0.1</v>
      </c>
      <c r="M313" s="1">
        <v>19.989999999999998</v>
      </c>
      <c r="N313" s="1" t="s">
        <v>33</v>
      </c>
      <c r="O313" s="1" t="s">
        <v>34</v>
      </c>
      <c r="P313" s="2">
        <v>41686</v>
      </c>
      <c r="Q313" s="2" t="b">
        <f t="shared" si="14"/>
        <v>0</v>
      </c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</row>
    <row r="314" spans="1:35" ht="14.25" customHeight="1" x14ac:dyDescent="0.2">
      <c r="A314" s="1">
        <v>32037</v>
      </c>
      <c r="B314" s="1" t="s">
        <v>429</v>
      </c>
      <c r="C314" s="1" t="s">
        <v>51</v>
      </c>
      <c r="D314" s="2">
        <v>41686</v>
      </c>
      <c r="E314" s="1" t="s">
        <v>43</v>
      </c>
      <c r="F314" s="1" t="s">
        <v>222</v>
      </c>
      <c r="G314" s="1">
        <v>37</v>
      </c>
      <c r="H314" s="1">
        <v>8.6</v>
      </c>
      <c r="I314" s="1">
        <f t="shared" si="12"/>
        <v>318.2</v>
      </c>
      <c r="J314" t="str">
        <f t="shared" si="13"/>
        <v>Low</v>
      </c>
      <c r="K314" s="1"/>
      <c r="L314" s="1">
        <v>0.04</v>
      </c>
      <c r="M314" s="1">
        <v>6.19</v>
      </c>
      <c r="N314" s="1" t="s">
        <v>33</v>
      </c>
      <c r="O314" s="1" t="s">
        <v>34</v>
      </c>
      <c r="P314" s="2">
        <v>41693</v>
      </c>
      <c r="Q314" s="2" t="b">
        <f t="shared" si="14"/>
        <v>0</v>
      </c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</row>
    <row r="315" spans="1:35" ht="14.25" customHeight="1" x14ac:dyDescent="0.2">
      <c r="A315" s="1">
        <v>32037</v>
      </c>
      <c r="B315" s="1" t="s">
        <v>429</v>
      </c>
      <c r="C315" s="1" t="s">
        <v>51</v>
      </c>
      <c r="D315" s="2">
        <v>41686</v>
      </c>
      <c r="E315" s="1" t="s">
        <v>43</v>
      </c>
      <c r="F315" s="1" t="s">
        <v>479</v>
      </c>
      <c r="G315" s="1">
        <v>15</v>
      </c>
      <c r="H315" s="1">
        <v>699.99</v>
      </c>
      <c r="I315" s="1">
        <f t="shared" si="12"/>
        <v>10499.85</v>
      </c>
      <c r="J315" t="str">
        <f t="shared" si="13"/>
        <v>High</v>
      </c>
      <c r="K315" s="1"/>
      <c r="L315" s="1">
        <v>7.0000000000000007E-2</v>
      </c>
      <c r="M315" s="1">
        <v>24.49</v>
      </c>
      <c r="N315" s="1" t="s">
        <v>33</v>
      </c>
      <c r="O315" s="1" t="s">
        <v>26</v>
      </c>
      <c r="P315" s="2">
        <v>41690</v>
      </c>
      <c r="Q315" s="2" t="b">
        <f t="shared" si="14"/>
        <v>0</v>
      </c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</row>
    <row r="316" spans="1:35" ht="14.25" customHeight="1" x14ac:dyDescent="0.2">
      <c r="A316" s="1">
        <v>55874</v>
      </c>
      <c r="B316" s="1" t="s">
        <v>480</v>
      </c>
      <c r="C316" s="1" t="s">
        <v>30</v>
      </c>
      <c r="D316" s="2">
        <v>41686</v>
      </c>
      <c r="E316" s="1" t="s">
        <v>101</v>
      </c>
      <c r="F316" s="1" t="s">
        <v>456</v>
      </c>
      <c r="G316" s="1">
        <v>28</v>
      </c>
      <c r="H316" s="1">
        <v>7.1</v>
      </c>
      <c r="I316" s="1">
        <f t="shared" si="12"/>
        <v>198.79999999999998</v>
      </c>
      <c r="J316" t="str">
        <f t="shared" si="13"/>
        <v>Low</v>
      </c>
      <c r="K316" s="1"/>
      <c r="L316" s="1">
        <v>0</v>
      </c>
      <c r="M316" s="1">
        <v>6.05</v>
      </c>
      <c r="N316" s="1" t="s">
        <v>33</v>
      </c>
      <c r="O316" s="1" t="s">
        <v>34</v>
      </c>
      <c r="P316" s="2">
        <v>41687</v>
      </c>
      <c r="Q316" s="2" t="b">
        <f t="shared" si="14"/>
        <v>0</v>
      </c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</row>
    <row r="317" spans="1:35" ht="14.25" customHeight="1" x14ac:dyDescent="0.2">
      <c r="A317" s="1">
        <v>55874</v>
      </c>
      <c r="B317" s="1" t="s">
        <v>480</v>
      </c>
      <c r="C317" s="1" t="s">
        <v>30</v>
      </c>
      <c r="D317" s="2">
        <v>41686</v>
      </c>
      <c r="E317" s="1" t="s">
        <v>101</v>
      </c>
      <c r="F317" s="1" t="s">
        <v>481</v>
      </c>
      <c r="G317" s="1">
        <v>41</v>
      </c>
      <c r="H317" s="1">
        <v>4.9800000000000004</v>
      </c>
      <c r="I317" s="1">
        <f t="shared" si="12"/>
        <v>204.18</v>
      </c>
      <c r="J317" t="str">
        <f t="shared" si="13"/>
        <v>Low</v>
      </c>
      <c r="K317" s="1"/>
      <c r="L317" s="1">
        <v>0.01</v>
      </c>
      <c r="M317" s="1">
        <v>4.62</v>
      </c>
      <c r="N317" s="1" t="s">
        <v>25</v>
      </c>
      <c r="O317" s="1" t="s">
        <v>84</v>
      </c>
      <c r="P317" s="2">
        <v>41688</v>
      </c>
      <c r="Q317" s="2" t="b">
        <f t="shared" si="14"/>
        <v>0</v>
      </c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</row>
    <row r="318" spans="1:35" ht="14.25" customHeight="1" x14ac:dyDescent="0.2">
      <c r="A318" s="1">
        <v>48998</v>
      </c>
      <c r="B318" s="1" t="s">
        <v>482</v>
      </c>
      <c r="C318" s="1" t="s">
        <v>21</v>
      </c>
      <c r="D318" s="2">
        <v>41686</v>
      </c>
      <c r="E318" s="1" t="s">
        <v>43</v>
      </c>
      <c r="F318" s="1" t="s">
        <v>265</v>
      </c>
      <c r="G318" s="1">
        <v>15</v>
      </c>
      <c r="H318" s="1">
        <v>11.58</v>
      </c>
      <c r="I318" s="1">
        <f t="shared" si="12"/>
        <v>173.7</v>
      </c>
      <c r="J318" t="str">
        <f t="shared" si="13"/>
        <v>Low</v>
      </c>
      <c r="K318" s="1"/>
      <c r="L318" s="1">
        <v>0.04</v>
      </c>
      <c r="M318" s="1">
        <v>6.97</v>
      </c>
      <c r="N318" s="1" t="s">
        <v>33</v>
      </c>
      <c r="O318" s="1" t="s">
        <v>34</v>
      </c>
      <c r="P318" s="2">
        <v>41688</v>
      </c>
      <c r="Q318" s="2" t="b">
        <f t="shared" si="14"/>
        <v>0</v>
      </c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</row>
    <row r="319" spans="1:35" ht="14.25" customHeight="1" x14ac:dyDescent="0.2">
      <c r="A319" s="1">
        <v>55874</v>
      </c>
      <c r="B319" s="1" t="s">
        <v>480</v>
      </c>
      <c r="C319" s="1" t="s">
        <v>21</v>
      </c>
      <c r="D319" s="2">
        <v>41686</v>
      </c>
      <c r="E319" s="1" t="s">
        <v>101</v>
      </c>
      <c r="F319" s="1" t="s">
        <v>483</v>
      </c>
      <c r="G319" s="1">
        <v>24</v>
      </c>
      <c r="H319" s="1">
        <v>5.68</v>
      </c>
      <c r="I319" s="1">
        <f t="shared" si="12"/>
        <v>136.32</v>
      </c>
      <c r="J319" t="str">
        <f t="shared" si="13"/>
        <v>Low</v>
      </c>
      <c r="K319" s="1"/>
      <c r="L319" s="1">
        <v>0.06</v>
      </c>
      <c r="M319" s="1">
        <v>1.39</v>
      </c>
      <c r="N319" s="1" t="s">
        <v>33</v>
      </c>
      <c r="O319" s="1" t="s">
        <v>34</v>
      </c>
      <c r="P319" s="2">
        <v>41686</v>
      </c>
      <c r="Q319" s="2" t="b">
        <f t="shared" si="14"/>
        <v>0</v>
      </c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</row>
    <row r="320" spans="1:35" ht="14.25" customHeight="1" x14ac:dyDescent="0.2">
      <c r="A320" s="1">
        <v>22083</v>
      </c>
      <c r="B320" s="1" t="s">
        <v>484</v>
      </c>
      <c r="C320" s="1" t="s">
        <v>21</v>
      </c>
      <c r="D320" s="2">
        <v>41687</v>
      </c>
      <c r="E320" s="1" t="s">
        <v>38</v>
      </c>
      <c r="F320" s="1" t="s">
        <v>485</v>
      </c>
      <c r="G320" s="1">
        <v>2</v>
      </c>
      <c r="H320" s="1">
        <v>6.04</v>
      </c>
      <c r="I320" s="1">
        <f t="shared" si="12"/>
        <v>12.08</v>
      </c>
      <c r="J320" t="str">
        <f t="shared" si="13"/>
        <v>Low</v>
      </c>
      <c r="K320" s="1"/>
      <c r="L320" s="1">
        <v>0.05</v>
      </c>
      <c r="M320" s="1">
        <v>2.14</v>
      </c>
      <c r="N320" s="1" t="s">
        <v>25</v>
      </c>
      <c r="O320" s="1" t="s">
        <v>55</v>
      </c>
      <c r="P320" s="2">
        <v>41689</v>
      </c>
      <c r="Q320" s="2" t="b">
        <f t="shared" si="14"/>
        <v>0</v>
      </c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</row>
    <row r="321" spans="1:35" ht="14.25" customHeight="1" x14ac:dyDescent="0.2">
      <c r="A321" s="1">
        <v>59170</v>
      </c>
      <c r="B321" s="1" t="s">
        <v>486</v>
      </c>
      <c r="C321" s="1" t="s">
        <v>30</v>
      </c>
      <c r="D321" s="2">
        <v>41687</v>
      </c>
      <c r="E321" s="1" t="s">
        <v>31</v>
      </c>
      <c r="F321" s="1" t="s">
        <v>487</v>
      </c>
      <c r="G321" s="1">
        <v>44</v>
      </c>
      <c r="H321" s="1">
        <v>5.34</v>
      </c>
      <c r="I321" s="1">
        <f t="shared" si="12"/>
        <v>234.95999999999998</v>
      </c>
      <c r="J321" t="str">
        <f t="shared" si="13"/>
        <v>Low</v>
      </c>
      <c r="K321" s="1"/>
      <c r="L321" s="1">
        <v>0.02</v>
      </c>
      <c r="M321" s="1">
        <v>2.99</v>
      </c>
      <c r="N321" s="1" t="s">
        <v>33</v>
      </c>
      <c r="O321" s="1" t="s">
        <v>34</v>
      </c>
      <c r="P321" s="2">
        <v>41688</v>
      </c>
      <c r="Q321" s="2" t="b">
        <f t="shared" si="14"/>
        <v>0</v>
      </c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</row>
    <row r="322" spans="1:35" ht="14.25" customHeight="1" x14ac:dyDescent="0.2">
      <c r="A322" s="1">
        <v>59170</v>
      </c>
      <c r="B322" s="1" t="s">
        <v>486</v>
      </c>
      <c r="C322" s="1" t="s">
        <v>21</v>
      </c>
      <c r="D322" s="2">
        <v>41687</v>
      </c>
      <c r="E322" s="1" t="s">
        <v>31</v>
      </c>
      <c r="F322" s="1" t="s">
        <v>488</v>
      </c>
      <c r="G322" s="1">
        <v>10</v>
      </c>
      <c r="H322" s="1">
        <v>62.18</v>
      </c>
      <c r="I322" s="1">
        <f t="shared" ref="I322:I385" si="15">G322*H322</f>
        <v>621.79999999999995</v>
      </c>
      <c r="J322" t="str">
        <f t="shared" ref="J322:J385" si="16">IF(I322&lt;1000,"Low","High")</f>
        <v>Low</v>
      </c>
      <c r="K322" s="1"/>
      <c r="L322" s="1">
        <v>0.04</v>
      </c>
      <c r="M322" s="1">
        <v>10.84</v>
      </c>
      <c r="N322" s="1" t="s">
        <v>33</v>
      </c>
      <c r="O322" s="1" t="s">
        <v>72</v>
      </c>
      <c r="P322" s="2">
        <v>41689</v>
      </c>
      <c r="Q322" s="2" t="b">
        <f t="shared" ref="Q322:Q385" si="17">AND(N322="Express Air",O322="Large Box")</f>
        <v>0</v>
      </c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</row>
    <row r="323" spans="1:35" ht="14.25" customHeight="1" x14ac:dyDescent="0.2">
      <c r="A323" s="1">
        <v>59170</v>
      </c>
      <c r="B323" s="1" t="s">
        <v>486</v>
      </c>
      <c r="C323" s="1" t="s">
        <v>51</v>
      </c>
      <c r="D323" s="2">
        <v>41687</v>
      </c>
      <c r="E323" s="1" t="s">
        <v>31</v>
      </c>
      <c r="F323" s="1" t="s">
        <v>489</v>
      </c>
      <c r="G323" s="1">
        <v>22</v>
      </c>
      <c r="H323" s="1">
        <v>41.47</v>
      </c>
      <c r="I323" s="1">
        <f t="shared" si="15"/>
        <v>912.33999999999992</v>
      </c>
      <c r="J323" t="str">
        <f t="shared" si="16"/>
        <v>Low</v>
      </c>
      <c r="K323" s="1"/>
      <c r="L323" s="1">
        <v>0.03</v>
      </c>
      <c r="M323" s="1">
        <v>34.200000000000003</v>
      </c>
      <c r="N323" s="1" t="s">
        <v>33</v>
      </c>
      <c r="O323" s="1" t="s">
        <v>55</v>
      </c>
      <c r="P323" s="2">
        <v>41689</v>
      </c>
      <c r="Q323" s="2" t="b">
        <f t="shared" si="17"/>
        <v>0</v>
      </c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</row>
    <row r="324" spans="1:35" ht="14.25" customHeight="1" x14ac:dyDescent="0.2">
      <c r="A324" s="1">
        <v>59170</v>
      </c>
      <c r="B324" s="1" t="s">
        <v>486</v>
      </c>
      <c r="C324" s="1" t="s">
        <v>21</v>
      </c>
      <c r="D324" s="2">
        <v>41687</v>
      </c>
      <c r="E324" s="1" t="s">
        <v>31</v>
      </c>
      <c r="F324" s="1" t="s">
        <v>490</v>
      </c>
      <c r="G324" s="1">
        <v>5</v>
      </c>
      <c r="H324" s="1">
        <v>1938.02</v>
      </c>
      <c r="I324" s="1">
        <f t="shared" si="15"/>
        <v>9690.1</v>
      </c>
      <c r="J324" t="str">
        <f t="shared" si="16"/>
        <v>High</v>
      </c>
      <c r="K324" s="1"/>
      <c r="L324" s="1">
        <v>0.04</v>
      </c>
      <c r="M324" s="1">
        <v>13.99</v>
      </c>
      <c r="N324" s="1" t="s">
        <v>33</v>
      </c>
      <c r="O324" s="1" t="s">
        <v>72</v>
      </c>
      <c r="P324" s="2">
        <v>41689</v>
      </c>
      <c r="Q324" s="2" t="b">
        <f t="shared" si="17"/>
        <v>0</v>
      </c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</row>
    <row r="325" spans="1:35" ht="14.25" customHeight="1" x14ac:dyDescent="0.2">
      <c r="A325" s="1">
        <v>16547</v>
      </c>
      <c r="B325" s="1" t="s">
        <v>491</v>
      </c>
      <c r="C325" s="1" t="s">
        <v>51</v>
      </c>
      <c r="D325" s="2">
        <v>41688</v>
      </c>
      <c r="E325" s="1" t="s">
        <v>22</v>
      </c>
      <c r="F325" s="1" t="s">
        <v>94</v>
      </c>
      <c r="G325" s="1">
        <v>30</v>
      </c>
      <c r="H325" s="1">
        <v>355.98</v>
      </c>
      <c r="I325" s="1">
        <f t="shared" si="15"/>
        <v>10679.400000000001</v>
      </c>
      <c r="J325" t="str">
        <f t="shared" si="16"/>
        <v>High</v>
      </c>
      <c r="K325" s="1"/>
      <c r="L325" s="1">
        <v>0.09</v>
      </c>
      <c r="M325" s="1">
        <v>58.92</v>
      </c>
      <c r="N325" s="1" t="s">
        <v>45</v>
      </c>
      <c r="O325" s="1" t="s">
        <v>46</v>
      </c>
      <c r="P325" s="2">
        <v>41690</v>
      </c>
      <c r="Q325" s="2" t="b">
        <f t="shared" si="17"/>
        <v>0</v>
      </c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</row>
    <row r="326" spans="1:35" ht="14.25" customHeight="1" x14ac:dyDescent="0.2">
      <c r="A326" s="1">
        <v>16547</v>
      </c>
      <c r="B326" s="1" t="s">
        <v>491</v>
      </c>
      <c r="C326" s="1" t="s">
        <v>21</v>
      </c>
      <c r="D326" s="2">
        <v>41688</v>
      </c>
      <c r="E326" s="1" t="s">
        <v>22</v>
      </c>
      <c r="F326" s="1" t="s">
        <v>362</v>
      </c>
      <c r="G326" s="1">
        <v>8</v>
      </c>
      <c r="H326" s="1">
        <v>218.75</v>
      </c>
      <c r="I326" s="1">
        <f t="shared" si="15"/>
        <v>1750</v>
      </c>
      <c r="J326" t="str">
        <f t="shared" si="16"/>
        <v>High</v>
      </c>
      <c r="K326" s="1"/>
      <c r="L326" s="1">
        <v>0.04</v>
      </c>
      <c r="M326" s="1">
        <v>69.64</v>
      </c>
      <c r="N326" s="1" t="s">
        <v>45</v>
      </c>
      <c r="O326" s="1" t="s">
        <v>63</v>
      </c>
      <c r="P326" s="2">
        <v>41688</v>
      </c>
      <c r="Q326" s="2" t="b">
        <f t="shared" si="17"/>
        <v>0</v>
      </c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</row>
    <row r="327" spans="1:35" ht="14.25" customHeight="1" x14ac:dyDescent="0.2">
      <c r="A327" s="1">
        <v>18471</v>
      </c>
      <c r="B327" s="1" t="s">
        <v>492</v>
      </c>
      <c r="C327" s="1" t="s">
        <v>21</v>
      </c>
      <c r="D327" s="2">
        <v>41689</v>
      </c>
      <c r="E327" s="1" t="s">
        <v>22</v>
      </c>
      <c r="F327" s="1" t="s">
        <v>493</v>
      </c>
      <c r="G327" s="1">
        <v>37</v>
      </c>
      <c r="H327" s="1">
        <v>5.98</v>
      </c>
      <c r="I327" s="1">
        <f t="shared" si="15"/>
        <v>221.26000000000002</v>
      </c>
      <c r="J327" t="str">
        <f t="shared" si="16"/>
        <v>Low</v>
      </c>
      <c r="K327" s="1"/>
      <c r="L327" s="1">
        <v>0</v>
      </c>
      <c r="M327" s="1">
        <v>0.96</v>
      </c>
      <c r="N327" s="1" t="s">
        <v>33</v>
      </c>
      <c r="O327" s="1" t="s">
        <v>55</v>
      </c>
      <c r="P327" s="2">
        <v>41690</v>
      </c>
      <c r="Q327" s="2" t="b">
        <f t="shared" si="17"/>
        <v>0</v>
      </c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</row>
    <row r="328" spans="1:35" ht="14.25" customHeight="1" x14ac:dyDescent="0.2">
      <c r="A328" s="1">
        <v>18471</v>
      </c>
      <c r="B328" s="1" t="s">
        <v>492</v>
      </c>
      <c r="C328" s="1" t="s">
        <v>21</v>
      </c>
      <c r="D328" s="2">
        <v>41689</v>
      </c>
      <c r="E328" s="1" t="s">
        <v>22</v>
      </c>
      <c r="F328" s="1" t="s">
        <v>494</v>
      </c>
      <c r="G328" s="1">
        <v>4</v>
      </c>
      <c r="H328" s="1">
        <v>2.08</v>
      </c>
      <c r="I328" s="1">
        <f t="shared" si="15"/>
        <v>8.32</v>
      </c>
      <c r="J328" t="str">
        <f t="shared" si="16"/>
        <v>Low</v>
      </c>
      <c r="K328" s="1"/>
      <c r="L328" s="1">
        <v>0.02</v>
      </c>
      <c r="M328" s="1">
        <v>2.56</v>
      </c>
      <c r="N328" s="1" t="s">
        <v>33</v>
      </c>
      <c r="O328" s="1" t="s">
        <v>84</v>
      </c>
      <c r="P328" s="2">
        <v>41690</v>
      </c>
      <c r="Q328" s="2" t="b">
        <f t="shared" si="17"/>
        <v>0</v>
      </c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</row>
    <row r="329" spans="1:35" ht="14.25" customHeight="1" x14ac:dyDescent="0.2">
      <c r="A329" s="1">
        <v>18471</v>
      </c>
      <c r="B329" s="1" t="s">
        <v>492</v>
      </c>
      <c r="C329" s="1" t="s">
        <v>21</v>
      </c>
      <c r="D329" s="2">
        <v>41689</v>
      </c>
      <c r="E329" s="1" t="s">
        <v>22</v>
      </c>
      <c r="F329" s="1" t="s">
        <v>495</v>
      </c>
      <c r="G329" s="1">
        <v>29</v>
      </c>
      <c r="H329" s="1">
        <v>5.98</v>
      </c>
      <c r="I329" s="1">
        <f t="shared" si="15"/>
        <v>173.42000000000002</v>
      </c>
      <c r="J329" t="str">
        <f t="shared" si="16"/>
        <v>Low</v>
      </c>
      <c r="K329" s="1"/>
      <c r="L329" s="1">
        <v>0.02</v>
      </c>
      <c r="M329" s="1">
        <v>5.46</v>
      </c>
      <c r="N329" s="1" t="s">
        <v>33</v>
      </c>
      <c r="O329" s="1" t="s">
        <v>34</v>
      </c>
      <c r="P329" s="2">
        <v>41690</v>
      </c>
      <c r="Q329" s="2" t="b">
        <f t="shared" si="17"/>
        <v>0</v>
      </c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</row>
    <row r="330" spans="1:35" ht="14.25" customHeight="1" x14ac:dyDescent="0.2">
      <c r="A330" s="1">
        <v>47011</v>
      </c>
      <c r="B330" s="1" t="s">
        <v>496</v>
      </c>
      <c r="C330" s="1" t="s">
        <v>51</v>
      </c>
      <c r="D330" s="2">
        <v>41689</v>
      </c>
      <c r="E330" s="1" t="s">
        <v>31</v>
      </c>
      <c r="F330" s="1" t="s">
        <v>497</v>
      </c>
      <c r="G330" s="1">
        <v>33</v>
      </c>
      <c r="H330" s="1">
        <v>11.29</v>
      </c>
      <c r="I330" s="1">
        <f t="shared" si="15"/>
        <v>372.57</v>
      </c>
      <c r="J330" t="str">
        <f t="shared" si="16"/>
        <v>Low</v>
      </c>
      <c r="K330" s="1"/>
      <c r="L330" s="1">
        <v>0.05</v>
      </c>
      <c r="M330" s="1">
        <v>5.03</v>
      </c>
      <c r="N330" s="1" t="s">
        <v>33</v>
      </c>
      <c r="O330" s="1" t="s">
        <v>34</v>
      </c>
      <c r="P330" s="2">
        <v>41691</v>
      </c>
      <c r="Q330" s="2" t="b">
        <f t="shared" si="17"/>
        <v>0</v>
      </c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</row>
    <row r="331" spans="1:35" ht="14.25" customHeight="1" x14ac:dyDescent="0.2">
      <c r="A331" s="1">
        <v>56483</v>
      </c>
      <c r="B331" s="1" t="s">
        <v>317</v>
      </c>
      <c r="C331" s="1" t="s">
        <v>21</v>
      </c>
      <c r="D331" s="2">
        <v>41689</v>
      </c>
      <c r="E331" s="1" t="s">
        <v>31</v>
      </c>
      <c r="F331" s="1" t="s">
        <v>498</v>
      </c>
      <c r="G331" s="1">
        <v>37</v>
      </c>
      <c r="H331" s="1">
        <v>4.28</v>
      </c>
      <c r="I331" s="1">
        <f t="shared" si="15"/>
        <v>158.36000000000001</v>
      </c>
      <c r="J331" t="str">
        <f t="shared" si="16"/>
        <v>Low</v>
      </c>
      <c r="K331" s="1"/>
      <c r="L331" s="1">
        <v>0.05</v>
      </c>
      <c r="M331" s="1">
        <v>5.17</v>
      </c>
      <c r="N331" s="1" t="s">
        <v>33</v>
      </c>
      <c r="O331" s="1" t="s">
        <v>34</v>
      </c>
      <c r="P331" s="2">
        <v>41689</v>
      </c>
      <c r="Q331" s="2" t="b">
        <f t="shared" si="17"/>
        <v>0</v>
      </c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</row>
    <row r="332" spans="1:35" ht="14.25" customHeight="1" x14ac:dyDescent="0.2">
      <c r="A332" s="1">
        <v>36455</v>
      </c>
      <c r="B332" s="1" t="s">
        <v>486</v>
      </c>
      <c r="C332" s="1" t="s">
        <v>21</v>
      </c>
      <c r="D332" s="2">
        <v>41689</v>
      </c>
      <c r="E332" s="1" t="s">
        <v>31</v>
      </c>
      <c r="F332" s="1" t="s">
        <v>499</v>
      </c>
      <c r="G332" s="1">
        <v>48</v>
      </c>
      <c r="H332" s="1">
        <v>39.479999999999997</v>
      </c>
      <c r="I332" s="1">
        <f t="shared" si="15"/>
        <v>1895.04</v>
      </c>
      <c r="J332" t="str">
        <f t="shared" si="16"/>
        <v>High</v>
      </c>
      <c r="K332" s="1"/>
      <c r="L332" s="1">
        <v>0.03</v>
      </c>
      <c r="M332" s="1">
        <v>1.99</v>
      </c>
      <c r="N332" s="1" t="s">
        <v>33</v>
      </c>
      <c r="O332" s="1" t="s">
        <v>84</v>
      </c>
      <c r="P332" s="2">
        <v>41691</v>
      </c>
      <c r="Q332" s="2" t="b">
        <f t="shared" si="17"/>
        <v>0</v>
      </c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</row>
    <row r="333" spans="1:35" ht="14.25" customHeight="1" x14ac:dyDescent="0.2">
      <c r="A333" s="1">
        <v>53511</v>
      </c>
      <c r="B333" s="1" t="s">
        <v>400</v>
      </c>
      <c r="C333" s="1" t="s">
        <v>21</v>
      </c>
      <c r="D333" s="2">
        <v>41690</v>
      </c>
      <c r="E333" s="1" t="s">
        <v>101</v>
      </c>
      <c r="F333" s="1" t="s">
        <v>230</v>
      </c>
      <c r="G333" s="1">
        <v>41</v>
      </c>
      <c r="H333" s="1">
        <v>5.81</v>
      </c>
      <c r="I333" s="1">
        <f t="shared" si="15"/>
        <v>238.20999999999998</v>
      </c>
      <c r="J333" t="str">
        <f t="shared" si="16"/>
        <v>Low</v>
      </c>
      <c r="K333" s="1"/>
      <c r="L333" s="1">
        <v>7.0000000000000007E-2</v>
      </c>
      <c r="M333" s="1">
        <v>8.49</v>
      </c>
      <c r="N333" s="1" t="s">
        <v>33</v>
      </c>
      <c r="O333" s="1" t="s">
        <v>34</v>
      </c>
      <c r="P333" s="2">
        <v>41692</v>
      </c>
      <c r="Q333" s="2" t="b">
        <f t="shared" si="17"/>
        <v>0</v>
      </c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</row>
    <row r="334" spans="1:35" ht="14.25" customHeight="1" x14ac:dyDescent="0.2">
      <c r="A334" s="1">
        <v>53511</v>
      </c>
      <c r="B334" s="1" t="s">
        <v>400</v>
      </c>
      <c r="C334" s="1" t="s">
        <v>51</v>
      </c>
      <c r="D334" s="2">
        <v>41690</v>
      </c>
      <c r="E334" s="1" t="s">
        <v>101</v>
      </c>
      <c r="F334" s="1" t="s">
        <v>500</v>
      </c>
      <c r="G334" s="1">
        <v>49</v>
      </c>
      <c r="H334" s="1">
        <v>9.65</v>
      </c>
      <c r="I334" s="1">
        <f t="shared" si="15"/>
        <v>472.85</v>
      </c>
      <c r="J334" t="str">
        <f t="shared" si="16"/>
        <v>Low</v>
      </c>
      <c r="K334" s="1"/>
      <c r="L334" s="1">
        <v>0.04</v>
      </c>
      <c r="M334" s="1">
        <v>6.22</v>
      </c>
      <c r="N334" s="1" t="s">
        <v>33</v>
      </c>
      <c r="O334" s="1" t="s">
        <v>34</v>
      </c>
      <c r="P334" s="2">
        <v>41691</v>
      </c>
      <c r="Q334" s="2" t="b">
        <f t="shared" si="17"/>
        <v>0</v>
      </c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</row>
    <row r="335" spans="1:35" ht="14.25" customHeight="1" x14ac:dyDescent="0.2">
      <c r="A335" s="1">
        <v>55300</v>
      </c>
      <c r="B335" s="1" t="s">
        <v>501</v>
      </c>
      <c r="C335" s="1" t="s">
        <v>21</v>
      </c>
      <c r="D335" s="2">
        <v>41690</v>
      </c>
      <c r="E335" s="1" t="s">
        <v>31</v>
      </c>
      <c r="F335" s="1" t="s">
        <v>502</v>
      </c>
      <c r="G335" s="1">
        <v>37</v>
      </c>
      <c r="H335" s="1">
        <v>4.0599999999999996</v>
      </c>
      <c r="I335" s="1">
        <f t="shared" si="15"/>
        <v>150.22</v>
      </c>
      <c r="J335" t="str">
        <f t="shared" si="16"/>
        <v>Low</v>
      </c>
      <c r="K335" s="1"/>
      <c r="L335" s="1">
        <v>0.03</v>
      </c>
      <c r="M335" s="1">
        <v>6.89</v>
      </c>
      <c r="N335" s="1" t="s">
        <v>33</v>
      </c>
      <c r="O335" s="1" t="s">
        <v>34</v>
      </c>
      <c r="P335" s="2">
        <v>41692</v>
      </c>
      <c r="Q335" s="2" t="b">
        <f t="shared" si="17"/>
        <v>0</v>
      </c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</row>
    <row r="336" spans="1:35" ht="14.25" customHeight="1" x14ac:dyDescent="0.2">
      <c r="A336" s="1">
        <v>55300</v>
      </c>
      <c r="B336" s="1" t="s">
        <v>501</v>
      </c>
      <c r="C336" s="1" t="s">
        <v>30</v>
      </c>
      <c r="D336" s="2">
        <v>41690</v>
      </c>
      <c r="E336" s="1" t="s">
        <v>31</v>
      </c>
      <c r="F336" s="1" t="s">
        <v>503</v>
      </c>
      <c r="G336" s="1">
        <v>48</v>
      </c>
      <c r="H336" s="1">
        <v>3.75</v>
      </c>
      <c r="I336" s="1">
        <f t="shared" si="15"/>
        <v>180</v>
      </c>
      <c r="J336" t="str">
        <f t="shared" si="16"/>
        <v>Low</v>
      </c>
      <c r="K336" s="1"/>
      <c r="L336" s="1">
        <v>0.01</v>
      </c>
      <c r="M336" s="1">
        <v>0.5</v>
      </c>
      <c r="N336" s="1" t="s">
        <v>33</v>
      </c>
      <c r="O336" s="1" t="s">
        <v>34</v>
      </c>
      <c r="P336" s="2">
        <v>41691</v>
      </c>
      <c r="Q336" s="2" t="b">
        <f t="shared" si="17"/>
        <v>0</v>
      </c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</row>
    <row r="337" spans="1:35" ht="14.25" customHeight="1" x14ac:dyDescent="0.2">
      <c r="A337" s="1">
        <v>55300</v>
      </c>
      <c r="B337" s="1" t="s">
        <v>501</v>
      </c>
      <c r="C337" s="1" t="s">
        <v>30</v>
      </c>
      <c r="D337" s="2">
        <v>41690</v>
      </c>
      <c r="E337" s="1" t="s">
        <v>31</v>
      </c>
      <c r="F337" s="1" t="s">
        <v>504</v>
      </c>
      <c r="G337" s="1">
        <v>31</v>
      </c>
      <c r="H337" s="1">
        <v>10.68</v>
      </c>
      <c r="I337" s="1">
        <f t="shared" si="15"/>
        <v>331.08</v>
      </c>
      <c r="J337" t="str">
        <f t="shared" si="16"/>
        <v>Low</v>
      </c>
      <c r="K337" s="1"/>
      <c r="L337" s="1">
        <v>0.02</v>
      </c>
      <c r="M337" s="1">
        <v>13.04</v>
      </c>
      <c r="N337" s="1" t="s">
        <v>33</v>
      </c>
      <c r="O337" s="1" t="s">
        <v>26</v>
      </c>
      <c r="P337" s="2">
        <v>41692</v>
      </c>
      <c r="Q337" s="2" t="b">
        <f t="shared" si="17"/>
        <v>0</v>
      </c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</row>
    <row r="338" spans="1:35" ht="14.25" customHeight="1" x14ac:dyDescent="0.2">
      <c r="A338" s="1">
        <v>58182</v>
      </c>
      <c r="B338" s="1" t="s">
        <v>117</v>
      </c>
      <c r="C338" s="1" t="s">
        <v>21</v>
      </c>
      <c r="D338" s="2">
        <v>41690</v>
      </c>
      <c r="E338" s="1" t="s">
        <v>31</v>
      </c>
      <c r="F338" s="1" t="s">
        <v>505</v>
      </c>
      <c r="G338" s="1">
        <v>24</v>
      </c>
      <c r="H338" s="1">
        <v>19.23</v>
      </c>
      <c r="I338" s="1">
        <f t="shared" si="15"/>
        <v>461.52</v>
      </c>
      <c r="J338" t="str">
        <f t="shared" si="16"/>
        <v>Low</v>
      </c>
      <c r="K338" s="1"/>
      <c r="L338" s="1">
        <v>0.05</v>
      </c>
      <c r="M338" s="1">
        <v>6.15</v>
      </c>
      <c r="N338" s="1" t="s">
        <v>25</v>
      </c>
      <c r="O338" s="1" t="s">
        <v>84</v>
      </c>
      <c r="P338" s="2">
        <v>41692</v>
      </c>
      <c r="Q338" s="2" t="b">
        <f t="shared" si="17"/>
        <v>0</v>
      </c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</row>
    <row r="339" spans="1:35" ht="14.25" customHeight="1" x14ac:dyDescent="0.2">
      <c r="A339" s="1">
        <v>57509</v>
      </c>
      <c r="B339" s="1" t="s">
        <v>506</v>
      </c>
      <c r="C339" s="1" t="s">
        <v>21</v>
      </c>
      <c r="D339" s="2">
        <v>41691</v>
      </c>
      <c r="E339" s="1" t="s">
        <v>43</v>
      </c>
      <c r="F339" s="1" t="s">
        <v>392</v>
      </c>
      <c r="G339" s="1">
        <v>39</v>
      </c>
      <c r="H339" s="1">
        <v>4.91</v>
      </c>
      <c r="I339" s="1">
        <f t="shared" si="15"/>
        <v>191.49</v>
      </c>
      <c r="J339" t="str">
        <f t="shared" si="16"/>
        <v>Low</v>
      </c>
      <c r="K339" s="1"/>
      <c r="L339" s="1">
        <v>0.1</v>
      </c>
      <c r="M339" s="1">
        <v>0.5</v>
      </c>
      <c r="N339" s="1" t="s">
        <v>25</v>
      </c>
      <c r="O339" s="1" t="s">
        <v>34</v>
      </c>
      <c r="P339" s="2">
        <v>41691</v>
      </c>
      <c r="Q339" s="2" t="b">
        <f t="shared" si="17"/>
        <v>0</v>
      </c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</row>
    <row r="340" spans="1:35" ht="14.25" customHeight="1" x14ac:dyDescent="0.2">
      <c r="A340" s="1">
        <v>57509</v>
      </c>
      <c r="B340" s="1" t="s">
        <v>506</v>
      </c>
      <c r="C340" s="1" t="s">
        <v>21</v>
      </c>
      <c r="D340" s="2">
        <v>41691</v>
      </c>
      <c r="E340" s="1" t="s">
        <v>43</v>
      </c>
      <c r="F340" s="1" t="s">
        <v>415</v>
      </c>
      <c r="G340" s="1">
        <v>11</v>
      </c>
      <c r="H340" s="1">
        <v>259.70999999999998</v>
      </c>
      <c r="I340" s="1">
        <f t="shared" si="15"/>
        <v>2856.81</v>
      </c>
      <c r="J340" t="str">
        <f t="shared" si="16"/>
        <v>High</v>
      </c>
      <c r="K340" s="1"/>
      <c r="L340" s="1">
        <v>0.09</v>
      </c>
      <c r="M340" s="1">
        <v>66.67</v>
      </c>
      <c r="N340" s="1" t="s">
        <v>45</v>
      </c>
      <c r="O340" s="1" t="s">
        <v>63</v>
      </c>
      <c r="P340" s="2">
        <v>41696</v>
      </c>
      <c r="Q340" s="2" t="b">
        <f t="shared" si="17"/>
        <v>0</v>
      </c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</row>
    <row r="341" spans="1:35" ht="14.25" customHeight="1" x14ac:dyDescent="0.2">
      <c r="A341" s="1">
        <v>38087</v>
      </c>
      <c r="B341" s="1" t="s">
        <v>507</v>
      </c>
      <c r="C341" s="1" t="s">
        <v>21</v>
      </c>
      <c r="D341" s="2">
        <v>41691</v>
      </c>
      <c r="E341" s="1" t="s">
        <v>38</v>
      </c>
      <c r="F341" s="1" t="s">
        <v>508</v>
      </c>
      <c r="G341" s="1">
        <v>18</v>
      </c>
      <c r="H341" s="1">
        <v>49.99</v>
      </c>
      <c r="I341" s="1">
        <f t="shared" si="15"/>
        <v>899.82</v>
      </c>
      <c r="J341" t="str">
        <f t="shared" si="16"/>
        <v>Low</v>
      </c>
      <c r="K341" s="1"/>
      <c r="L341" s="1">
        <v>0.02</v>
      </c>
      <c r="M341" s="1">
        <v>19.989999999999998</v>
      </c>
      <c r="N341" s="1" t="s">
        <v>33</v>
      </c>
      <c r="O341" s="1" t="s">
        <v>34</v>
      </c>
      <c r="P341" s="2">
        <v>41691</v>
      </c>
      <c r="Q341" s="2" t="b">
        <f t="shared" si="17"/>
        <v>0</v>
      </c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</row>
    <row r="342" spans="1:35" ht="14.25" customHeight="1" x14ac:dyDescent="0.2">
      <c r="A342" s="1">
        <v>54947</v>
      </c>
      <c r="B342" s="1" t="s">
        <v>509</v>
      </c>
      <c r="C342" s="1" t="s">
        <v>51</v>
      </c>
      <c r="D342" s="2">
        <v>41692</v>
      </c>
      <c r="E342" s="1" t="s">
        <v>22</v>
      </c>
      <c r="F342" s="1" t="s">
        <v>481</v>
      </c>
      <c r="G342" s="1">
        <v>27</v>
      </c>
      <c r="H342" s="1">
        <v>4.9800000000000004</v>
      </c>
      <c r="I342" s="1">
        <f t="shared" si="15"/>
        <v>134.46</v>
      </c>
      <c r="J342" t="str">
        <f t="shared" si="16"/>
        <v>Low</v>
      </c>
      <c r="K342" s="1"/>
      <c r="L342" s="1">
        <v>0.05</v>
      </c>
      <c r="M342" s="1">
        <v>4.62</v>
      </c>
      <c r="N342" s="1" t="s">
        <v>33</v>
      </c>
      <c r="O342" s="1" t="s">
        <v>84</v>
      </c>
      <c r="P342" s="2">
        <v>41693</v>
      </c>
      <c r="Q342" s="2" t="b">
        <f t="shared" si="17"/>
        <v>0</v>
      </c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</row>
    <row r="343" spans="1:35" ht="14.25" customHeight="1" x14ac:dyDescent="0.2">
      <c r="A343" s="1">
        <v>54947</v>
      </c>
      <c r="B343" s="1" t="s">
        <v>509</v>
      </c>
      <c r="C343" s="1" t="s">
        <v>30</v>
      </c>
      <c r="D343" s="2">
        <v>41692</v>
      </c>
      <c r="E343" s="1" t="s">
        <v>22</v>
      </c>
      <c r="F343" s="1" t="s">
        <v>510</v>
      </c>
      <c r="G343" s="1">
        <v>42</v>
      </c>
      <c r="H343" s="1">
        <v>34.229999999999997</v>
      </c>
      <c r="I343" s="1">
        <f t="shared" si="15"/>
        <v>1437.6599999999999</v>
      </c>
      <c r="J343" t="str">
        <f t="shared" si="16"/>
        <v>High</v>
      </c>
      <c r="K343" s="1"/>
      <c r="L343" s="1">
        <v>0.02</v>
      </c>
      <c r="M343" s="1">
        <v>5.0199999999999996</v>
      </c>
      <c r="N343" s="1" t="s">
        <v>33</v>
      </c>
      <c r="O343" s="1" t="s">
        <v>34</v>
      </c>
      <c r="P343" s="2">
        <v>41694</v>
      </c>
      <c r="Q343" s="2" t="b">
        <f t="shared" si="17"/>
        <v>0</v>
      </c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</row>
    <row r="344" spans="1:35" ht="14.25" customHeight="1" x14ac:dyDescent="0.2">
      <c r="A344" s="1">
        <v>6368</v>
      </c>
      <c r="B344" s="1" t="s">
        <v>511</v>
      </c>
      <c r="C344" s="1" t="s">
        <v>51</v>
      </c>
      <c r="D344" s="2">
        <v>41692</v>
      </c>
      <c r="E344" s="1" t="s">
        <v>22</v>
      </c>
      <c r="F344" s="1" t="s">
        <v>512</v>
      </c>
      <c r="G344" s="1">
        <v>40</v>
      </c>
      <c r="H344" s="1">
        <v>442.14</v>
      </c>
      <c r="I344" s="1">
        <f t="shared" si="15"/>
        <v>17685.599999999999</v>
      </c>
      <c r="J344" t="str">
        <f t="shared" si="16"/>
        <v>High</v>
      </c>
      <c r="K344" s="1"/>
      <c r="L344" s="1">
        <v>0</v>
      </c>
      <c r="M344" s="1">
        <v>14.7</v>
      </c>
      <c r="N344" s="1" t="s">
        <v>45</v>
      </c>
      <c r="O344" s="1" t="s">
        <v>46</v>
      </c>
      <c r="P344" s="2">
        <v>41692</v>
      </c>
      <c r="Q344" s="2" t="b">
        <f t="shared" si="17"/>
        <v>0</v>
      </c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</row>
    <row r="345" spans="1:35" ht="14.25" customHeight="1" x14ac:dyDescent="0.2">
      <c r="A345" s="1">
        <v>39072</v>
      </c>
      <c r="B345" s="1" t="s">
        <v>513</v>
      </c>
      <c r="C345" s="1" t="s">
        <v>30</v>
      </c>
      <c r="D345" s="2">
        <v>41692</v>
      </c>
      <c r="E345" s="1" t="s">
        <v>31</v>
      </c>
      <c r="F345" s="1" t="s">
        <v>514</v>
      </c>
      <c r="G345" s="1">
        <v>50</v>
      </c>
      <c r="H345" s="1">
        <v>34.99</v>
      </c>
      <c r="I345" s="1">
        <f t="shared" si="15"/>
        <v>1749.5</v>
      </c>
      <c r="J345" t="str">
        <f t="shared" si="16"/>
        <v>High</v>
      </c>
      <c r="K345" s="1"/>
      <c r="L345" s="1">
        <v>0.08</v>
      </c>
      <c r="M345" s="1">
        <v>7.73</v>
      </c>
      <c r="N345" s="1" t="s">
        <v>33</v>
      </c>
      <c r="O345" s="1" t="s">
        <v>34</v>
      </c>
      <c r="P345" s="2">
        <v>41693</v>
      </c>
      <c r="Q345" s="2" t="b">
        <f t="shared" si="17"/>
        <v>0</v>
      </c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</row>
    <row r="346" spans="1:35" ht="14.25" customHeight="1" x14ac:dyDescent="0.2">
      <c r="A346" s="1">
        <v>58310</v>
      </c>
      <c r="B346" s="1" t="s">
        <v>515</v>
      </c>
      <c r="C346" s="1" t="s">
        <v>51</v>
      </c>
      <c r="D346" s="2">
        <v>41693</v>
      </c>
      <c r="E346" s="1" t="s">
        <v>38</v>
      </c>
      <c r="F346" s="1" t="s">
        <v>516</v>
      </c>
      <c r="G346" s="1">
        <v>22</v>
      </c>
      <c r="H346" s="1">
        <v>37.76</v>
      </c>
      <c r="I346" s="1">
        <f t="shared" si="15"/>
        <v>830.71999999999991</v>
      </c>
      <c r="J346" t="str">
        <f t="shared" si="16"/>
        <v>Low</v>
      </c>
      <c r="K346" s="1"/>
      <c r="L346" s="1">
        <v>0.03</v>
      </c>
      <c r="M346" s="1">
        <v>12.9</v>
      </c>
      <c r="N346" s="1" t="s">
        <v>33</v>
      </c>
      <c r="O346" s="1" t="s">
        <v>34</v>
      </c>
      <c r="P346" s="2">
        <v>41694</v>
      </c>
      <c r="Q346" s="2" t="b">
        <f t="shared" si="17"/>
        <v>0</v>
      </c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</row>
    <row r="347" spans="1:35" ht="14.25" customHeight="1" x14ac:dyDescent="0.2">
      <c r="A347" s="1">
        <v>36643</v>
      </c>
      <c r="B347" s="1" t="s">
        <v>517</v>
      </c>
      <c r="C347" s="1" t="s">
        <v>30</v>
      </c>
      <c r="D347" s="2">
        <v>41693</v>
      </c>
      <c r="E347" s="1" t="s">
        <v>38</v>
      </c>
      <c r="F347" s="1" t="s">
        <v>518</v>
      </c>
      <c r="G347" s="1">
        <v>17</v>
      </c>
      <c r="H347" s="1">
        <v>13.79</v>
      </c>
      <c r="I347" s="1">
        <f t="shared" si="15"/>
        <v>234.42999999999998</v>
      </c>
      <c r="J347" t="str">
        <f t="shared" si="16"/>
        <v>Low</v>
      </c>
      <c r="K347" s="1"/>
      <c r="L347" s="1">
        <v>0.01</v>
      </c>
      <c r="M347" s="1">
        <v>8.7799999999999994</v>
      </c>
      <c r="N347" s="1" t="s">
        <v>33</v>
      </c>
      <c r="O347" s="1" t="s">
        <v>34</v>
      </c>
      <c r="P347" s="2">
        <v>41695</v>
      </c>
      <c r="Q347" s="2" t="b">
        <f t="shared" si="17"/>
        <v>0</v>
      </c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</row>
    <row r="348" spans="1:35" ht="14.25" customHeight="1" x14ac:dyDescent="0.2">
      <c r="A348" s="1">
        <v>36643</v>
      </c>
      <c r="B348" s="1" t="s">
        <v>517</v>
      </c>
      <c r="C348" s="1" t="s">
        <v>51</v>
      </c>
      <c r="D348" s="2">
        <v>41693</v>
      </c>
      <c r="E348" s="1" t="s">
        <v>38</v>
      </c>
      <c r="F348" s="1" t="s">
        <v>519</v>
      </c>
      <c r="G348" s="1">
        <v>30</v>
      </c>
      <c r="H348" s="1">
        <v>33.29</v>
      </c>
      <c r="I348" s="1">
        <f t="shared" si="15"/>
        <v>998.69999999999993</v>
      </c>
      <c r="J348" t="str">
        <f t="shared" si="16"/>
        <v>Low</v>
      </c>
      <c r="K348" s="1"/>
      <c r="L348" s="1">
        <v>0.04</v>
      </c>
      <c r="M348" s="1">
        <v>8.74</v>
      </c>
      <c r="N348" s="1" t="s">
        <v>33</v>
      </c>
      <c r="O348" s="1" t="s">
        <v>34</v>
      </c>
      <c r="P348" s="2">
        <v>41694</v>
      </c>
      <c r="Q348" s="2" t="b">
        <f t="shared" si="17"/>
        <v>0</v>
      </c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</row>
    <row r="349" spans="1:35" ht="14.25" customHeight="1" x14ac:dyDescent="0.2">
      <c r="A349" s="1">
        <v>28256</v>
      </c>
      <c r="B349" s="1" t="s">
        <v>520</v>
      </c>
      <c r="C349" s="1" t="s">
        <v>30</v>
      </c>
      <c r="D349" s="2">
        <v>41693</v>
      </c>
      <c r="E349" s="1" t="s">
        <v>31</v>
      </c>
      <c r="F349" s="1" t="s">
        <v>521</v>
      </c>
      <c r="G349" s="1">
        <v>19</v>
      </c>
      <c r="H349" s="1">
        <v>20.98</v>
      </c>
      <c r="I349" s="1">
        <f t="shared" si="15"/>
        <v>398.62</v>
      </c>
      <c r="J349" t="str">
        <f t="shared" si="16"/>
        <v>Low</v>
      </c>
      <c r="K349" s="1"/>
      <c r="L349" s="1">
        <v>0.01</v>
      </c>
      <c r="M349" s="1">
        <v>53.03</v>
      </c>
      <c r="N349" s="1" t="s">
        <v>45</v>
      </c>
      <c r="O349" s="1" t="s">
        <v>46</v>
      </c>
      <c r="P349" s="2">
        <v>41693</v>
      </c>
      <c r="Q349" s="2" t="b">
        <f t="shared" si="17"/>
        <v>0</v>
      </c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</row>
    <row r="350" spans="1:35" ht="14.25" customHeight="1" x14ac:dyDescent="0.2">
      <c r="A350" s="1">
        <v>37441</v>
      </c>
      <c r="B350" s="1" t="s">
        <v>522</v>
      </c>
      <c r="C350" s="1" t="s">
        <v>51</v>
      </c>
      <c r="D350" s="2">
        <v>41694</v>
      </c>
      <c r="E350" s="1" t="s">
        <v>38</v>
      </c>
      <c r="F350" s="1" t="s">
        <v>523</v>
      </c>
      <c r="G350" s="1">
        <v>46</v>
      </c>
      <c r="H350" s="1">
        <v>300.98</v>
      </c>
      <c r="I350" s="1">
        <f t="shared" si="15"/>
        <v>13845.080000000002</v>
      </c>
      <c r="J350" t="str">
        <f t="shared" si="16"/>
        <v>High</v>
      </c>
      <c r="K350" s="1"/>
      <c r="L350" s="1">
        <v>0</v>
      </c>
      <c r="M350" s="1">
        <v>164.73</v>
      </c>
      <c r="N350" s="1" t="s">
        <v>45</v>
      </c>
      <c r="O350" s="1" t="s">
        <v>46</v>
      </c>
      <c r="P350" s="2">
        <v>41695</v>
      </c>
      <c r="Q350" s="2" t="b">
        <f t="shared" si="17"/>
        <v>0</v>
      </c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</row>
    <row r="351" spans="1:35" ht="14.25" customHeight="1" x14ac:dyDescent="0.2">
      <c r="A351" s="1">
        <v>37441</v>
      </c>
      <c r="B351" s="1" t="s">
        <v>522</v>
      </c>
      <c r="C351" s="1" t="s">
        <v>51</v>
      </c>
      <c r="D351" s="2">
        <v>41694</v>
      </c>
      <c r="E351" s="1" t="s">
        <v>38</v>
      </c>
      <c r="F351" s="1" t="s">
        <v>396</v>
      </c>
      <c r="G351" s="1">
        <v>1</v>
      </c>
      <c r="H351" s="1">
        <v>2.94</v>
      </c>
      <c r="I351" s="1">
        <f t="shared" si="15"/>
        <v>2.94</v>
      </c>
      <c r="J351" t="str">
        <f t="shared" si="16"/>
        <v>Low</v>
      </c>
      <c r="K351" s="1"/>
      <c r="L351" s="1">
        <v>0.09</v>
      </c>
      <c r="M351" s="1">
        <v>0.96</v>
      </c>
      <c r="N351" s="1" t="s">
        <v>33</v>
      </c>
      <c r="O351" s="1" t="s">
        <v>55</v>
      </c>
      <c r="P351" s="2">
        <v>41696</v>
      </c>
      <c r="Q351" s="2" t="b">
        <f t="shared" si="17"/>
        <v>0</v>
      </c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</row>
    <row r="352" spans="1:35" ht="14.25" customHeight="1" x14ac:dyDescent="0.2">
      <c r="A352" s="1">
        <v>11008</v>
      </c>
      <c r="B352" s="1" t="s">
        <v>524</v>
      </c>
      <c r="C352" s="1" t="s">
        <v>30</v>
      </c>
      <c r="D352" s="2">
        <v>41694</v>
      </c>
      <c r="E352" s="1" t="s">
        <v>38</v>
      </c>
      <c r="F352" s="1" t="s">
        <v>525</v>
      </c>
      <c r="G352" s="1">
        <v>17</v>
      </c>
      <c r="H352" s="1">
        <v>138.13999999999999</v>
      </c>
      <c r="I352" s="1">
        <f t="shared" si="15"/>
        <v>2348.3799999999997</v>
      </c>
      <c r="J352" t="str">
        <f t="shared" si="16"/>
        <v>High</v>
      </c>
      <c r="K352" s="1"/>
      <c r="L352" s="1">
        <v>0.01</v>
      </c>
      <c r="M352" s="1">
        <v>35</v>
      </c>
      <c r="N352" s="1" t="s">
        <v>33</v>
      </c>
      <c r="O352" s="1" t="s">
        <v>26</v>
      </c>
      <c r="P352" s="2">
        <v>41696</v>
      </c>
      <c r="Q352" s="2" t="b">
        <f t="shared" si="17"/>
        <v>0</v>
      </c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</row>
    <row r="353" spans="1:35" ht="14.25" customHeight="1" x14ac:dyDescent="0.2">
      <c r="A353" s="1">
        <v>18816</v>
      </c>
      <c r="B353" s="1" t="s">
        <v>526</v>
      </c>
      <c r="C353" s="1" t="s">
        <v>21</v>
      </c>
      <c r="D353" s="2">
        <v>41694</v>
      </c>
      <c r="E353" s="1" t="s">
        <v>38</v>
      </c>
      <c r="F353" s="1" t="s">
        <v>527</v>
      </c>
      <c r="G353" s="1">
        <v>12</v>
      </c>
      <c r="H353" s="1">
        <v>48.58</v>
      </c>
      <c r="I353" s="1">
        <f t="shared" si="15"/>
        <v>582.96</v>
      </c>
      <c r="J353" t="str">
        <f t="shared" si="16"/>
        <v>Low</v>
      </c>
      <c r="K353" s="1"/>
      <c r="L353" s="1">
        <v>0.03</v>
      </c>
      <c r="M353" s="1">
        <v>3.99</v>
      </c>
      <c r="N353" s="1" t="s">
        <v>25</v>
      </c>
      <c r="O353" s="1" t="s">
        <v>34</v>
      </c>
      <c r="P353" s="2">
        <v>41696</v>
      </c>
      <c r="Q353" s="2" t="b">
        <f t="shared" si="17"/>
        <v>0</v>
      </c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</row>
    <row r="354" spans="1:35" ht="14.25" customHeight="1" x14ac:dyDescent="0.2">
      <c r="A354" s="1">
        <v>48230</v>
      </c>
      <c r="B354" s="1" t="s">
        <v>528</v>
      </c>
      <c r="C354" s="1" t="s">
        <v>30</v>
      </c>
      <c r="D354" s="2">
        <v>41695</v>
      </c>
      <c r="E354" s="1" t="s">
        <v>22</v>
      </c>
      <c r="F354" s="1" t="s">
        <v>174</v>
      </c>
      <c r="G354" s="1">
        <v>39</v>
      </c>
      <c r="H354" s="1">
        <v>29.18</v>
      </c>
      <c r="I354" s="1">
        <f t="shared" si="15"/>
        <v>1138.02</v>
      </c>
      <c r="J354" t="str">
        <f t="shared" si="16"/>
        <v>High</v>
      </c>
      <c r="K354" s="1"/>
      <c r="L354" s="1">
        <v>0.04</v>
      </c>
      <c r="M354" s="1">
        <v>8.5500000000000007</v>
      </c>
      <c r="N354" s="1" t="s">
        <v>25</v>
      </c>
      <c r="O354" s="1" t="s">
        <v>34</v>
      </c>
      <c r="P354" s="2">
        <v>41697</v>
      </c>
      <c r="Q354" s="2" t="b">
        <f t="shared" si="17"/>
        <v>0</v>
      </c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</row>
    <row r="355" spans="1:35" ht="14.25" customHeight="1" x14ac:dyDescent="0.2">
      <c r="A355" s="1">
        <v>48230</v>
      </c>
      <c r="B355" s="1" t="s">
        <v>528</v>
      </c>
      <c r="C355" s="1" t="s">
        <v>51</v>
      </c>
      <c r="D355" s="2">
        <v>41695</v>
      </c>
      <c r="E355" s="1" t="s">
        <v>22</v>
      </c>
      <c r="F355" s="1" t="s">
        <v>300</v>
      </c>
      <c r="G355" s="1">
        <v>31</v>
      </c>
      <c r="H355" s="1">
        <v>80.98</v>
      </c>
      <c r="I355" s="1">
        <f t="shared" si="15"/>
        <v>2510.38</v>
      </c>
      <c r="J355" t="str">
        <f t="shared" si="16"/>
        <v>High</v>
      </c>
      <c r="K355" s="1"/>
      <c r="L355" s="1">
        <v>0</v>
      </c>
      <c r="M355" s="1">
        <v>35</v>
      </c>
      <c r="N355" s="1" t="s">
        <v>33</v>
      </c>
      <c r="O355" s="1" t="s">
        <v>26</v>
      </c>
      <c r="P355" s="2">
        <v>41697</v>
      </c>
      <c r="Q355" s="2" t="b">
        <f t="shared" si="17"/>
        <v>0</v>
      </c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</row>
    <row r="356" spans="1:35" ht="14.25" customHeight="1" x14ac:dyDescent="0.2">
      <c r="A356" s="1">
        <v>49123</v>
      </c>
      <c r="B356" s="1" t="s">
        <v>401</v>
      </c>
      <c r="C356" s="1" t="s">
        <v>30</v>
      </c>
      <c r="D356" s="2">
        <v>41695</v>
      </c>
      <c r="E356" s="1" t="s">
        <v>31</v>
      </c>
      <c r="F356" s="1" t="s">
        <v>529</v>
      </c>
      <c r="G356" s="1">
        <v>31</v>
      </c>
      <c r="H356" s="1">
        <v>10.44</v>
      </c>
      <c r="I356" s="1">
        <f t="shared" si="15"/>
        <v>323.64</v>
      </c>
      <c r="J356" t="str">
        <f t="shared" si="16"/>
        <v>Low</v>
      </c>
      <c r="K356" s="1"/>
      <c r="L356" s="1">
        <v>0.1</v>
      </c>
      <c r="M356" s="1">
        <v>5.75</v>
      </c>
      <c r="N356" s="1" t="s">
        <v>33</v>
      </c>
      <c r="O356" s="1" t="s">
        <v>34</v>
      </c>
      <c r="P356" s="2">
        <v>41696</v>
      </c>
      <c r="Q356" s="2" t="b">
        <f t="shared" si="17"/>
        <v>0</v>
      </c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</row>
    <row r="357" spans="1:35" ht="14.25" customHeight="1" x14ac:dyDescent="0.2">
      <c r="A357" s="1">
        <v>49123</v>
      </c>
      <c r="B357" s="1" t="s">
        <v>401</v>
      </c>
      <c r="C357" s="1" t="s">
        <v>21</v>
      </c>
      <c r="D357" s="2">
        <v>41695</v>
      </c>
      <c r="E357" s="1" t="s">
        <v>31</v>
      </c>
      <c r="F357" s="1" t="s">
        <v>530</v>
      </c>
      <c r="G357" s="1">
        <v>3</v>
      </c>
      <c r="H357" s="1">
        <v>8.33</v>
      </c>
      <c r="I357" s="1">
        <f t="shared" si="15"/>
        <v>24.990000000000002</v>
      </c>
      <c r="J357" t="str">
        <f t="shared" si="16"/>
        <v>Low</v>
      </c>
      <c r="K357" s="1"/>
      <c r="L357" s="1">
        <v>0.06</v>
      </c>
      <c r="M357" s="1">
        <v>1.99</v>
      </c>
      <c r="N357" s="1" t="s">
        <v>33</v>
      </c>
      <c r="O357" s="1" t="s">
        <v>84</v>
      </c>
      <c r="P357" s="2">
        <v>41696</v>
      </c>
      <c r="Q357" s="2" t="b">
        <f t="shared" si="17"/>
        <v>0</v>
      </c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</row>
    <row r="358" spans="1:35" ht="14.25" customHeight="1" x14ac:dyDescent="0.2">
      <c r="A358" s="1">
        <v>18819</v>
      </c>
      <c r="B358" s="1" t="s">
        <v>531</v>
      </c>
      <c r="C358" s="1" t="s">
        <v>21</v>
      </c>
      <c r="D358" s="2">
        <v>41695</v>
      </c>
      <c r="E358" s="1" t="s">
        <v>43</v>
      </c>
      <c r="F358" s="1" t="s">
        <v>532</v>
      </c>
      <c r="G358" s="1">
        <v>22</v>
      </c>
      <c r="H358" s="1">
        <v>50.98</v>
      </c>
      <c r="I358" s="1">
        <f t="shared" si="15"/>
        <v>1121.56</v>
      </c>
      <c r="J358" t="str">
        <f t="shared" si="16"/>
        <v>High</v>
      </c>
      <c r="K358" s="1"/>
      <c r="L358" s="1">
        <v>0.1</v>
      </c>
      <c r="M358" s="1">
        <v>22.24</v>
      </c>
      <c r="N358" s="1" t="s">
        <v>33</v>
      </c>
      <c r="O358" s="1" t="s">
        <v>26</v>
      </c>
      <c r="P358" s="2">
        <v>41697</v>
      </c>
      <c r="Q358" s="2" t="b">
        <f t="shared" si="17"/>
        <v>0</v>
      </c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</row>
    <row r="359" spans="1:35" ht="14.25" customHeight="1" x14ac:dyDescent="0.2">
      <c r="A359" s="1">
        <v>1059</v>
      </c>
      <c r="B359" s="1" t="s">
        <v>334</v>
      </c>
      <c r="C359" s="1" t="s">
        <v>21</v>
      </c>
      <c r="D359" s="2">
        <v>41696</v>
      </c>
      <c r="E359" s="1" t="s">
        <v>38</v>
      </c>
      <c r="F359" s="1" t="s">
        <v>487</v>
      </c>
      <c r="G359" s="1">
        <v>22</v>
      </c>
      <c r="H359" s="1">
        <v>5.34</v>
      </c>
      <c r="I359" s="1">
        <f t="shared" si="15"/>
        <v>117.47999999999999</v>
      </c>
      <c r="J359" t="str">
        <f t="shared" si="16"/>
        <v>Low</v>
      </c>
      <c r="K359" s="1"/>
      <c r="L359" s="1">
        <v>0.02</v>
      </c>
      <c r="M359" s="1">
        <v>2.99</v>
      </c>
      <c r="N359" s="1" t="s">
        <v>33</v>
      </c>
      <c r="O359" s="1" t="s">
        <v>34</v>
      </c>
      <c r="P359" s="2">
        <v>41698</v>
      </c>
      <c r="Q359" s="2" t="b">
        <f t="shared" si="17"/>
        <v>0</v>
      </c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</row>
    <row r="360" spans="1:35" ht="14.25" customHeight="1" x14ac:dyDescent="0.2">
      <c r="A360" s="1">
        <v>1059</v>
      </c>
      <c r="B360" s="1" t="s">
        <v>334</v>
      </c>
      <c r="C360" s="1" t="s">
        <v>30</v>
      </c>
      <c r="D360" s="2">
        <v>41696</v>
      </c>
      <c r="E360" s="1" t="s">
        <v>38</v>
      </c>
      <c r="F360" s="1" t="s">
        <v>533</v>
      </c>
      <c r="G360" s="1">
        <v>24</v>
      </c>
      <c r="H360" s="1">
        <v>40.98</v>
      </c>
      <c r="I360" s="1">
        <f t="shared" si="15"/>
        <v>983.52</v>
      </c>
      <c r="J360" t="str">
        <f t="shared" si="16"/>
        <v>Low</v>
      </c>
      <c r="K360" s="1"/>
      <c r="L360" s="1">
        <v>0.03</v>
      </c>
      <c r="M360" s="1">
        <v>7.47</v>
      </c>
      <c r="N360" s="1" t="s">
        <v>33</v>
      </c>
      <c r="O360" s="1" t="s">
        <v>34</v>
      </c>
      <c r="P360" s="2">
        <v>41697</v>
      </c>
      <c r="Q360" s="2" t="b">
        <f t="shared" si="17"/>
        <v>0</v>
      </c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</row>
    <row r="361" spans="1:35" ht="14.25" customHeight="1" x14ac:dyDescent="0.2">
      <c r="A361" s="1">
        <v>30215</v>
      </c>
      <c r="B361" s="1" t="s">
        <v>534</v>
      </c>
      <c r="C361" s="1" t="s">
        <v>30</v>
      </c>
      <c r="D361" s="2">
        <v>41696</v>
      </c>
      <c r="E361" s="1" t="s">
        <v>101</v>
      </c>
      <c r="F361" s="1" t="s">
        <v>344</v>
      </c>
      <c r="G361" s="1">
        <v>20</v>
      </c>
      <c r="H361" s="1">
        <v>6.88</v>
      </c>
      <c r="I361" s="1">
        <f t="shared" si="15"/>
        <v>137.6</v>
      </c>
      <c r="J361" t="str">
        <f t="shared" si="16"/>
        <v>Low</v>
      </c>
      <c r="K361" s="1"/>
      <c r="L361" s="1">
        <v>0.1</v>
      </c>
      <c r="M361" s="1">
        <v>2</v>
      </c>
      <c r="N361" s="1" t="s">
        <v>33</v>
      </c>
      <c r="O361" s="1" t="s">
        <v>55</v>
      </c>
      <c r="P361" s="2">
        <v>41697</v>
      </c>
      <c r="Q361" s="2" t="b">
        <f t="shared" si="17"/>
        <v>0</v>
      </c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</row>
    <row r="362" spans="1:35" ht="14.25" customHeight="1" x14ac:dyDescent="0.2">
      <c r="A362" s="1">
        <v>57890</v>
      </c>
      <c r="B362" s="1" t="s">
        <v>213</v>
      </c>
      <c r="C362" s="1" t="s">
        <v>21</v>
      </c>
      <c r="D362" s="2">
        <v>41696</v>
      </c>
      <c r="E362" s="1" t="s">
        <v>38</v>
      </c>
      <c r="F362" s="1" t="s">
        <v>535</v>
      </c>
      <c r="G362" s="1">
        <v>15</v>
      </c>
      <c r="H362" s="1">
        <v>55.48</v>
      </c>
      <c r="I362" s="1">
        <f t="shared" si="15"/>
        <v>832.19999999999993</v>
      </c>
      <c r="J362" t="str">
        <f t="shared" si="16"/>
        <v>Low</v>
      </c>
      <c r="K362" s="1"/>
      <c r="L362" s="1">
        <v>0.08</v>
      </c>
      <c r="M362" s="1">
        <v>6.79</v>
      </c>
      <c r="N362" s="1" t="s">
        <v>33</v>
      </c>
      <c r="O362" s="1" t="s">
        <v>34</v>
      </c>
      <c r="P362" s="2">
        <v>41698</v>
      </c>
      <c r="Q362" s="2" t="b">
        <f t="shared" si="17"/>
        <v>0</v>
      </c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</row>
    <row r="363" spans="1:35" ht="14.25" customHeight="1" x14ac:dyDescent="0.2">
      <c r="A363" s="1">
        <v>30215</v>
      </c>
      <c r="B363" s="1" t="s">
        <v>534</v>
      </c>
      <c r="C363" s="1" t="s">
        <v>30</v>
      </c>
      <c r="D363" s="2">
        <v>41696</v>
      </c>
      <c r="E363" s="1" t="s">
        <v>101</v>
      </c>
      <c r="F363" s="1" t="s">
        <v>536</v>
      </c>
      <c r="G363" s="1">
        <v>23</v>
      </c>
      <c r="H363" s="1">
        <v>195.99</v>
      </c>
      <c r="I363" s="1">
        <f t="shared" si="15"/>
        <v>4507.7700000000004</v>
      </c>
      <c r="J363" t="str">
        <f t="shared" si="16"/>
        <v>High</v>
      </c>
      <c r="K363" s="1"/>
      <c r="L363" s="1">
        <v>0.06</v>
      </c>
      <c r="M363" s="1">
        <v>8.99</v>
      </c>
      <c r="N363" s="1" t="s">
        <v>33</v>
      </c>
      <c r="O363" s="1" t="s">
        <v>34</v>
      </c>
      <c r="P363" s="2">
        <v>41698</v>
      </c>
      <c r="Q363" s="2" t="b">
        <f t="shared" si="17"/>
        <v>0</v>
      </c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</row>
    <row r="364" spans="1:35" ht="14.25" customHeight="1" x14ac:dyDescent="0.2">
      <c r="A364" s="1">
        <v>30564</v>
      </c>
      <c r="B364" s="1" t="s">
        <v>537</v>
      </c>
      <c r="C364" s="1" t="s">
        <v>21</v>
      </c>
      <c r="D364" s="2">
        <v>41696</v>
      </c>
      <c r="E364" s="1" t="s">
        <v>38</v>
      </c>
      <c r="F364" s="1" t="s">
        <v>538</v>
      </c>
      <c r="G364" s="1">
        <v>20</v>
      </c>
      <c r="H364" s="1">
        <v>35.99</v>
      </c>
      <c r="I364" s="1">
        <f t="shared" si="15"/>
        <v>719.80000000000007</v>
      </c>
      <c r="J364" t="str">
        <f t="shared" si="16"/>
        <v>Low</v>
      </c>
      <c r="K364" s="1"/>
      <c r="L364" s="1">
        <v>0.09</v>
      </c>
      <c r="M364" s="1">
        <v>5.99</v>
      </c>
      <c r="N364" s="1" t="s">
        <v>33</v>
      </c>
      <c r="O364" s="1" t="s">
        <v>55</v>
      </c>
      <c r="P364" s="2">
        <v>41697</v>
      </c>
      <c r="Q364" s="2" t="b">
        <f t="shared" si="17"/>
        <v>0</v>
      </c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</row>
    <row r="365" spans="1:35" ht="14.25" customHeight="1" x14ac:dyDescent="0.2">
      <c r="A365" s="1">
        <v>43846</v>
      </c>
      <c r="B365" s="1" t="s">
        <v>539</v>
      </c>
      <c r="C365" s="1" t="s">
        <v>30</v>
      </c>
      <c r="D365" s="2">
        <v>41696</v>
      </c>
      <c r="E365" s="1" t="s">
        <v>31</v>
      </c>
      <c r="F365" s="1" t="s">
        <v>540</v>
      </c>
      <c r="G365" s="1">
        <v>9</v>
      </c>
      <c r="H365" s="1">
        <v>3.6</v>
      </c>
      <c r="I365" s="1">
        <f t="shared" si="15"/>
        <v>32.4</v>
      </c>
      <c r="J365" t="str">
        <f t="shared" si="16"/>
        <v>Low</v>
      </c>
      <c r="K365" s="1"/>
      <c r="L365" s="1">
        <v>0.1</v>
      </c>
      <c r="M365" s="1">
        <v>2.2000000000000002</v>
      </c>
      <c r="N365" s="1" t="s">
        <v>33</v>
      </c>
      <c r="O365" s="1" t="s">
        <v>55</v>
      </c>
      <c r="P365" s="2">
        <v>41697</v>
      </c>
      <c r="Q365" s="2" t="b">
        <f t="shared" si="17"/>
        <v>0</v>
      </c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</row>
    <row r="366" spans="1:35" ht="14.25" customHeight="1" x14ac:dyDescent="0.2">
      <c r="A366" s="1">
        <v>18279</v>
      </c>
      <c r="B366" s="1" t="s">
        <v>541</v>
      </c>
      <c r="C366" s="1" t="s">
        <v>30</v>
      </c>
      <c r="D366" s="2">
        <v>41696</v>
      </c>
      <c r="E366" s="1" t="s">
        <v>101</v>
      </c>
      <c r="F366" s="1" t="s">
        <v>530</v>
      </c>
      <c r="G366" s="1">
        <v>22</v>
      </c>
      <c r="H366" s="1">
        <v>8.33</v>
      </c>
      <c r="I366" s="1">
        <f t="shared" si="15"/>
        <v>183.26</v>
      </c>
      <c r="J366" t="str">
        <f t="shared" si="16"/>
        <v>Low</v>
      </c>
      <c r="K366" s="1"/>
      <c r="L366" s="1">
        <v>7.0000000000000007E-2</v>
      </c>
      <c r="M366" s="1">
        <v>1.99</v>
      </c>
      <c r="N366" s="1" t="s">
        <v>33</v>
      </c>
      <c r="O366" s="1" t="s">
        <v>84</v>
      </c>
      <c r="P366" s="2">
        <v>41698</v>
      </c>
      <c r="Q366" s="2" t="b">
        <f t="shared" si="17"/>
        <v>0</v>
      </c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</row>
    <row r="367" spans="1:35" ht="14.25" customHeight="1" x14ac:dyDescent="0.2">
      <c r="A367" s="1">
        <v>18279</v>
      </c>
      <c r="B367" s="1" t="s">
        <v>541</v>
      </c>
      <c r="C367" s="1" t="s">
        <v>51</v>
      </c>
      <c r="D367" s="2">
        <v>41696</v>
      </c>
      <c r="E367" s="1" t="s">
        <v>101</v>
      </c>
      <c r="F367" s="1" t="s">
        <v>542</v>
      </c>
      <c r="G367" s="1">
        <v>20</v>
      </c>
      <c r="H367" s="1">
        <v>499.99</v>
      </c>
      <c r="I367" s="1">
        <f t="shared" si="15"/>
        <v>9999.7999999999993</v>
      </c>
      <c r="J367" t="str">
        <f t="shared" si="16"/>
        <v>High</v>
      </c>
      <c r="K367" s="1"/>
      <c r="L367" s="1">
        <v>0.03</v>
      </c>
      <c r="M367" s="1">
        <v>24.49</v>
      </c>
      <c r="N367" s="1" t="s">
        <v>33</v>
      </c>
      <c r="O367" s="1" t="s">
        <v>26</v>
      </c>
      <c r="P367" s="2">
        <v>41697</v>
      </c>
      <c r="Q367" s="2" t="b">
        <f t="shared" si="17"/>
        <v>0</v>
      </c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</row>
    <row r="368" spans="1:35" ht="14.25" customHeight="1" x14ac:dyDescent="0.2">
      <c r="A368" s="1">
        <v>39846</v>
      </c>
      <c r="B368" s="1" t="s">
        <v>190</v>
      </c>
      <c r="C368" s="1" t="s">
        <v>30</v>
      </c>
      <c r="D368" s="2">
        <v>41697</v>
      </c>
      <c r="E368" s="1" t="s">
        <v>43</v>
      </c>
      <c r="F368" s="1" t="s">
        <v>481</v>
      </c>
      <c r="G368" s="1">
        <v>14</v>
      </c>
      <c r="H368" s="1">
        <v>4.9800000000000004</v>
      </c>
      <c r="I368" s="1">
        <f t="shared" si="15"/>
        <v>69.72</v>
      </c>
      <c r="J368" t="str">
        <f t="shared" si="16"/>
        <v>Low</v>
      </c>
      <c r="K368" s="1"/>
      <c r="L368" s="1">
        <v>0.06</v>
      </c>
      <c r="M368" s="1">
        <v>4.62</v>
      </c>
      <c r="N368" s="1" t="s">
        <v>33</v>
      </c>
      <c r="O368" s="1" t="s">
        <v>84</v>
      </c>
      <c r="P368" s="2">
        <v>41704</v>
      </c>
      <c r="Q368" s="2" t="b">
        <f t="shared" si="17"/>
        <v>0</v>
      </c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</row>
    <row r="369" spans="1:35" ht="14.25" customHeight="1" x14ac:dyDescent="0.2">
      <c r="A369" s="1">
        <v>51937</v>
      </c>
      <c r="B369" s="1" t="s">
        <v>543</v>
      </c>
      <c r="C369" s="1" t="s">
        <v>30</v>
      </c>
      <c r="D369" s="2">
        <v>41697</v>
      </c>
      <c r="E369" s="1" t="s">
        <v>31</v>
      </c>
      <c r="F369" s="1" t="s">
        <v>544</v>
      </c>
      <c r="G369" s="1">
        <v>39</v>
      </c>
      <c r="H369" s="1">
        <v>294.62</v>
      </c>
      <c r="I369" s="1">
        <f t="shared" si="15"/>
        <v>11490.18</v>
      </c>
      <c r="J369" t="str">
        <f t="shared" si="16"/>
        <v>High</v>
      </c>
      <c r="K369" s="1"/>
      <c r="L369" s="1">
        <v>0.05</v>
      </c>
      <c r="M369" s="1">
        <v>42.52</v>
      </c>
      <c r="N369" s="1" t="s">
        <v>45</v>
      </c>
      <c r="O369" s="1" t="s">
        <v>46</v>
      </c>
      <c r="P369" s="2">
        <v>41697</v>
      </c>
      <c r="Q369" s="2" t="b">
        <f t="shared" si="17"/>
        <v>0</v>
      </c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</row>
    <row r="370" spans="1:35" ht="14.25" customHeight="1" x14ac:dyDescent="0.2">
      <c r="A370" s="1">
        <v>6979</v>
      </c>
      <c r="B370" s="1" t="s">
        <v>545</v>
      </c>
      <c r="C370" s="1" t="s">
        <v>21</v>
      </c>
      <c r="D370" s="2">
        <v>41697</v>
      </c>
      <c r="E370" s="1" t="s">
        <v>38</v>
      </c>
      <c r="F370" s="1" t="s">
        <v>546</v>
      </c>
      <c r="G370" s="1">
        <v>28</v>
      </c>
      <c r="H370" s="1">
        <v>11.99</v>
      </c>
      <c r="I370" s="1">
        <f t="shared" si="15"/>
        <v>335.72</v>
      </c>
      <c r="J370" t="str">
        <f t="shared" si="16"/>
        <v>Low</v>
      </c>
      <c r="K370" s="1"/>
      <c r="L370" s="1">
        <v>0.03</v>
      </c>
      <c r="M370" s="1">
        <v>5.99</v>
      </c>
      <c r="N370" s="1" t="s">
        <v>33</v>
      </c>
      <c r="O370" s="1" t="s">
        <v>72</v>
      </c>
      <c r="P370" s="2">
        <v>41698</v>
      </c>
      <c r="Q370" s="2" t="b">
        <f t="shared" si="17"/>
        <v>0</v>
      </c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</row>
    <row r="371" spans="1:35" ht="14.25" customHeight="1" x14ac:dyDescent="0.2">
      <c r="A371" s="1">
        <v>39846</v>
      </c>
      <c r="B371" s="1" t="s">
        <v>190</v>
      </c>
      <c r="C371" s="1" t="s">
        <v>51</v>
      </c>
      <c r="D371" s="2">
        <v>41697</v>
      </c>
      <c r="E371" s="1" t="s">
        <v>43</v>
      </c>
      <c r="F371" s="1" t="s">
        <v>547</v>
      </c>
      <c r="G371" s="1">
        <v>10</v>
      </c>
      <c r="H371" s="1">
        <v>130.97999999999999</v>
      </c>
      <c r="I371" s="1">
        <f t="shared" si="15"/>
        <v>1309.8</v>
      </c>
      <c r="J371" t="str">
        <f t="shared" si="16"/>
        <v>High</v>
      </c>
      <c r="K371" s="1"/>
      <c r="L371" s="1">
        <v>0.06</v>
      </c>
      <c r="M371" s="1">
        <v>54.74</v>
      </c>
      <c r="N371" s="1" t="s">
        <v>45</v>
      </c>
      <c r="O371" s="1" t="s">
        <v>63</v>
      </c>
      <c r="P371" s="2">
        <v>41704</v>
      </c>
      <c r="Q371" s="2" t="b">
        <f t="shared" si="17"/>
        <v>0</v>
      </c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</row>
    <row r="372" spans="1:35" ht="14.25" customHeight="1" x14ac:dyDescent="0.2">
      <c r="A372" s="1">
        <v>14916</v>
      </c>
      <c r="B372" s="1" t="s">
        <v>343</v>
      </c>
      <c r="C372" s="1" t="s">
        <v>51</v>
      </c>
      <c r="D372" s="2">
        <v>41697</v>
      </c>
      <c r="E372" s="1" t="s">
        <v>43</v>
      </c>
      <c r="F372" s="1" t="s">
        <v>548</v>
      </c>
      <c r="G372" s="1">
        <v>16</v>
      </c>
      <c r="H372" s="1">
        <v>125.99</v>
      </c>
      <c r="I372" s="1">
        <f t="shared" si="15"/>
        <v>2015.84</v>
      </c>
      <c r="J372" t="str">
        <f t="shared" si="16"/>
        <v>High</v>
      </c>
      <c r="K372" s="1"/>
      <c r="L372" s="1">
        <v>7.0000000000000007E-2</v>
      </c>
      <c r="M372" s="1">
        <v>8.8000000000000007</v>
      </c>
      <c r="N372" s="1" t="s">
        <v>25</v>
      </c>
      <c r="O372" s="1" t="s">
        <v>34</v>
      </c>
      <c r="P372" s="2">
        <v>41699</v>
      </c>
      <c r="Q372" s="2" t="b">
        <f t="shared" si="17"/>
        <v>0</v>
      </c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</row>
    <row r="373" spans="1:35" ht="14.25" customHeight="1" x14ac:dyDescent="0.2">
      <c r="A373" s="1">
        <v>57958</v>
      </c>
      <c r="B373" s="1" t="s">
        <v>549</v>
      </c>
      <c r="C373" s="1" t="s">
        <v>51</v>
      </c>
      <c r="D373" s="2">
        <v>41698</v>
      </c>
      <c r="E373" s="1" t="s">
        <v>38</v>
      </c>
      <c r="F373" s="1" t="s">
        <v>550</v>
      </c>
      <c r="G373" s="1">
        <v>46</v>
      </c>
      <c r="H373" s="1">
        <v>30.98</v>
      </c>
      <c r="I373" s="1">
        <f t="shared" si="15"/>
        <v>1425.08</v>
      </c>
      <c r="J373" t="str">
        <f t="shared" si="16"/>
        <v>High</v>
      </c>
      <c r="K373" s="1"/>
      <c r="L373" s="1">
        <v>7.0000000000000007E-2</v>
      </c>
      <c r="M373" s="1">
        <v>8.74</v>
      </c>
      <c r="N373" s="1" t="s">
        <v>25</v>
      </c>
      <c r="O373" s="1" t="s">
        <v>34</v>
      </c>
      <c r="P373" s="2">
        <v>41699</v>
      </c>
      <c r="Q373" s="2" t="b">
        <f t="shared" si="17"/>
        <v>0</v>
      </c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</row>
    <row r="374" spans="1:35" ht="14.25" customHeight="1" x14ac:dyDescent="0.2">
      <c r="A374" s="1">
        <v>41888</v>
      </c>
      <c r="B374" s="1" t="s">
        <v>551</v>
      </c>
      <c r="C374" s="1" t="s">
        <v>30</v>
      </c>
      <c r="D374" s="2">
        <v>41698</v>
      </c>
      <c r="E374" s="1" t="s">
        <v>43</v>
      </c>
      <c r="F374" s="1" t="s">
        <v>552</v>
      </c>
      <c r="G374" s="1">
        <v>18</v>
      </c>
      <c r="H374" s="1">
        <v>120.98</v>
      </c>
      <c r="I374" s="1">
        <f t="shared" si="15"/>
        <v>2177.64</v>
      </c>
      <c r="J374" t="str">
        <f t="shared" si="16"/>
        <v>High</v>
      </c>
      <c r="K374" s="1"/>
      <c r="L374" s="1">
        <v>0.1</v>
      </c>
      <c r="M374" s="1">
        <v>9.07</v>
      </c>
      <c r="N374" s="1" t="s">
        <v>33</v>
      </c>
      <c r="O374" s="1" t="s">
        <v>34</v>
      </c>
      <c r="P374" s="2">
        <v>41707</v>
      </c>
      <c r="Q374" s="2" t="b">
        <f t="shared" si="17"/>
        <v>0</v>
      </c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</row>
    <row r="375" spans="1:35" ht="14.25" customHeight="1" x14ac:dyDescent="0.2">
      <c r="A375" s="1">
        <v>41888</v>
      </c>
      <c r="B375" s="1" t="s">
        <v>551</v>
      </c>
      <c r="C375" s="1" t="s">
        <v>30</v>
      </c>
      <c r="D375" s="2">
        <v>41698</v>
      </c>
      <c r="E375" s="1" t="s">
        <v>43</v>
      </c>
      <c r="F375" s="1" t="s">
        <v>553</v>
      </c>
      <c r="G375" s="1">
        <v>23</v>
      </c>
      <c r="H375" s="1">
        <v>8.32</v>
      </c>
      <c r="I375" s="1">
        <f t="shared" si="15"/>
        <v>191.36</v>
      </c>
      <c r="J375" t="str">
        <f t="shared" si="16"/>
        <v>Low</v>
      </c>
      <c r="K375" s="1"/>
      <c r="L375" s="1">
        <v>0.08</v>
      </c>
      <c r="M375" s="1">
        <v>2.38</v>
      </c>
      <c r="N375" s="1" t="s">
        <v>25</v>
      </c>
      <c r="O375" s="1" t="s">
        <v>84</v>
      </c>
      <c r="P375" s="2">
        <v>41702</v>
      </c>
      <c r="Q375" s="2" t="b">
        <f t="shared" si="17"/>
        <v>0</v>
      </c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</row>
    <row r="376" spans="1:35" ht="14.25" customHeight="1" x14ac:dyDescent="0.2">
      <c r="A376" s="1">
        <v>41888</v>
      </c>
      <c r="B376" s="1" t="s">
        <v>551</v>
      </c>
      <c r="C376" s="1" t="s">
        <v>51</v>
      </c>
      <c r="D376" s="2">
        <v>41698</v>
      </c>
      <c r="E376" s="1" t="s">
        <v>43</v>
      </c>
      <c r="F376" s="1" t="s">
        <v>554</v>
      </c>
      <c r="G376" s="1">
        <v>29</v>
      </c>
      <c r="H376" s="1">
        <v>125.99</v>
      </c>
      <c r="I376" s="1">
        <f t="shared" si="15"/>
        <v>3653.71</v>
      </c>
      <c r="J376" t="str">
        <f t="shared" si="16"/>
        <v>High</v>
      </c>
      <c r="K376" s="1"/>
      <c r="L376" s="1">
        <v>0.1</v>
      </c>
      <c r="M376" s="1">
        <v>4.2</v>
      </c>
      <c r="N376" s="1" t="s">
        <v>33</v>
      </c>
      <c r="O376" s="1" t="s">
        <v>34</v>
      </c>
      <c r="P376" s="2">
        <v>41698</v>
      </c>
      <c r="Q376" s="2" t="b">
        <f t="shared" si="17"/>
        <v>0</v>
      </c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</row>
    <row r="377" spans="1:35" ht="14.25" customHeight="1" x14ac:dyDescent="0.2">
      <c r="A377" s="1">
        <v>19042</v>
      </c>
      <c r="B377" s="1" t="s">
        <v>555</v>
      </c>
      <c r="C377" s="1" t="s">
        <v>51</v>
      </c>
      <c r="D377" s="2">
        <v>41699</v>
      </c>
      <c r="E377" s="1" t="s">
        <v>38</v>
      </c>
      <c r="F377" s="1" t="s">
        <v>533</v>
      </c>
      <c r="G377" s="1">
        <v>8</v>
      </c>
      <c r="H377" s="1">
        <v>40.98</v>
      </c>
      <c r="I377" s="1">
        <f t="shared" si="15"/>
        <v>327.84</v>
      </c>
      <c r="J377" t="str">
        <f t="shared" si="16"/>
        <v>Low</v>
      </c>
      <c r="K377" s="1"/>
      <c r="L377" s="1">
        <v>7.0000000000000007E-2</v>
      </c>
      <c r="M377" s="1">
        <v>7.47</v>
      </c>
      <c r="N377" s="1" t="s">
        <v>33</v>
      </c>
      <c r="O377" s="1" t="s">
        <v>34</v>
      </c>
      <c r="P377" s="2">
        <v>41700</v>
      </c>
      <c r="Q377" s="2" t="b">
        <f t="shared" si="17"/>
        <v>0</v>
      </c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</row>
    <row r="378" spans="1:35" ht="14.25" customHeight="1" x14ac:dyDescent="0.2">
      <c r="A378" s="1">
        <v>8258</v>
      </c>
      <c r="B378" s="1" t="s">
        <v>543</v>
      </c>
      <c r="C378" s="1" t="s">
        <v>30</v>
      </c>
      <c r="D378" s="2">
        <v>41699</v>
      </c>
      <c r="E378" s="1" t="s">
        <v>31</v>
      </c>
      <c r="F378" s="1" t="s">
        <v>556</v>
      </c>
      <c r="G378" s="1">
        <v>37</v>
      </c>
      <c r="H378" s="1">
        <v>11.34</v>
      </c>
      <c r="I378" s="1">
        <f t="shared" si="15"/>
        <v>419.58</v>
      </c>
      <c r="J378" t="str">
        <f t="shared" si="16"/>
        <v>Low</v>
      </c>
      <c r="K378" s="1"/>
      <c r="L378" s="1">
        <v>0.02</v>
      </c>
      <c r="M378" s="1">
        <v>11.25</v>
      </c>
      <c r="N378" s="1" t="s">
        <v>33</v>
      </c>
      <c r="O378" s="1" t="s">
        <v>34</v>
      </c>
      <c r="P378" s="2">
        <v>41700</v>
      </c>
      <c r="Q378" s="2" t="b">
        <f t="shared" si="17"/>
        <v>0</v>
      </c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</row>
    <row r="379" spans="1:35" ht="14.25" customHeight="1" x14ac:dyDescent="0.2">
      <c r="A379" s="1">
        <v>11302</v>
      </c>
      <c r="B379" s="1" t="s">
        <v>557</v>
      </c>
      <c r="C379" s="1" t="s">
        <v>30</v>
      </c>
      <c r="D379" s="2">
        <v>41699</v>
      </c>
      <c r="E379" s="1" t="s">
        <v>43</v>
      </c>
      <c r="F379" s="1" t="s">
        <v>558</v>
      </c>
      <c r="G379" s="1">
        <v>10</v>
      </c>
      <c r="H379" s="1">
        <v>90.97</v>
      </c>
      <c r="I379" s="1">
        <f t="shared" si="15"/>
        <v>909.7</v>
      </c>
      <c r="J379" t="str">
        <f t="shared" si="16"/>
        <v>Low</v>
      </c>
      <c r="K379" s="1"/>
      <c r="L379" s="1">
        <v>0.09</v>
      </c>
      <c r="M379" s="1">
        <v>14</v>
      </c>
      <c r="N379" s="1" t="s">
        <v>45</v>
      </c>
      <c r="O379" s="1" t="s">
        <v>46</v>
      </c>
      <c r="P379" s="2">
        <v>41701</v>
      </c>
      <c r="Q379" s="2" t="b">
        <f t="shared" si="17"/>
        <v>0</v>
      </c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</row>
    <row r="380" spans="1:35" ht="14.25" customHeight="1" x14ac:dyDescent="0.2">
      <c r="A380" s="1">
        <v>22917</v>
      </c>
      <c r="B380" s="1" t="s">
        <v>297</v>
      </c>
      <c r="C380" s="1" t="s">
        <v>51</v>
      </c>
      <c r="D380" s="2">
        <v>41699</v>
      </c>
      <c r="E380" s="1" t="s">
        <v>101</v>
      </c>
      <c r="F380" s="1" t="s">
        <v>559</v>
      </c>
      <c r="G380" s="1">
        <v>1</v>
      </c>
      <c r="H380" s="1">
        <v>3499.99</v>
      </c>
      <c r="I380" s="1">
        <f t="shared" si="15"/>
        <v>3499.99</v>
      </c>
      <c r="J380" t="str">
        <f t="shared" si="16"/>
        <v>High</v>
      </c>
      <c r="K380" s="1"/>
      <c r="L380" s="1">
        <v>0.06</v>
      </c>
      <c r="M380" s="1">
        <v>24.49</v>
      </c>
      <c r="N380" s="1" t="s">
        <v>25</v>
      </c>
      <c r="O380" s="1" t="s">
        <v>26</v>
      </c>
      <c r="P380" s="2">
        <v>41702</v>
      </c>
      <c r="Q380" s="2" t="b">
        <f t="shared" si="17"/>
        <v>1</v>
      </c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</row>
    <row r="381" spans="1:35" ht="14.25" customHeight="1" x14ac:dyDescent="0.2">
      <c r="A381" s="1">
        <v>22851</v>
      </c>
      <c r="B381" s="1" t="s">
        <v>560</v>
      </c>
      <c r="C381" s="1" t="s">
        <v>51</v>
      </c>
      <c r="D381" s="2">
        <v>41699</v>
      </c>
      <c r="E381" s="1" t="s">
        <v>38</v>
      </c>
      <c r="F381" s="1" t="s">
        <v>83</v>
      </c>
      <c r="G381" s="1">
        <v>25</v>
      </c>
      <c r="H381" s="1">
        <v>28.48</v>
      </c>
      <c r="I381" s="1">
        <f t="shared" si="15"/>
        <v>712</v>
      </c>
      <c r="J381" t="str">
        <f t="shared" si="16"/>
        <v>Low</v>
      </c>
      <c r="K381" s="1"/>
      <c r="L381" s="1">
        <v>0.09</v>
      </c>
      <c r="M381" s="1">
        <v>1.99</v>
      </c>
      <c r="N381" s="1" t="s">
        <v>33</v>
      </c>
      <c r="O381" s="1" t="s">
        <v>84</v>
      </c>
      <c r="P381" s="2">
        <v>41700</v>
      </c>
      <c r="Q381" s="2" t="b">
        <f t="shared" si="17"/>
        <v>0</v>
      </c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</row>
    <row r="382" spans="1:35" ht="14.25" customHeight="1" x14ac:dyDescent="0.2">
      <c r="A382" s="1">
        <v>22851</v>
      </c>
      <c r="B382" s="1" t="s">
        <v>560</v>
      </c>
      <c r="C382" s="1" t="s">
        <v>21</v>
      </c>
      <c r="D382" s="2">
        <v>41699</v>
      </c>
      <c r="E382" s="1" t="s">
        <v>38</v>
      </c>
      <c r="F382" s="1" t="s">
        <v>199</v>
      </c>
      <c r="G382" s="1">
        <v>13</v>
      </c>
      <c r="H382" s="1">
        <v>2.08</v>
      </c>
      <c r="I382" s="1">
        <f t="shared" si="15"/>
        <v>27.04</v>
      </c>
      <c r="J382" t="str">
        <f t="shared" si="16"/>
        <v>Low</v>
      </c>
      <c r="K382" s="1"/>
      <c r="L382" s="1">
        <v>0</v>
      </c>
      <c r="M382" s="1">
        <v>5.33</v>
      </c>
      <c r="N382" s="1" t="s">
        <v>33</v>
      </c>
      <c r="O382" s="1" t="s">
        <v>34</v>
      </c>
      <c r="P382" s="2">
        <v>41701</v>
      </c>
      <c r="Q382" s="2" t="b">
        <f t="shared" si="17"/>
        <v>0</v>
      </c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</row>
    <row r="383" spans="1:35" ht="14.25" customHeight="1" x14ac:dyDescent="0.2">
      <c r="A383" s="1">
        <v>22851</v>
      </c>
      <c r="B383" s="1" t="s">
        <v>560</v>
      </c>
      <c r="C383" s="1" t="s">
        <v>21</v>
      </c>
      <c r="D383" s="2">
        <v>41699</v>
      </c>
      <c r="E383" s="1" t="s">
        <v>38</v>
      </c>
      <c r="F383" s="1" t="s">
        <v>561</v>
      </c>
      <c r="G383" s="1">
        <v>38</v>
      </c>
      <c r="H383" s="1">
        <v>45.99</v>
      </c>
      <c r="I383" s="1">
        <f t="shared" si="15"/>
        <v>1747.6200000000001</v>
      </c>
      <c r="J383" t="str">
        <f t="shared" si="16"/>
        <v>High</v>
      </c>
      <c r="K383" s="1"/>
      <c r="L383" s="1">
        <v>0.06</v>
      </c>
      <c r="M383" s="1">
        <v>4.99</v>
      </c>
      <c r="N383" s="1" t="s">
        <v>25</v>
      </c>
      <c r="O383" s="1" t="s">
        <v>34</v>
      </c>
      <c r="P383" s="2">
        <v>41700</v>
      </c>
      <c r="Q383" s="2" t="b">
        <f t="shared" si="17"/>
        <v>0</v>
      </c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</row>
    <row r="384" spans="1:35" ht="14.25" customHeight="1" x14ac:dyDescent="0.2">
      <c r="A384" s="1">
        <v>41153</v>
      </c>
      <c r="B384" s="1" t="s">
        <v>177</v>
      </c>
      <c r="C384" s="1" t="s">
        <v>21</v>
      </c>
      <c r="D384" s="2">
        <v>41700</v>
      </c>
      <c r="E384" s="1" t="s">
        <v>101</v>
      </c>
      <c r="F384" s="1" t="s">
        <v>562</v>
      </c>
      <c r="G384" s="1">
        <v>29</v>
      </c>
      <c r="H384" s="1">
        <v>30.73</v>
      </c>
      <c r="I384" s="1">
        <f t="shared" si="15"/>
        <v>891.17</v>
      </c>
      <c r="J384" t="str">
        <f t="shared" si="16"/>
        <v>Low</v>
      </c>
      <c r="K384" s="1"/>
      <c r="L384" s="1">
        <v>0.1</v>
      </c>
      <c r="M384" s="1">
        <v>4</v>
      </c>
      <c r="N384" s="1" t="s">
        <v>33</v>
      </c>
      <c r="O384" s="1" t="s">
        <v>34</v>
      </c>
      <c r="P384" s="2">
        <v>41701</v>
      </c>
      <c r="Q384" s="2" t="b">
        <f t="shared" si="17"/>
        <v>0</v>
      </c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</row>
    <row r="385" spans="1:35" ht="14.25" customHeight="1" x14ac:dyDescent="0.2">
      <c r="A385" s="1">
        <v>54369</v>
      </c>
      <c r="B385" s="1" t="s">
        <v>563</v>
      </c>
      <c r="C385" s="1" t="s">
        <v>51</v>
      </c>
      <c r="D385" s="2">
        <v>41700</v>
      </c>
      <c r="E385" s="1" t="s">
        <v>22</v>
      </c>
      <c r="F385" s="1" t="s">
        <v>530</v>
      </c>
      <c r="G385" s="1">
        <v>47</v>
      </c>
      <c r="H385" s="1">
        <v>8.33</v>
      </c>
      <c r="I385" s="1">
        <f t="shared" si="15"/>
        <v>391.51</v>
      </c>
      <c r="J385" t="str">
        <f t="shared" si="16"/>
        <v>Low</v>
      </c>
      <c r="K385" s="1"/>
      <c r="L385" s="1">
        <v>0</v>
      </c>
      <c r="M385" s="1">
        <v>1.99</v>
      </c>
      <c r="N385" s="1" t="s">
        <v>25</v>
      </c>
      <c r="O385" s="1" t="s">
        <v>84</v>
      </c>
      <c r="P385" s="2">
        <v>41702</v>
      </c>
      <c r="Q385" s="2" t="b">
        <f t="shared" si="17"/>
        <v>0</v>
      </c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</row>
    <row r="386" spans="1:35" ht="14.25" customHeight="1" x14ac:dyDescent="0.2">
      <c r="A386" s="1">
        <v>46021</v>
      </c>
      <c r="B386" s="1" t="s">
        <v>564</v>
      </c>
      <c r="C386" s="1" t="s">
        <v>51</v>
      </c>
      <c r="D386" s="2">
        <v>41700</v>
      </c>
      <c r="E386" s="1" t="s">
        <v>31</v>
      </c>
      <c r="F386" s="1" t="s">
        <v>565</v>
      </c>
      <c r="G386" s="1">
        <v>1</v>
      </c>
      <c r="H386" s="1">
        <v>170.98</v>
      </c>
      <c r="I386" s="1">
        <f t="shared" ref="I386:I449" si="18">G386*H386</f>
        <v>170.98</v>
      </c>
      <c r="J386" t="str">
        <f t="shared" ref="J386:J449" si="19">IF(I386&lt;1000,"Low","High")</f>
        <v>Low</v>
      </c>
      <c r="K386" s="1"/>
      <c r="L386" s="1">
        <v>0.08</v>
      </c>
      <c r="M386" s="1">
        <v>35.89</v>
      </c>
      <c r="N386" s="1" t="s">
        <v>45</v>
      </c>
      <c r="O386" s="1" t="s">
        <v>63</v>
      </c>
      <c r="P386" s="2">
        <v>41702</v>
      </c>
      <c r="Q386" s="2" t="b">
        <f t="shared" ref="Q386:Q449" si="20">AND(N386="Express Air",O386="Large Box")</f>
        <v>0</v>
      </c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</row>
    <row r="387" spans="1:35" ht="14.25" customHeight="1" x14ac:dyDescent="0.2">
      <c r="A387" s="1">
        <v>21703</v>
      </c>
      <c r="B387" s="1" t="s">
        <v>566</v>
      </c>
      <c r="C387" s="1" t="s">
        <v>51</v>
      </c>
      <c r="D387" s="2">
        <v>41700</v>
      </c>
      <c r="E387" s="1" t="s">
        <v>22</v>
      </c>
      <c r="F387" s="1" t="s">
        <v>567</v>
      </c>
      <c r="G387" s="1">
        <v>3</v>
      </c>
      <c r="H387" s="1">
        <v>3.69</v>
      </c>
      <c r="I387" s="1">
        <f t="shared" si="18"/>
        <v>11.07</v>
      </c>
      <c r="J387" t="str">
        <f t="shared" si="19"/>
        <v>Low</v>
      </c>
      <c r="K387" s="1"/>
      <c r="L387" s="1">
        <v>0</v>
      </c>
      <c r="M387" s="1">
        <v>0.5</v>
      </c>
      <c r="N387" s="1" t="s">
        <v>33</v>
      </c>
      <c r="O387" s="1" t="s">
        <v>34</v>
      </c>
      <c r="P387" s="2">
        <v>41702</v>
      </c>
      <c r="Q387" s="2" t="b">
        <f t="shared" si="20"/>
        <v>0</v>
      </c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</row>
    <row r="388" spans="1:35" ht="14.25" customHeight="1" x14ac:dyDescent="0.2">
      <c r="A388" s="1">
        <v>21703</v>
      </c>
      <c r="B388" s="1" t="s">
        <v>566</v>
      </c>
      <c r="C388" s="1" t="s">
        <v>21</v>
      </c>
      <c r="D388" s="2">
        <v>41700</v>
      </c>
      <c r="E388" s="1" t="s">
        <v>22</v>
      </c>
      <c r="F388" s="1" t="s">
        <v>302</v>
      </c>
      <c r="G388" s="1">
        <v>20</v>
      </c>
      <c r="H388" s="1">
        <v>92.23</v>
      </c>
      <c r="I388" s="1">
        <f t="shared" si="18"/>
        <v>1844.6000000000001</v>
      </c>
      <c r="J388" t="str">
        <f t="shared" si="19"/>
        <v>High</v>
      </c>
      <c r="K388" s="1"/>
      <c r="L388" s="1">
        <v>0.03</v>
      </c>
      <c r="M388" s="1">
        <v>39.61</v>
      </c>
      <c r="N388" s="1" t="s">
        <v>33</v>
      </c>
      <c r="O388" s="1" t="s">
        <v>72</v>
      </c>
      <c r="P388" s="2">
        <v>41702</v>
      </c>
      <c r="Q388" s="2" t="b">
        <f t="shared" si="20"/>
        <v>0</v>
      </c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</row>
    <row r="389" spans="1:35" ht="14.25" customHeight="1" x14ac:dyDescent="0.2">
      <c r="A389" s="1">
        <v>21703</v>
      </c>
      <c r="B389" s="1" t="s">
        <v>566</v>
      </c>
      <c r="C389" s="1" t="s">
        <v>51</v>
      </c>
      <c r="D389" s="2">
        <v>41700</v>
      </c>
      <c r="E389" s="1" t="s">
        <v>22</v>
      </c>
      <c r="F389" s="1" t="s">
        <v>568</v>
      </c>
      <c r="G389" s="1">
        <v>15</v>
      </c>
      <c r="H389" s="1">
        <v>175.99</v>
      </c>
      <c r="I389" s="1">
        <f t="shared" si="18"/>
        <v>2639.8500000000004</v>
      </c>
      <c r="J389" t="str">
        <f t="shared" si="19"/>
        <v>High</v>
      </c>
      <c r="K389" s="1"/>
      <c r="L389" s="1">
        <v>0.02</v>
      </c>
      <c r="M389" s="1">
        <v>4.99</v>
      </c>
      <c r="N389" s="1" t="s">
        <v>25</v>
      </c>
      <c r="O389" s="1" t="s">
        <v>34</v>
      </c>
      <c r="P389" s="2">
        <v>41700</v>
      </c>
      <c r="Q389" s="2" t="b">
        <f t="shared" si="20"/>
        <v>0</v>
      </c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</row>
    <row r="390" spans="1:35" ht="14.25" customHeight="1" x14ac:dyDescent="0.2">
      <c r="A390" s="1">
        <v>12544</v>
      </c>
      <c r="B390" s="1" t="s">
        <v>569</v>
      </c>
      <c r="C390" s="1" t="s">
        <v>30</v>
      </c>
      <c r="D390" s="2">
        <v>41701</v>
      </c>
      <c r="E390" s="1" t="s">
        <v>43</v>
      </c>
      <c r="F390" s="1" t="s">
        <v>199</v>
      </c>
      <c r="G390" s="1">
        <v>34</v>
      </c>
      <c r="H390" s="1">
        <v>2.08</v>
      </c>
      <c r="I390" s="1">
        <f t="shared" si="18"/>
        <v>70.72</v>
      </c>
      <c r="J390" t="str">
        <f t="shared" si="19"/>
        <v>Low</v>
      </c>
      <c r="K390" s="1"/>
      <c r="L390" s="1">
        <v>0.08</v>
      </c>
      <c r="M390" s="1">
        <v>5.33</v>
      </c>
      <c r="N390" s="1" t="s">
        <v>33</v>
      </c>
      <c r="O390" s="1" t="s">
        <v>34</v>
      </c>
      <c r="P390" s="2">
        <v>41708</v>
      </c>
      <c r="Q390" s="2" t="b">
        <f t="shared" si="20"/>
        <v>0</v>
      </c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</row>
    <row r="391" spans="1:35" ht="14.25" customHeight="1" x14ac:dyDescent="0.2">
      <c r="A391" s="1">
        <v>10022</v>
      </c>
      <c r="B391" s="1" t="s">
        <v>570</v>
      </c>
      <c r="C391" s="1" t="s">
        <v>51</v>
      </c>
      <c r="D391" s="2">
        <v>41702</v>
      </c>
      <c r="E391" s="1" t="s">
        <v>43</v>
      </c>
      <c r="F391" s="1" t="s">
        <v>67</v>
      </c>
      <c r="G391" s="1">
        <v>1</v>
      </c>
      <c r="H391" s="1">
        <v>10.14</v>
      </c>
      <c r="I391" s="1">
        <f t="shared" si="18"/>
        <v>10.14</v>
      </c>
      <c r="J391" t="str">
        <f t="shared" si="19"/>
        <v>Low</v>
      </c>
      <c r="K391" s="1"/>
      <c r="L391" s="1">
        <v>0.06</v>
      </c>
      <c r="M391" s="1">
        <v>2.27</v>
      </c>
      <c r="N391" s="1" t="s">
        <v>33</v>
      </c>
      <c r="O391" s="1" t="s">
        <v>55</v>
      </c>
      <c r="P391" s="2">
        <v>41702</v>
      </c>
      <c r="Q391" s="2" t="b">
        <f t="shared" si="20"/>
        <v>0</v>
      </c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</row>
    <row r="392" spans="1:35" ht="14.25" customHeight="1" x14ac:dyDescent="0.2">
      <c r="A392" s="1">
        <v>20166</v>
      </c>
      <c r="B392" s="1" t="s">
        <v>401</v>
      </c>
      <c r="C392" s="1" t="s">
        <v>30</v>
      </c>
      <c r="D392" s="2">
        <v>41702</v>
      </c>
      <c r="E392" s="1" t="s">
        <v>43</v>
      </c>
      <c r="F392" s="1" t="s">
        <v>441</v>
      </c>
      <c r="G392" s="1">
        <v>6</v>
      </c>
      <c r="H392" s="1">
        <v>205.99</v>
      </c>
      <c r="I392" s="1">
        <f t="shared" si="18"/>
        <v>1235.94</v>
      </c>
      <c r="J392" t="str">
        <f t="shared" si="19"/>
        <v>High</v>
      </c>
      <c r="K392" s="1"/>
      <c r="L392" s="1">
        <v>0.1</v>
      </c>
      <c r="M392" s="1">
        <v>8.99</v>
      </c>
      <c r="N392" s="1" t="s">
        <v>33</v>
      </c>
      <c r="O392" s="1" t="s">
        <v>34</v>
      </c>
      <c r="P392" s="2">
        <v>41706</v>
      </c>
      <c r="Q392" s="2" t="b">
        <f t="shared" si="20"/>
        <v>0</v>
      </c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</row>
    <row r="393" spans="1:35" ht="14.25" customHeight="1" x14ac:dyDescent="0.2">
      <c r="A393" s="1">
        <v>28291</v>
      </c>
      <c r="B393" s="1" t="s">
        <v>571</v>
      </c>
      <c r="C393" s="1" t="s">
        <v>51</v>
      </c>
      <c r="D393" s="2">
        <v>41702</v>
      </c>
      <c r="E393" s="1" t="s">
        <v>38</v>
      </c>
      <c r="F393" s="1" t="s">
        <v>572</v>
      </c>
      <c r="G393" s="1">
        <v>14</v>
      </c>
      <c r="H393" s="1">
        <v>280.98</v>
      </c>
      <c r="I393" s="1">
        <f t="shared" si="18"/>
        <v>3933.7200000000003</v>
      </c>
      <c r="J393" t="str">
        <f t="shared" si="19"/>
        <v>High</v>
      </c>
      <c r="K393" s="1"/>
      <c r="L393" s="1">
        <v>0.02</v>
      </c>
      <c r="M393" s="1">
        <v>57</v>
      </c>
      <c r="N393" s="1" t="s">
        <v>45</v>
      </c>
      <c r="O393" s="1" t="s">
        <v>46</v>
      </c>
      <c r="P393" s="2">
        <v>41703</v>
      </c>
      <c r="Q393" s="2" t="b">
        <f t="shared" si="20"/>
        <v>0</v>
      </c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</row>
    <row r="394" spans="1:35" ht="14.25" customHeight="1" x14ac:dyDescent="0.2">
      <c r="A394" s="1">
        <v>12934</v>
      </c>
      <c r="B394" s="1" t="s">
        <v>573</v>
      </c>
      <c r="C394" s="1" t="s">
        <v>51</v>
      </c>
      <c r="D394" s="2">
        <v>41703</v>
      </c>
      <c r="E394" s="1" t="s">
        <v>22</v>
      </c>
      <c r="F394" s="1" t="s">
        <v>574</v>
      </c>
      <c r="G394" s="1">
        <v>45</v>
      </c>
      <c r="H394" s="1">
        <v>9.7799999999999994</v>
      </c>
      <c r="I394" s="1">
        <f t="shared" si="18"/>
        <v>440.09999999999997</v>
      </c>
      <c r="J394" t="str">
        <f t="shared" si="19"/>
        <v>Low</v>
      </c>
      <c r="K394" s="1"/>
      <c r="L394" s="1">
        <v>0.05</v>
      </c>
      <c r="M394" s="1">
        <v>1.39</v>
      </c>
      <c r="N394" s="1" t="s">
        <v>33</v>
      </c>
      <c r="O394" s="1" t="s">
        <v>34</v>
      </c>
      <c r="P394" s="2">
        <v>41704</v>
      </c>
      <c r="Q394" s="2" t="b">
        <f t="shared" si="20"/>
        <v>0</v>
      </c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</row>
    <row r="395" spans="1:35" ht="14.25" customHeight="1" x14ac:dyDescent="0.2">
      <c r="A395" s="1">
        <v>12934</v>
      </c>
      <c r="B395" s="1" t="s">
        <v>573</v>
      </c>
      <c r="C395" s="1" t="s">
        <v>21</v>
      </c>
      <c r="D395" s="2">
        <v>41703</v>
      </c>
      <c r="E395" s="1" t="s">
        <v>22</v>
      </c>
      <c r="F395" s="1" t="s">
        <v>158</v>
      </c>
      <c r="G395" s="1">
        <v>27</v>
      </c>
      <c r="H395" s="1">
        <v>3.28</v>
      </c>
      <c r="I395" s="1">
        <f t="shared" si="18"/>
        <v>88.559999999999988</v>
      </c>
      <c r="J395" t="str">
        <f t="shared" si="19"/>
        <v>Low</v>
      </c>
      <c r="K395" s="1"/>
      <c r="L395" s="1">
        <v>0.02</v>
      </c>
      <c r="M395" s="1">
        <v>3.97</v>
      </c>
      <c r="N395" s="1" t="s">
        <v>25</v>
      </c>
      <c r="O395" s="1" t="s">
        <v>55</v>
      </c>
      <c r="P395" s="2">
        <v>41704</v>
      </c>
      <c r="Q395" s="2" t="b">
        <f t="shared" si="20"/>
        <v>0</v>
      </c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</row>
    <row r="396" spans="1:35" ht="14.25" customHeight="1" x14ac:dyDescent="0.2">
      <c r="A396" s="1">
        <v>53152</v>
      </c>
      <c r="B396" s="1" t="s">
        <v>473</v>
      </c>
      <c r="C396" s="1" t="s">
        <v>51</v>
      </c>
      <c r="D396" s="2">
        <v>41703</v>
      </c>
      <c r="E396" s="1" t="s">
        <v>101</v>
      </c>
      <c r="F396" s="1" t="s">
        <v>575</v>
      </c>
      <c r="G396" s="1">
        <v>5</v>
      </c>
      <c r="H396" s="1">
        <v>34.979999999999997</v>
      </c>
      <c r="I396" s="1">
        <f t="shared" si="18"/>
        <v>174.89999999999998</v>
      </c>
      <c r="J396" t="str">
        <f t="shared" si="19"/>
        <v>Low</v>
      </c>
      <c r="K396" s="1"/>
      <c r="L396" s="1">
        <v>0.02</v>
      </c>
      <c r="M396" s="1">
        <v>7.53</v>
      </c>
      <c r="N396" s="1" t="s">
        <v>33</v>
      </c>
      <c r="O396" s="1" t="s">
        <v>34</v>
      </c>
      <c r="P396" s="2">
        <v>41705</v>
      </c>
      <c r="Q396" s="2" t="b">
        <f t="shared" si="20"/>
        <v>0</v>
      </c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</row>
    <row r="397" spans="1:35" ht="14.25" customHeight="1" x14ac:dyDescent="0.2">
      <c r="A397" s="1">
        <v>53152</v>
      </c>
      <c r="B397" s="1" t="s">
        <v>473</v>
      </c>
      <c r="C397" s="1" t="s">
        <v>51</v>
      </c>
      <c r="D397" s="2">
        <v>41703</v>
      </c>
      <c r="E397" s="1" t="s">
        <v>101</v>
      </c>
      <c r="F397" s="1" t="s">
        <v>95</v>
      </c>
      <c r="G397" s="1">
        <v>9</v>
      </c>
      <c r="H397" s="1">
        <v>19.989999999999998</v>
      </c>
      <c r="I397" s="1">
        <f t="shared" si="18"/>
        <v>179.91</v>
      </c>
      <c r="J397" t="str">
        <f t="shared" si="19"/>
        <v>Low</v>
      </c>
      <c r="K397" s="1"/>
      <c r="L397" s="1">
        <v>0.01</v>
      </c>
      <c r="M397" s="1">
        <v>11.17</v>
      </c>
      <c r="N397" s="1" t="s">
        <v>33</v>
      </c>
      <c r="O397" s="1" t="s">
        <v>26</v>
      </c>
      <c r="P397" s="2">
        <v>41706</v>
      </c>
      <c r="Q397" s="2" t="b">
        <f t="shared" si="20"/>
        <v>0</v>
      </c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</row>
    <row r="398" spans="1:35" ht="14.25" customHeight="1" x14ac:dyDescent="0.2">
      <c r="A398" s="1">
        <v>53152</v>
      </c>
      <c r="B398" s="1" t="s">
        <v>473</v>
      </c>
      <c r="C398" s="1" t="s">
        <v>30</v>
      </c>
      <c r="D398" s="2">
        <v>41703</v>
      </c>
      <c r="E398" s="1" t="s">
        <v>101</v>
      </c>
      <c r="F398" s="1" t="s">
        <v>291</v>
      </c>
      <c r="G398" s="1">
        <v>9</v>
      </c>
      <c r="H398" s="1">
        <v>19.98</v>
      </c>
      <c r="I398" s="1">
        <f t="shared" si="18"/>
        <v>179.82</v>
      </c>
      <c r="J398" t="str">
        <f t="shared" si="19"/>
        <v>Low</v>
      </c>
      <c r="K398" s="1"/>
      <c r="L398" s="1">
        <v>0.02</v>
      </c>
      <c r="M398" s="1">
        <v>8.68</v>
      </c>
      <c r="N398" s="1" t="s">
        <v>33</v>
      </c>
      <c r="O398" s="1" t="s">
        <v>34</v>
      </c>
      <c r="P398" s="2">
        <v>41705</v>
      </c>
      <c r="Q398" s="2" t="b">
        <f t="shared" si="20"/>
        <v>0</v>
      </c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</row>
    <row r="399" spans="1:35" ht="14.25" customHeight="1" x14ac:dyDescent="0.2">
      <c r="A399" s="1">
        <v>53152</v>
      </c>
      <c r="B399" s="1" t="s">
        <v>473</v>
      </c>
      <c r="C399" s="1" t="s">
        <v>51</v>
      </c>
      <c r="D399" s="2">
        <v>41703</v>
      </c>
      <c r="E399" s="1" t="s">
        <v>101</v>
      </c>
      <c r="F399" s="1" t="s">
        <v>576</v>
      </c>
      <c r="G399" s="1">
        <v>36</v>
      </c>
      <c r="H399" s="1">
        <v>65.989999999999995</v>
      </c>
      <c r="I399" s="1">
        <f t="shared" si="18"/>
        <v>2375.64</v>
      </c>
      <c r="J399" t="str">
        <f t="shared" si="19"/>
        <v>High</v>
      </c>
      <c r="K399" s="1"/>
      <c r="L399" s="1">
        <v>0.01</v>
      </c>
      <c r="M399" s="1">
        <v>8.8000000000000007</v>
      </c>
      <c r="N399" s="1" t="s">
        <v>25</v>
      </c>
      <c r="O399" s="1" t="s">
        <v>34</v>
      </c>
      <c r="P399" s="2">
        <v>41703</v>
      </c>
      <c r="Q399" s="2" t="b">
        <f t="shared" si="20"/>
        <v>0</v>
      </c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</row>
    <row r="400" spans="1:35" ht="14.25" customHeight="1" x14ac:dyDescent="0.2">
      <c r="A400" s="1">
        <v>2466</v>
      </c>
      <c r="B400" s="1" t="s">
        <v>577</v>
      </c>
      <c r="C400" s="1" t="s">
        <v>30</v>
      </c>
      <c r="D400" s="2">
        <v>41703</v>
      </c>
      <c r="E400" s="1" t="s">
        <v>38</v>
      </c>
      <c r="F400" s="1" t="s">
        <v>578</v>
      </c>
      <c r="G400" s="1">
        <v>25</v>
      </c>
      <c r="H400" s="1">
        <v>107.53</v>
      </c>
      <c r="I400" s="1">
        <f t="shared" si="18"/>
        <v>2688.25</v>
      </c>
      <c r="J400" t="str">
        <f t="shared" si="19"/>
        <v>High</v>
      </c>
      <c r="K400" s="1"/>
      <c r="L400" s="1">
        <v>0.05</v>
      </c>
      <c r="M400" s="1">
        <v>5.81</v>
      </c>
      <c r="N400" s="1" t="s">
        <v>33</v>
      </c>
      <c r="O400" s="1" t="s">
        <v>72</v>
      </c>
      <c r="P400" s="2">
        <v>41704</v>
      </c>
      <c r="Q400" s="2" t="b">
        <f t="shared" si="20"/>
        <v>0</v>
      </c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</row>
    <row r="401" spans="1:35" ht="14.25" customHeight="1" x14ac:dyDescent="0.2">
      <c r="A401" s="1">
        <v>20773</v>
      </c>
      <c r="B401" s="1" t="s">
        <v>560</v>
      </c>
      <c r="C401" s="1" t="s">
        <v>51</v>
      </c>
      <c r="D401" s="2">
        <v>41703</v>
      </c>
      <c r="E401" s="1" t="s">
        <v>22</v>
      </c>
      <c r="F401" s="1" t="s">
        <v>579</v>
      </c>
      <c r="G401" s="1">
        <v>44</v>
      </c>
      <c r="H401" s="1">
        <v>10.91</v>
      </c>
      <c r="I401" s="1">
        <f t="shared" si="18"/>
        <v>480.04</v>
      </c>
      <c r="J401" t="str">
        <f t="shared" si="19"/>
        <v>Low</v>
      </c>
      <c r="K401" s="1"/>
      <c r="L401" s="1">
        <v>0.08</v>
      </c>
      <c r="M401" s="1">
        <v>2.99</v>
      </c>
      <c r="N401" s="1" t="s">
        <v>33</v>
      </c>
      <c r="O401" s="1" t="s">
        <v>34</v>
      </c>
      <c r="P401" s="2">
        <v>41704</v>
      </c>
      <c r="Q401" s="2" t="b">
        <f t="shared" si="20"/>
        <v>0</v>
      </c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</row>
    <row r="402" spans="1:35" ht="14.25" customHeight="1" x14ac:dyDescent="0.2">
      <c r="A402" s="1">
        <v>5828</v>
      </c>
      <c r="B402" s="1" t="s">
        <v>580</v>
      </c>
      <c r="C402" s="1" t="s">
        <v>51</v>
      </c>
      <c r="D402" s="2">
        <v>41703</v>
      </c>
      <c r="E402" s="1" t="s">
        <v>43</v>
      </c>
      <c r="F402" s="1" t="s">
        <v>581</v>
      </c>
      <c r="G402" s="1">
        <v>21</v>
      </c>
      <c r="H402" s="1">
        <v>296.18</v>
      </c>
      <c r="I402" s="1">
        <f t="shared" si="18"/>
        <v>6219.78</v>
      </c>
      <c r="J402" t="str">
        <f t="shared" si="19"/>
        <v>High</v>
      </c>
      <c r="K402" s="1"/>
      <c r="L402" s="1">
        <v>0.08</v>
      </c>
      <c r="M402" s="1">
        <v>54.12</v>
      </c>
      <c r="N402" s="1" t="s">
        <v>45</v>
      </c>
      <c r="O402" s="1" t="s">
        <v>63</v>
      </c>
      <c r="P402" s="2">
        <v>41710</v>
      </c>
      <c r="Q402" s="2" t="b">
        <f t="shared" si="20"/>
        <v>0</v>
      </c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</row>
    <row r="403" spans="1:35" ht="14.25" customHeight="1" x14ac:dyDescent="0.2">
      <c r="A403" s="1">
        <v>49154</v>
      </c>
      <c r="B403" s="1" t="s">
        <v>582</v>
      </c>
      <c r="C403" s="1" t="s">
        <v>21</v>
      </c>
      <c r="D403" s="2">
        <v>41704</v>
      </c>
      <c r="E403" s="1" t="s">
        <v>101</v>
      </c>
      <c r="F403" s="1" t="s">
        <v>436</v>
      </c>
      <c r="G403" s="1">
        <v>26</v>
      </c>
      <c r="H403" s="1">
        <v>60.98</v>
      </c>
      <c r="I403" s="1">
        <f t="shared" si="18"/>
        <v>1585.48</v>
      </c>
      <c r="J403" t="str">
        <f t="shared" si="19"/>
        <v>High</v>
      </c>
      <c r="K403" s="1"/>
      <c r="L403" s="1">
        <v>7.0000000000000007E-2</v>
      </c>
      <c r="M403" s="1">
        <v>49</v>
      </c>
      <c r="N403" s="1" t="s">
        <v>33</v>
      </c>
      <c r="O403" s="1" t="s">
        <v>26</v>
      </c>
      <c r="P403" s="2">
        <v>41705</v>
      </c>
      <c r="Q403" s="2" t="b">
        <f t="shared" si="20"/>
        <v>0</v>
      </c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</row>
    <row r="404" spans="1:35" ht="14.25" customHeight="1" x14ac:dyDescent="0.2">
      <c r="A404" s="1">
        <v>1799</v>
      </c>
      <c r="B404" s="1" t="s">
        <v>583</v>
      </c>
      <c r="C404" s="1" t="s">
        <v>30</v>
      </c>
      <c r="D404" s="2">
        <v>41704</v>
      </c>
      <c r="E404" s="1" t="s">
        <v>22</v>
      </c>
      <c r="F404" s="1" t="s">
        <v>584</v>
      </c>
      <c r="G404" s="1">
        <v>10</v>
      </c>
      <c r="H404" s="1">
        <v>113.98</v>
      </c>
      <c r="I404" s="1">
        <f t="shared" si="18"/>
        <v>1139.8</v>
      </c>
      <c r="J404" t="str">
        <f t="shared" si="19"/>
        <v>High</v>
      </c>
      <c r="K404" s="1"/>
      <c r="L404" s="1">
        <v>0.06</v>
      </c>
      <c r="M404" s="1">
        <v>30</v>
      </c>
      <c r="N404" s="1" t="s">
        <v>45</v>
      </c>
      <c r="O404" s="1" t="s">
        <v>46</v>
      </c>
      <c r="P404" s="2">
        <v>41706</v>
      </c>
      <c r="Q404" s="2" t="b">
        <f t="shared" si="20"/>
        <v>0</v>
      </c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</row>
    <row r="405" spans="1:35" ht="14.25" customHeight="1" x14ac:dyDescent="0.2">
      <c r="A405" s="1">
        <v>1799</v>
      </c>
      <c r="B405" s="1" t="s">
        <v>583</v>
      </c>
      <c r="C405" s="1" t="s">
        <v>21</v>
      </c>
      <c r="D405" s="2">
        <v>41704</v>
      </c>
      <c r="E405" s="1" t="s">
        <v>22</v>
      </c>
      <c r="F405" s="1" t="s">
        <v>585</v>
      </c>
      <c r="G405" s="1">
        <v>16</v>
      </c>
      <c r="H405" s="1">
        <v>6.48</v>
      </c>
      <c r="I405" s="1">
        <f t="shared" si="18"/>
        <v>103.68</v>
      </c>
      <c r="J405" t="str">
        <f t="shared" si="19"/>
        <v>Low</v>
      </c>
      <c r="K405" s="1"/>
      <c r="L405" s="1">
        <v>0.05</v>
      </c>
      <c r="M405" s="1">
        <v>6.86</v>
      </c>
      <c r="N405" s="1" t="s">
        <v>33</v>
      </c>
      <c r="O405" s="1" t="s">
        <v>34</v>
      </c>
      <c r="P405" s="2">
        <v>41706</v>
      </c>
      <c r="Q405" s="2" t="b">
        <f t="shared" si="20"/>
        <v>0</v>
      </c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</row>
    <row r="406" spans="1:35" ht="14.25" customHeight="1" x14ac:dyDescent="0.2">
      <c r="A406" s="1">
        <v>24391</v>
      </c>
      <c r="B406" s="1" t="s">
        <v>586</v>
      </c>
      <c r="C406" s="1" t="s">
        <v>21</v>
      </c>
      <c r="D406" s="2">
        <v>41704</v>
      </c>
      <c r="E406" s="1" t="s">
        <v>43</v>
      </c>
      <c r="F406" s="1" t="s">
        <v>587</v>
      </c>
      <c r="G406" s="1">
        <v>14</v>
      </c>
      <c r="H406" s="1">
        <v>230.98</v>
      </c>
      <c r="I406" s="1">
        <f t="shared" si="18"/>
        <v>3233.72</v>
      </c>
      <c r="J406" t="str">
        <f t="shared" si="19"/>
        <v>High</v>
      </c>
      <c r="K406" s="1"/>
      <c r="L406" s="1">
        <v>0.08</v>
      </c>
      <c r="M406" s="1">
        <v>23.78</v>
      </c>
      <c r="N406" s="1" t="s">
        <v>45</v>
      </c>
      <c r="O406" s="1" t="s">
        <v>63</v>
      </c>
      <c r="P406" s="2">
        <v>41708</v>
      </c>
      <c r="Q406" s="2" t="b">
        <f t="shared" si="20"/>
        <v>0</v>
      </c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</row>
    <row r="407" spans="1:35" ht="14.25" customHeight="1" x14ac:dyDescent="0.2">
      <c r="A407" s="1">
        <v>49412</v>
      </c>
      <c r="B407" s="1" t="s">
        <v>588</v>
      </c>
      <c r="C407" s="1" t="s">
        <v>21</v>
      </c>
      <c r="D407" s="2">
        <v>41705</v>
      </c>
      <c r="E407" s="1" t="s">
        <v>38</v>
      </c>
      <c r="F407" s="1" t="s">
        <v>589</v>
      </c>
      <c r="G407" s="1">
        <v>20</v>
      </c>
      <c r="H407" s="1">
        <v>517.48</v>
      </c>
      <c r="I407" s="1">
        <f t="shared" si="18"/>
        <v>10349.6</v>
      </c>
      <c r="J407" t="str">
        <f t="shared" si="19"/>
        <v>High</v>
      </c>
      <c r="K407" s="1"/>
      <c r="L407" s="1">
        <v>0.09</v>
      </c>
      <c r="M407" s="1">
        <v>16.63</v>
      </c>
      <c r="N407" s="1" t="s">
        <v>45</v>
      </c>
      <c r="O407" s="1" t="s">
        <v>63</v>
      </c>
      <c r="P407" s="2">
        <v>41705</v>
      </c>
      <c r="Q407" s="2" t="b">
        <f t="shared" si="20"/>
        <v>0</v>
      </c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</row>
    <row r="408" spans="1:35" ht="14.25" customHeight="1" x14ac:dyDescent="0.2">
      <c r="A408" s="1">
        <v>8709</v>
      </c>
      <c r="B408" s="1" t="s">
        <v>590</v>
      </c>
      <c r="C408" s="1" t="s">
        <v>30</v>
      </c>
      <c r="D408" s="2">
        <v>41706</v>
      </c>
      <c r="E408" s="1" t="s">
        <v>31</v>
      </c>
      <c r="F408" s="1" t="s">
        <v>591</v>
      </c>
      <c r="G408" s="1">
        <v>50</v>
      </c>
      <c r="H408" s="1">
        <v>51.98</v>
      </c>
      <c r="I408" s="1">
        <f t="shared" si="18"/>
        <v>2599</v>
      </c>
      <c r="J408" t="str">
        <f t="shared" si="19"/>
        <v>High</v>
      </c>
      <c r="K408" s="1"/>
      <c r="L408" s="1">
        <v>7.0000000000000007E-2</v>
      </c>
      <c r="M408" s="1">
        <v>10.17</v>
      </c>
      <c r="N408" s="1" t="s">
        <v>33</v>
      </c>
      <c r="O408" s="1" t="s">
        <v>72</v>
      </c>
      <c r="P408" s="2">
        <v>41708</v>
      </c>
      <c r="Q408" s="2" t="b">
        <f t="shared" si="20"/>
        <v>0</v>
      </c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</row>
    <row r="409" spans="1:35" ht="14.25" customHeight="1" x14ac:dyDescent="0.2">
      <c r="A409" s="1">
        <v>8709</v>
      </c>
      <c r="B409" s="1" t="s">
        <v>590</v>
      </c>
      <c r="C409" s="1" t="s">
        <v>51</v>
      </c>
      <c r="D409" s="2">
        <v>41706</v>
      </c>
      <c r="E409" s="1" t="s">
        <v>31</v>
      </c>
      <c r="F409" s="1" t="s">
        <v>370</v>
      </c>
      <c r="G409" s="1">
        <v>11</v>
      </c>
      <c r="H409" s="1">
        <v>80.97</v>
      </c>
      <c r="I409" s="1">
        <f t="shared" si="18"/>
        <v>890.67</v>
      </c>
      <c r="J409" t="str">
        <f t="shared" si="19"/>
        <v>Low</v>
      </c>
      <c r="K409" s="1"/>
      <c r="L409" s="1">
        <v>0.1</v>
      </c>
      <c r="M409" s="1">
        <v>33.6</v>
      </c>
      <c r="N409" s="1" t="s">
        <v>45</v>
      </c>
      <c r="O409" s="1" t="s">
        <v>46</v>
      </c>
      <c r="P409" s="2">
        <v>41709</v>
      </c>
      <c r="Q409" s="2" t="b">
        <f t="shared" si="20"/>
        <v>0</v>
      </c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</row>
    <row r="410" spans="1:35" ht="14.25" customHeight="1" x14ac:dyDescent="0.2">
      <c r="A410" s="1">
        <v>13542</v>
      </c>
      <c r="B410" s="1" t="s">
        <v>592</v>
      </c>
      <c r="C410" s="1" t="s">
        <v>21</v>
      </c>
      <c r="D410" s="2">
        <v>41706</v>
      </c>
      <c r="E410" s="1" t="s">
        <v>43</v>
      </c>
      <c r="F410" s="1" t="s">
        <v>523</v>
      </c>
      <c r="G410" s="1">
        <v>11</v>
      </c>
      <c r="H410" s="1">
        <v>300.98</v>
      </c>
      <c r="I410" s="1">
        <f t="shared" si="18"/>
        <v>3310.78</v>
      </c>
      <c r="J410" t="str">
        <f t="shared" si="19"/>
        <v>High</v>
      </c>
      <c r="K410" s="1"/>
      <c r="L410" s="1">
        <v>0.01</v>
      </c>
      <c r="M410" s="1">
        <v>64.73</v>
      </c>
      <c r="N410" s="1" t="s">
        <v>45</v>
      </c>
      <c r="O410" s="1" t="s">
        <v>46</v>
      </c>
      <c r="P410" s="2">
        <v>41713</v>
      </c>
      <c r="Q410" s="2" t="b">
        <f t="shared" si="20"/>
        <v>0</v>
      </c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</row>
    <row r="411" spans="1:35" ht="14.25" customHeight="1" x14ac:dyDescent="0.2">
      <c r="A411" s="1">
        <v>13542</v>
      </c>
      <c r="B411" s="1" t="s">
        <v>592</v>
      </c>
      <c r="C411" s="1" t="s">
        <v>21</v>
      </c>
      <c r="D411" s="2">
        <v>41706</v>
      </c>
      <c r="E411" s="1" t="s">
        <v>43</v>
      </c>
      <c r="F411" s="1" t="s">
        <v>196</v>
      </c>
      <c r="G411" s="1">
        <v>33</v>
      </c>
      <c r="H411" s="1">
        <v>8.74</v>
      </c>
      <c r="I411" s="1">
        <f t="shared" si="18"/>
        <v>288.42</v>
      </c>
      <c r="J411" t="str">
        <f t="shared" si="19"/>
        <v>Low</v>
      </c>
      <c r="K411" s="1"/>
      <c r="L411" s="1">
        <v>0.03</v>
      </c>
      <c r="M411" s="1">
        <v>8.2899999999999991</v>
      </c>
      <c r="N411" s="1" t="s">
        <v>33</v>
      </c>
      <c r="O411" s="1" t="s">
        <v>34</v>
      </c>
      <c r="P411" s="2">
        <v>41706</v>
      </c>
      <c r="Q411" s="2" t="b">
        <f t="shared" si="20"/>
        <v>0</v>
      </c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</row>
    <row r="412" spans="1:35" ht="14.25" customHeight="1" x14ac:dyDescent="0.2">
      <c r="A412" s="1">
        <v>37510</v>
      </c>
      <c r="B412" s="1" t="s">
        <v>593</v>
      </c>
      <c r="C412" s="1" t="s">
        <v>51</v>
      </c>
      <c r="D412" s="2">
        <v>41706</v>
      </c>
      <c r="E412" s="1" t="s">
        <v>38</v>
      </c>
      <c r="F412" s="1" t="s">
        <v>166</v>
      </c>
      <c r="G412" s="1">
        <v>15</v>
      </c>
      <c r="H412" s="1">
        <v>161.55000000000001</v>
      </c>
      <c r="I412" s="1">
        <f t="shared" si="18"/>
        <v>2423.25</v>
      </c>
      <c r="J412" t="str">
        <f t="shared" si="19"/>
        <v>High</v>
      </c>
      <c r="K412" s="1"/>
      <c r="L412" s="1">
        <v>0.02</v>
      </c>
      <c r="M412" s="1">
        <v>19.989999999999998</v>
      </c>
      <c r="N412" s="1" t="s">
        <v>33</v>
      </c>
      <c r="O412" s="1" t="s">
        <v>34</v>
      </c>
      <c r="P412" s="2">
        <v>41706</v>
      </c>
      <c r="Q412" s="2" t="b">
        <f t="shared" si="20"/>
        <v>0</v>
      </c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</row>
    <row r="413" spans="1:35" ht="14.25" customHeight="1" x14ac:dyDescent="0.2">
      <c r="A413" s="1">
        <v>58434</v>
      </c>
      <c r="B413" s="1" t="s">
        <v>594</v>
      </c>
      <c r="C413" s="1" t="s">
        <v>30</v>
      </c>
      <c r="D413" s="2">
        <v>41707</v>
      </c>
      <c r="E413" s="1" t="s">
        <v>31</v>
      </c>
      <c r="F413" s="1" t="s">
        <v>505</v>
      </c>
      <c r="G413" s="1">
        <v>42</v>
      </c>
      <c r="H413" s="1">
        <v>19.23</v>
      </c>
      <c r="I413" s="1">
        <f t="shared" si="18"/>
        <v>807.66</v>
      </c>
      <c r="J413" t="str">
        <f t="shared" si="19"/>
        <v>Low</v>
      </c>
      <c r="K413" s="1"/>
      <c r="L413" s="1">
        <v>0.04</v>
      </c>
      <c r="M413" s="1">
        <v>6.15</v>
      </c>
      <c r="N413" s="1" t="s">
        <v>33</v>
      </c>
      <c r="O413" s="1" t="s">
        <v>84</v>
      </c>
      <c r="P413" s="2">
        <v>41708</v>
      </c>
      <c r="Q413" s="2" t="b">
        <f t="shared" si="20"/>
        <v>0</v>
      </c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</row>
    <row r="414" spans="1:35" ht="14.25" customHeight="1" x14ac:dyDescent="0.2">
      <c r="A414" s="1">
        <v>59879</v>
      </c>
      <c r="B414" s="1" t="s">
        <v>595</v>
      </c>
      <c r="C414" s="1" t="s">
        <v>51</v>
      </c>
      <c r="D414" s="2">
        <v>41707</v>
      </c>
      <c r="E414" s="1" t="s">
        <v>22</v>
      </c>
      <c r="F414" s="1" t="s">
        <v>596</v>
      </c>
      <c r="G414" s="1">
        <v>33</v>
      </c>
      <c r="H414" s="1">
        <v>35.99</v>
      </c>
      <c r="I414" s="1">
        <f t="shared" si="18"/>
        <v>1187.67</v>
      </c>
      <c r="J414" t="str">
        <f t="shared" si="19"/>
        <v>High</v>
      </c>
      <c r="K414" s="1"/>
      <c r="L414" s="1">
        <v>0.04</v>
      </c>
      <c r="M414" s="1">
        <v>3.3</v>
      </c>
      <c r="N414" s="1" t="s">
        <v>25</v>
      </c>
      <c r="O414" s="1" t="s">
        <v>84</v>
      </c>
      <c r="P414" s="2">
        <v>41709</v>
      </c>
      <c r="Q414" s="2" t="b">
        <f t="shared" si="20"/>
        <v>0</v>
      </c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</row>
    <row r="415" spans="1:35" ht="14.25" customHeight="1" x14ac:dyDescent="0.2">
      <c r="A415" s="1">
        <v>59776</v>
      </c>
      <c r="B415" s="1" t="s">
        <v>597</v>
      </c>
      <c r="C415" s="1" t="s">
        <v>21</v>
      </c>
      <c r="D415" s="2">
        <v>41707</v>
      </c>
      <c r="E415" s="1" t="s">
        <v>43</v>
      </c>
      <c r="F415" s="1" t="s">
        <v>598</v>
      </c>
      <c r="G415" s="1">
        <v>35</v>
      </c>
      <c r="H415" s="1">
        <v>7.64</v>
      </c>
      <c r="I415" s="1">
        <f t="shared" si="18"/>
        <v>267.39999999999998</v>
      </c>
      <c r="J415" t="str">
        <f t="shared" si="19"/>
        <v>Low</v>
      </c>
      <c r="K415" s="1"/>
      <c r="L415" s="1">
        <v>0.01</v>
      </c>
      <c r="M415" s="1">
        <v>1.39</v>
      </c>
      <c r="N415" s="1" t="s">
        <v>25</v>
      </c>
      <c r="O415" s="1" t="s">
        <v>34</v>
      </c>
      <c r="P415" s="2">
        <v>41711</v>
      </c>
      <c r="Q415" s="2" t="b">
        <f t="shared" si="20"/>
        <v>0</v>
      </c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</row>
    <row r="416" spans="1:35" ht="14.25" customHeight="1" x14ac:dyDescent="0.2">
      <c r="A416" s="1">
        <v>59776</v>
      </c>
      <c r="B416" s="1" t="s">
        <v>597</v>
      </c>
      <c r="C416" s="1" t="s">
        <v>21</v>
      </c>
      <c r="D416" s="2">
        <v>41707</v>
      </c>
      <c r="E416" s="1" t="s">
        <v>43</v>
      </c>
      <c r="F416" s="1" t="s">
        <v>599</v>
      </c>
      <c r="G416" s="1">
        <v>33</v>
      </c>
      <c r="H416" s="1">
        <v>400.97</v>
      </c>
      <c r="I416" s="1">
        <f t="shared" si="18"/>
        <v>13232.01</v>
      </c>
      <c r="J416" t="str">
        <f t="shared" si="19"/>
        <v>High</v>
      </c>
      <c r="K416" s="1"/>
      <c r="L416" s="1">
        <v>7.0000000000000007E-2</v>
      </c>
      <c r="M416" s="1">
        <v>48.26</v>
      </c>
      <c r="N416" s="1" t="s">
        <v>45</v>
      </c>
      <c r="O416" s="1" t="s">
        <v>63</v>
      </c>
      <c r="P416" s="2">
        <v>41711</v>
      </c>
      <c r="Q416" s="2" t="b">
        <f t="shared" si="20"/>
        <v>0</v>
      </c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</row>
    <row r="417" spans="1:35" ht="14.25" customHeight="1" x14ac:dyDescent="0.2">
      <c r="A417" s="1">
        <v>52870</v>
      </c>
      <c r="B417" s="1" t="s">
        <v>73</v>
      </c>
      <c r="C417" s="1" t="s">
        <v>30</v>
      </c>
      <c r="D417" s="2">
        <v>41707</v>
      </c>
      <c r="E417" s="1" t="s">
        <v>22</v>
      </c>
      <c r="F417" s="1" t="s">
        <v>600</v>
      </c>
      <c r="G417" s="1">
        <v>21</v>
      </c>
      <c r="H417" s="1">
        <v>3.25</v>
      </c>
      <c r="I417" s="1">
        <f t="shared" si="18"/>
        <v>68.25</v>
      </c>
      <c r="J417" t="str">
        <f t="shared" si="19"/>
        <v>Low</v>
      </c>
      <c r="K417" s="1"/>
      <c r="L417" s="1">
        <v>0.03</v>
      </c>
      <c r="M417" s="1">
        <v>49</v>
      </c>
      <c r="N417" s="1" t="s">
        <v>33</v>
      </c>
      <c r="O417" s="1" t="s">
        <v>26</v>
      </c>
      <c r="P417" s="2">
        <v>41709</v>
      </c>
      <c r="Q417" s="2" t="b">
        <f t="shared" si="20"/>
        <v>0</v>
      </c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</row>
    <row r="418" spans="1:35" ht="14.25" customHeight="1" x14ac:dyDescent="0.2">
      <c r="A418" s="1">
        <v>34497</v>
      </c>
      <c r="B418" s="1" t="s">
        <v>601</v>
      </c>
      <c r="C418" s="1" t="s">
        <v>21</v>
      </c>
      <c r="D418" s="2">
        <v>41708</v>
      </c>
      <c r="E418" s="1" t="s">
        <v>101</v>
      </c>
      <c r="F418" s="1" t="s">
        <v>602</v>
      </c>
      <c r="G418" s="1">
        <v>36</v>
      </c>
      <c r="H418" s="1">
        <v>4.9800000000000004</v>
      </c>
      <c r="I418" s="1">
        <f t="shared" si="18"/>
        <v>179.28000000000003</v>
      </c>
      <c r="J418" t="str">
        <f t="shared" si="19"/>
        <v>Low</v>
      </c>
      <c r="K418" s="1"/>
      <c r="L418" s="1">
        <v>0.1</v>
      </c>
      <c r="M418" s="1">
        <v>7.54</v>
      </c>
      <c r="N418" s="1" t="s">
        <v>33</v>
      </c>
      <c r="O418" s="1" t="s">
        <v>34</v>
      </c>
      <c r="P418" s="2">
        <v>41709</v>
      </c>
      <c r="Q418" s="2" t="b">
        <f t="shared" si="20"/>
        <v>0</v>
      </c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</row>
    <row r="419" spans="1:35" ht="14.25" customHeight="1" x14ac:dyDescent="0.2">
      <c r="A419" s="1">
        <v>34497</v>
      </c>
      <c r="B419" s="1" t="s">
        <v>601</v>
      </c>
      <c r="C419" s="1" t="s">
        <v>21</v>
      </c>
      <c r="D419" s="2">
        <v>41708</v>
      </c>
      <c r="E419" s="1" t="s">
        <v>101</v>
      </c>
      <c r="F419" s="1" t="s">
        <v>251</v>
      </c>
      <c r="G419" s="1">
        <v>25</v>
      </c>
      <c r="H419" s="1">
        <v>22.84</v>
      </c>
      <c r="I419" s="1">
        <f t="shared" si="18"/>
        <v>571</v>
      </c>
      <c r="J419" t="str">
        <f t="shared" si="19"/>
        <v>Low</v>
      </c>
      <c r="K419" s="1"/>
      <c r="L419" s="1">
        <v>0</v>
      </c>
      <c r="M419" s="1">
        <v>8.18</v>
      </c>
      <c r="N419" s="1" t="s">
        <v>33</v>
      </c>
      <c r="O419" s="1" t="s">
        <v>34</v>
      </c>
      <c r="P419" s="2">
        <v>41710</v>
      </c>
      <c r="Q419" s="2" t="b">
        <f t="shared" si="20"/>
        <v>0</v>
      </c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</row>
    <row r="420" spans="1:35" ht="14.25" customHeight="1" x14ac:dyDescent="0.2">
      <c r="A420" s="1">
        <v>13632</v>
      </c>
      <c r="B420" s="1" t="s">
        <v>603</v>
      </c>
      <c r="C420" s="1" t="s">
        <v>30</v>
      </c>
      <c r="D420" s="2">
        <v>41708</v>
      </c>
      <c r="E420" s="1" t="s">
        <v>101</v>
      </c>
      <c r="F420" s="1" t="s">
        <v>604</v>
      </c>
      <c r="G420" s="1">
        <v>6</v>
      </c>
      <c r="H420" s="1">
        <v>99.99</v>
      </c>
      <c r="I420" s="1">
        <f t="shared" si="18"/>
        <v>599.93999999999994</v>
      </c>
      <c r="J420" t="str">
        <f t="shared" si="19"/>
        <v>Low</v>
      </c>
      <c r="K420" s="1"/>
      <c r="L420" s="1">
        <v>0.01</v>
      </c>
      <c r="M420" s="1">
        <v>19.989999999999998</v>
      </c>
      <c r="N420" s="1" t="s">
        <v>25</v>
      </c>
      <c r="O420" s="1" t="s">
        <v>34</v>
      </c>
      <c r="P420" s="2">
        <v>41710</v>
      </c>
      <c r="Q420" s="2" t="b">
        <f t="shared" si="20"/>
        <v>0</v>
      </c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</row>
    <row r="421" spans="1:35" ht="14.25" customHeight="1" x14ac:dyDescent="0.2">
      <c r="A421" s="1">
        <v>37095</v>
      </c>
      <c r="B421" s="1" t="s">
        <v>292</v>
      </c>
      <c r="C421" s="1" t="s">
        <v>21</v>
      </c>
      <c r="D421" s="2">
        <v>41708</v>
      </c>
      <c r="E421" s="1" t="s">
        <v>43</v>
      </c>
      <c r="F421" s="1" t="s">
        <v>134</v>
      </c>
      <c r="G421" s="1">
        <v>3</v>
      </c>
      <c r="H421" s="1">
        <v>6783.02</v>
      </c>
      <c r="I421" s="1">
        <f t="shared" si="18"/>
        <v>20349.060000000001</v>
      </c>
      <c r="J421" t="str">
        <f t="shared" si="19"/>
        <v>High</v>
      </c>
      <c r="K421" s="1"/>
      <c r="L421" s="1">
        <v>0.09</v>
      </c>
      <c r="M421" s="1">
        <v>24.49</v>
      </c>
      <c r="N421" s="1" t="s">
        <v>33</v>
      </c>
      <c r="O421" s="1" t="s">
        <v>26</v>
      </c>
      <c r="P421" s="2">
        <v>41712</v>
      </c>
      <c r="Q421" s="2" t="b">
        <f t="shared" si="20"/>
        <v>0</v>
      </c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</row>
    <row r="422" spans="1:35" ht="14.25" customHeight="1" x14ac:dyDescent="0.2">
      <c r="A422" s="1">
        <v>27111</v>
      </c>
      <c r="B422" s="1" t="s">
        <v>605</v>
      </c>
      <c r="C422" s="1" t="s">
        <v>51</v>
      </c>
      <c r="D422" s="2">
        <v>41709</v>
      </c>
      <c r="E422" s="1" t="s">
        <v>31</v>
      </c>
      <c r="F422" s="1" t="s">
        <v>606</v>
      </c>
      <c r="G422" s="1">
        <v>11</v>
      </c>
      <c r="H422" s="1">
        <v>99.99</v>
      </c>
      <c r="I422" s="1">
        <f t="shared" si="18"/>
        <v>1099.8899999999999</v>
      </c>
      <c r="J422" t="str">
        <f t="shared" si="19"/>
        <v>High</v>
      </c>
      <c r="K422" s="1"/>
      <c r="L422" s="1">
        <v>0.06</v>
      </c>
      <c r="M422" s="1">
        <v>19.989999999999998</v>
      </c>
      <c r="N422" s="1" t="s">
        <v>33</v>
      </c>
      <c r="O422" s="1" t="s">
        <v>34</v>
      </c>
      <c r="P422" s="2">
        <v>41712</v>
      </c>
      <c r="Q422" s="2" t="b">
        <f t="shared" si="20"/>
        <v>0</v>
      </c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</row>
    <row r="423" spans="1:35" ht="14.25" customHeight="1" x14ac:dyDescent="0.2">
      <c r="A423" s="1">
        <v>27111</v>
      </c>
      <c r="B423" s="1" t="s">
        <v>605</v>
      </c>
      <c r="C423" s="1" t="s">
        <v>21</v>
      </c>
      <c r="D423" s="2">
        <v>41709</v>
      </c>
      <c r="E423" s="1" t="s">
        <v>31</v>
      </c>
      <c r="F423" s="1" t="s">
        <v>607</v>
      </c>
      <c r="G423" s="1">
        <v>18</v>
      </c>
      <c r="H423" s="1">
        <v>193.17</v>
      </c>
      <c r="I423" s="1">
        <f t="shared" si="18"/>
        <v>3477.06</v>
      </c>
      <c r="J423" t="str">
        <f t="shared" si="19"/>
        <v>High</v>
      </c>
      <c r="K423" s="1"/>
      <c r="L423" s="1">
        <v>0</v>
      </c>
      <c r="M423" s="1">
        <v>19.989999999999998</v>
      </c>
      <c r="N423" s="1" t="s">
        <v>33</v>
      </c>
      <c r="O423" s="1" t="s">
        <v>34</v>
      </c>
      <c r="P423" s="2">
        <v>41710</v>
      </c>
      <c r="Q423" s="2" t="b">
        <f t="shared" si="20"/>
        <v>0</v>
      </c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</row>
    <row r="424" spans="1:35" ht="14.25" customHeight="1" x14ac:dyDescent="0.2">
      <c r="A424" s="1">
        <v>27111</v>
      </c>
      <c r="B424" s="1" t="s">
        <v>605</v>
      </c>
      <c r="C424" s="1" t="s">
        <v>51</v>
      </c>
      <c r="D424" s="2">
        <v>41709</v>
      </c>
      <c r="E424" s="1" t="s">
        <v>31</v>
      </c>
      <c r="F424" s="1" t="s">
        <v>608</v>
      </c>
      <c r="G424" s="1">
        <v>44</v>
      </c>
      <c r="H424" s="1">
        <v>20.99</v>
      </c>
      <c r="I424" s="1">
        <f t="shared" si="18"/>
        <v>923.56</v>
      </c>
      <c r="J424" t="str">
        <f t="shared" si="19"/>
        <v>Low</v>
      </c>
      <c r="K424" s="1"/>
      <c r="L424" s="1">
        <v>0.08</v>
      </c>
      <c r="M424" s="1">
        <v>3.3</v>
      </c>
      <c r="N424" s="1" t="s">
        <v>25</v>
      </c>
      <c r="O424" s="1" t="s">
        <v>84</v>
      </c>
      <c r="P424" s="2">
        <v>41709</v>
      </c>
      <c r="Q424" s="2" t="b">
        <f t="shared" si="20"/>
        <v>0</v>
      </c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</row>
    <row r="425" spans="1:35" ht="14.25" customHeight="1" x14ac:dyDescent="0.2">
      <c r="A425" s="1">
        <v>2373</v>
      </c>
      <c r="B425" s="1" t="s">
        <v>609</v>
      </c>
      <c r="C425" s="1" t="s">
        <v>51</v>
      </c>
      <c r="D425" s="2">
        <v>41709</v>
      </c>
      <c r="E425" s="1" t="s">
        <v>22</v>
      </c>
      <c r="F425" s="1" t="s">
        <v>222</v>
      </c>
      <c r="G425" s="1">
        <v>36</v>
      </c>
      <c r="H425" s="1">
        <v>8.6</v>
      </c>
      <c r="I425" s="1">
        <f t="shared" si="18"/>
        <v>309.59999999999997</v>
      </c>
      <c r="J425" t="str">
        <f t="shared" si="19"/>
        <v>Low</v>
      </c>
      <c r="K425" s="1"/>
      <c r="L425" s="1">
        <v>0.06</v>
      </c>
      <c r="M425" s="1">
        <v>6.19</v>
      </c>
      <c r="N425" s="1" t="s">
        <v>33</v>
      </c>
      <c r="O425" s="1" t="s">
        <v>34</v>
      </c>
      <c r="P425" s="2">
        <v>41710</v>
      </c>
      <c r="Q425" s="2" t="b">
        <f t="shared" si="20"/>
        <v>0</v>
      </c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</row>
    <row r="426" spans="1:35" ht="14.25" customHeight="1" x14ac:dyDescent="0.2">
      <c r="A426" s="1">
        <v>33217</v>
      </c>
      <c r="B426" s="1" t="s">
        <v>610</v>
      </c>
      <c r="C426" s="1" t="s">
        <v>51</v>
      </c>
      <c r="D426" s="2">
        <v>41710</v>
      </c>
      <c r="E426" s="1" t="s">
        <v>31</v>
      </c>
      <c r="F426" s="1" t="s">
        <v>128</v>
      </c>
      <c r="G426" s="1">
        <v>20</v>
      </c>
      <c r="H426" s="1">
        <v>73.98</v>
      </c>
      <c r="I426" s="1">
        <f t="shared" si="18"/>
        <v>1479.6000000000001</v>
      </c>
      <c r="J426" t="str">
        <f t="shared" si="19"/>
        <v>High</v>
      </c>
      <c r="K426" s="1"/>
      <c r="L426" s="1">
        <v>0.1</v>
      </c>
      <c r="M426" s="1">
        <v>4</v>
      </c>
      <c r="N426" s="1" t="s">
        <v>33</v>
      </c>
      <c r="O426" s="1" t="s">
        <v>34</v>
      </c>
      <c r="P426" s="2">
        <v>41711</v>
      </c>
      <c r="Q426" s="2" t="b">
        <f t="shared" si="20"/>
        <v>0</v>
      </c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</row>
    <row r="427" spans="1:35" ht="14.25" customHeight="1" x14ac:dyDescent="0.2">
      <c r="A427" s="1">
        <v>33217</v>
      </c>
      <c r="B427" s="1" t="s">
        <v>610</v>
      </c>
      <c r="C427" s="1" t="s">
        <v>30</v>
      </c>
      <c r="D427" s="2">
        <v>41710</v>
      </c>
      <c r="E427" s="1" t="s">
        <v>31</v>
      </c>
      <c r="F427" s="1" t="s">
        <v>591</v>
      </c>
      <c r="G427" s="1">
        <v>34</v>
      </c>
      <c r="H427" s="1">
        <v>51.98</v>
      </c>
      <c r="I427" s="1">
        <f t="shared" si="18"/>
        <v>1767.32</v>
      </c>
      <c r="J427" t="str">
        <f t="shared" si="19"/>
        <v>High</v>
      </c>
      <c r="K427" s="1"/>
      <c r="L427" s="1">
        <v>0.05</v>
      </c>
      <c r="M427" s="1">
        <v>10.17</v>
      </c>
      <c r="N427" s="1" t="s">
        <v>33</v>
      </c>
      <c r="O427" s="1" t="s">
        <v>72</v>
      </c>
      <c r="P427" s="2">
        <v>41711</v>
      </c>
      <c r="Q427" s="2" t="b">
        <f t="shared" si="20"/>
        <v>0</v>
      </c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</row>
    <row r="428" spans="1:35" ht="14.25" customHeight="1" x14ac:dyDescent="0.2">
      <c r="A428" s="1">
        <v>45987</v>
      </c>
      <c r="B428" s="1" t="s">
        <v>611</v>
      </c>
      <c r="C428" s="1" t="s">
        <v>30</v>
      </c>
      <c r="D428" s="2">
        <v>41710</v>
      </c>
      <c r="E428" s="1" t="s">
        <v>22</v>
      </c>
      <c r="F428" s="1" t="s">
        <v>612</v>
      </c>
      <c r="G428" s="1">
        <v>31</v>
      </c>
      <c r="H428" s="1">
        <v>4</v>
      </c>
      <c r="I428" s="1">
        <f t="shared" si="18"/>
        <v>124</v>
      </c>
      <c r="J428" t="str">
        <f t="shared" si="19"/>
        <v>Low</v>
      </c>
      <c r="K428" s="1"/>
      <c r="L428" s="1">
        <v>0.01</v>
      </c>
      <c r="M428" s="1">
        <v>1.3</v>
      </c>
      <c r="N428" s="1" t="s">
        <v>33</v>
      </c>
      <c r="O428" s="1" t="s">
        <v>55</v>
      </c>
      <c r="P428" s="2">
        <v>41712</v>
      </c>
      <c r="Q428" s="2" t="b">
        <f t="shared" si="20"/>
        <v>0</v>
      </c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</row>
    <row r="429" spans="1:35" ht="14.25" customHeight="1" x14ac:dyDescent="0.2">
      <c r="A429" s="1">
        <v>25574</v>
      </c>
      <c r="B429" s="1" t="s">
        <v>613</v>
      </c>
      <c r="C429" s="1" t="s">
        <v>51</v>
      </c>
      <c r="D429" s="2">
        <v>41710</v>
      </c>
      <c r="E429" s="1" t="s">
        <v>22</v>
      </c>
      <c r="F429" s="1" t="s">
        <v>614</v>
      </c>
      <c r="G429" s="1">
        <v>46</v>
      </c>
      <c r="H429" s="1">
        <v>100.98</v>
      </c>
      <c r="I429" s="1">
        <f t="shared" si="18"/>
        <v>4645.08</v>
      </c>
      <c r="J429" t="str">
        <f t="shared" si="19"/>
        <v>High</v>
      </c>
      <c r="K429" s="1"/>
      <c r="L429" s="1">
        <v>0</v>
      </c>
      <c r="M429" s="1">
        <v>57.38</v>
      </c>
      <c r="N429" s="1" t="s">
        <v>45</v>
      </c>
      <c r="O429" s="1" t="s">
        <v>63</v>
      </c>
      <c r="P429" s="2">
        <v>41710</v>
      </c>
      <c r="Q429" s="2" t="b">
        <f t="shared" si="20"/>
        <v>0</v>
      </c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</row>
    <row r="430" spans="1:35" ht="14.25" customHeight="1" x14ac:dyDescent="0.2">
      <c r="A430" s="1">
        <v>25574</v>
      </c>
      <c r="B430" s="1" t="s">
        <v>613</v>
      </c>
      <c r="C430" s="1" t="s">
        <v>21</v>
      </c>
      <c r="D430" s="2">
        <v>41710</v>
      </c>
      <c r="E430" s="1" t="s">
        <v>22</v>
      </c>
      <c r="F430" s="1" t="s">
        <v>615</v>
      </c>
      <c r="G430" s="1">
        <v>31</v>
      </c>
      <c r="H430" s="1">
        <v>47.98</v>
      </c>
      <c r="I430" s="1">
        <f t="shared" si="18"/>
        <v>1487.3799999999999</v>
      </c>
      <c r="J430" t="str">
        <f t="shared" si="19"/>
        <v>High</v>
      </c>
      <c r="K430" s="1"/>
      <c r="L430" s="1">
        <v>0.01</v>
      </c>
      <c r="M430" s="1">
        <v>3.61</v>
      </c>
      <c r="N430" s="1" t="s">
        <v>25</v>
      </c>
      <c r="O430" s="1" t="s">
        <v>84</v>
      </c>
      <c r="P430" s="2">
        <v>41711</v>
      </c>
      <c r="Q430" s="2" t="b">
        <f t="shared" si="20"/>
        <v>0</v>
      </c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</row>
    <row r="431" spans="1:35" ht="14.25" customHeight="1" x14ac:dyDescent="0.2">
      <c r="A431" s="1">
        <v>14176</v>
      </c>
      <c r="B431" s="1" t="s">
        <v>616</v>
      </c>
      <c r="C431" s="1" t="s">
        <v>30</v>
      </c>
      <c r="D431" s="2">
        <v>41710</v>
      </c>
      <c r="E431" s="1" t="s">
        <v>43</v>
      </c>
      <c r="F431" s="1" t="s">
        <v>538</v>
      </c>
      <c r="G431" s="1">
        <v>39</v>
      </c>
      <c r="H431" s="1">
        <v>35.99</v>
      </c>
      <c r="I431" s="1">
        <f t="shared" si="18"/>
        <v>1403.6100000000001</v>
      </c>
      <c r="J431" t="str">
        <f t="shared" si="19"/>
        <v>High</v>
      </c>
      <c r="K431" s="1"/>
      <c r="L431" s="1">
        <v>0.01</v>
      </c>
      <c r="M431" s="1">
        <v>5.99</v>
      </c>
      <c r="N431" s="1" t="s">
        <v>33</v>
      </c>
      <c r="O431" s="1" t="s">
        <v>55</v>
      </c>
      <c r="P431" s="2">
        <v>41717</v>
      </c>
      <c r="Q431" s="2" t="b">
        <f t="shared" si="20"/>
        <v>0</v>
      </c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</row>
    <row r="432" spans="1:35" ht="14.25" customHeight="1" x14ac:dyDescent="0.2">
      <c r="A432" s="1">
        <v>12450</v>
      </c>
      <c r="B432" s="1" t="s">
        <v>617</v>
      </c>
      <c r="C432" s="1" t="s">
        <v>51</v>
      </c>
      <c r="D432" s="2">
        <v>41710</v>
      </c>
      <c r="E432" s="1" t="s">
        <v>22</v>
      </c>
      <c r="F432" s="1" t="s">
        <v>128</v>
      </c>
      <c r="G432" s="1">
        <v>15</v>
      </c>
      <c r="H432" s="1">
        <v>73.98</v>
      </c>
      <c r="I432" s="1">
        <f t="shared" si="18"/>
        <v>1109.7</v>
      </c>
      <c r="J432" t="str">
        <f t="shared" si="19"/>
        <v>High</v>
      </c>
      <c r="K432" s="1"/>
      <c r="L432" s="1">
        <v>0</v>
      </c>
      <c r="M432" s="1">
        <v>14.52</v>
      </c>
      <c r="N432" s="1" t="s">
        <v>33</v>
      </c>
      <c r="O432" s="1" t="s">
        <v>34</v>
      </c>
      <c r="P432" s="2">
        <v>41712</v>
      </c>
      <c r="Q432" s="2" t="b">
        <f t="shared" si="20"/>
        <v>0</v>
      </c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</row>
    <row r="433" spans="1:35" ht="14.25" customHeight="1" x14ac:dyDescent="0.2">
      <c r="A433" s="1">
        <v>40518</v>
      </c>
      <c r="B433" s="1" t="s">
        <v>618</v>
      </c>
      <c r="C433" s="1" t="s">
        <v>30</v>
      </c>
      <c r="D433" s="2">
        <v>41711</v>
      </c>
      <c r="E433" s="1" t="s">
        <v>38</v>
      </c>
      <c r="F433" s="1" t="s">
        <v>619</v>
      </c>
      <c r="G433" s="1">
        <v>3</v>
      </c>
      <c r="H433" s="1">
        <v>4.13</v>
      </c>
      <c r="I433" s="1">
        <f t="shared" si="18"/>
        <v>12.39</v>
      </c>
      <c r="J433" t="str">
        <f t="shared" si="19"/>
        <v>Low</v>
      </c>
      <c r="K433" s="1"/>
      <c r="L433" s="1">
        <v>0.05</v>
      </c>
      <c r="M433" s="1">
        <v>5.04</v>
      </c>
      <c r="N433" s="1" t="s">
        <v>33</v>
      </c>
      <c r="O433" s="1" t="s">
        <v>34</v>
      </c>
      <c r="P433" s="2">
        <v>41712</v>
      </c>
      <c r="Q433" s="2" t="b">
        <f t="shared" si="20"/>
        <v>0</v>
      </c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</row>
    <row r="434" spans="1:35" ht="14.25" customHeight="1" x14ac:dyDescent="0.2">
      <c r="A434" s="1">
        <v>23398</v>
      </c>
      <c r="B434" s="1" t="s">
        <v>620</v>
      </c>
      <c r="C434" s="1" t="s">
        <v>51</v>
      </c>
      <c r="D434" s="2">
        <v>41711</v>
      </c>
      <c r="E434" s="1" t="s">
        <v>101</v>
      </c>
      <c r="F434" s="1" t="s">
        <v>621</v>
      </c>
      <c r="G434" s="1">
        <v>19</v>
      </c>
      <c r="H434" s="1">
        <v>6.48</v>
      </c>
      <c r="I434" s="1">
        <f t="shared" si="18"/>
        <v>123.12</v>
      </c>
      <c r="J434" t="str">
        <f t="shared" si="19"/>
        <v>Low</v>
      </c>
      <c r="K434" s="1"/>
      <c r="L434" s="1">
        <v>0.06</v>
      </c>
      <c r="M434" s="1">
        <v>7.37</v>
      </c>
      <c r="N434" s="1" t="s">
        <v>33</v>
      </c>
      <c r="O434" s="1" t="s">
        <v>34</v>
      </c>
      <c r="P434" s="2">
        <v>41712</v>
      </c>
      <c r="Q434" s="2" t="b">
        <f t="shared" si="20"/>
        <v>0</v>
      </c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</row>
    <row r="435" spans="1:35" ht="14.25" customHeight="1" x14ac:dyDescent="0.2">
      <c r="A435" s="1">
        <v>28258</v>
      </c>
      <c r="B435" s="1" t="s">
        <v>622</v>
      </c>
      <c r="C435" s="1" t="s">
        <v>51</v>
      </c>
      <c r="D435" s="2">
        <v>41711</v>
      </c>
      <c r="E435" s="1" t="s">
        <v>38</v>
      </c>
      <c r="F435" s="1" t="s">
        <v>623</v>
      </c>
      <c r="G435" s="1">
        <v>2</v>
      </c>
      <c r="H435" s="1">
        <v>125.99</v>
      </c>
      <c r="I435" s="1">
        <f t="shared" si="18"/>
        <v>251.98</v>
      </c>
      <c r="J435" t="str">
        <f t="shared" si="19"/>
        <v>Low</v>
      </c>
      <c r="K435" s="1"/>
      <c r="L435" s="1">
        <v>7.0000000000000007E-2</v>
      </c>
      <c r="M435" s="1">
        <v>2.5</v>
      </c>
      <c r="N435" s="1" t="s">
        <v>33</v>
      </c>
      <c r="O435" s="1" t="s">
        <v>34</v>
      </c>
      <c r="P435" s="2">
        <v>41711</v>
      </c>
      <c r="Q435" s="2" t="b">
        <f t="shared" si="20"/>
        <v>0</v>
      </c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</row>
    <row r="436" spans="1:35" ht="14.25" customHeight="1" x14ac:dyDescent="0.2">
      <c r="A436" s="1">
        <v>28258</v>
      </c>
      <c r="B436" s="1" t="s">
        <v>622</v>
      </c>
      <c r="C436" s="1" t="s">
        <v>51</v>
      </c>
      <c r="D436" s="2">
        <v>41711</v>
      </c>
      <c r="E436" s="1" t="s">
        <v>38</v>
      </c>
      <c r="F436" s="1" t="s">
        <v>606</v>
      </c>
      <c r="G436" s="1">
        <v>25</v>
      </c>
      <c r="H436" s="1">
        <v>99.99</v>
      </c>
      <c r="I436" s="1">
        <f t="shared" si="18"/>
        <v>2499.75</v>
      </c>
      <c r="J436" t="str">
        <f t="shared" si="19"/>
        <v>High</v>
      </c>
      <c r="K436" s="1"/>
      <c r="L436" s="1">
        <v>0.03</v>
      </c>
      <c r="M436" s="1">
        <v>19.989999999999998</v>
      </c>
      <c r="N436" s="1" t="s">
        <v>33</v>
      </c>
      <c r="O436" s="1" t="s">
        <v>34</v>
      </c>
      <c r="P436" s="2">
        <v>41712</v>
      </c>
      <c r="Q436" s="2" t="b">
        <f t="shared" si="20"/>
        <v>0</v>
      </c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</row>
    <row r="437" spans="1:35" ht="14.25" customHeight="1" x14ac:dyDescent="0.2">
      <c r="A437" s="1">
        <v>28647</v>
      </c>
      <c r="B437" s="1" t="s">
        <v>624</v>
      </c>
      <c r="C437" s="1" t="s">
        <v>51</v>
      </c>
      <c r="D437" s="2">
        <v>41712</v>
      </c>
      <c r="E437" s="1" t="s">
        <v>38</v>
      </c>
      <c r="F437" s="1" t="s">
        <v>373</v>
      </c>
      <c r="G437" s="1">
        <v>38</v>
      </c>
      <c r="H437" s="1">
        <v>154.13</v>
      </c>
      <c r="I437" s="1">
        <f t="shared" si="18"/>
        <v>5856.94</v>
      </c>
      <c r="J437" t="str">
        <f t="shared" si="19"/>
        <v>High</v>
      </c>
      <c r="K437" s="1"/>
      <c r="L437" s="1">
        <v>0.09</v>
      </c>
      <c r="M437" s="1">
        <v>69</v>
      </c>
      <c r="N437" s="1" t="s">
        <v>25</v>
      </c>
      <c r="O437" s="1" t="s">
        <v>26</v>
      </c>
      <c r="P437" s="2">
        <v>41713</v>
      </c>
      <c r="Q437" s="2" t="b">
        <f t="shared" si="20"/>
        <v>1</v>
      </c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</row>
    <row r="438" spans="1:35" ht="14.25" customHeight="1" x14ac:dyDescent="0.2">
      <c r="A438" s="1">
        <v>46241</v>
      </c>
      <c r="B438" s="1" t="s">
        <v>288</v>
      </c>
      <c r="C438" s="1" t="s">
        <v>51</v>
      </c>
      <c r="D438" s="2">
        <v>41712</v>
      </c>
      <c r="E438" s="1" t="s">
        <v>22</v>
      </c>
      <c r="F438" s="1" t="s">
        <v>488</v>
      </c>
      <c r="G438" s="1">
        <v>34</v>
      </c>
      <c r="H438" s="1">
        <v>62.18</v>
      </c>
      <c r="I438" s="1">
        <f t="shared" si="18"/>
        <v>2114.12</v>
      </c>
      <c r="J438" t="str">
        <f t="shared" si="19"/>
        <v>High</v>
      </c>
      <c r="K438" s="1"/>
      <c r="L438" s="1">
        <v>0.1</v>
      </c>
      <c r="M438" s="1">
        <v>10.84</v>
      </c>
      <c r="N438" s="1" t="s">
        <v>33</v>
      </c>
      <c r="O438" s="1" t="s">
        <v>72</v>
      </c>
      <c r="P438" s="2">
        <v>41714</v>
      </c>
      <c r="Q438" s="2" t="b">
        <f t="shared" si="20"/>
        <v>0</v>
      </c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</row>
    <row r="439" spans="1:35" ht="14.25" customHeight="1" x14ac:dyDescent="0.2">
      <c r="A439" s="1">
        <v>7776</v>
      </c>
      <c r="B439" s="1" t="s">
        <v>173</v>
      </c>
      <c r="C439" s="1" t="s">
        <v>30</v>
      </c>
      <c r="D439" s="2">
        <v>41712</v>
      </c>
      <c r="E439" s="1" t="s">
        <v>101</v>
      </c>
      <c r="F439" s="1" t="s">
        <v>625</v>
      </c>
      <c r="G439" s="1">
        <v>36</v>
      </c>
      <c r="H439" s="1">
        <v>200.98</v>
      </c>
      <c r="I439" s="1">
        <f t="shared" si="18"/>
        <v>7235.28</v>
      </c>
      <c r="J439" t="str">
        <f t="shared" si="19"/>
        <v>High</v>
      </c>
      <c r="K439" s="1"/>
      <c r="L439" s="1">
        <v>7.0000000000000007E-2</v>
      </c>
      <c r="M439" s="1">
        <v>23.76</v>
      </c>
      <c r="N439" s="1" t="s">
        <v>45</v>
      </c>
      <c r="O439" s="1" t="s">
        <v>46</v>
      </c>
      <c r="P439" s="2">
        <v>41713</v>
      </c>
      <c r="Q439" s="2" t="b">
        <f t="shared" si="20"/>
        <v>0</v>
      </c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</row>
    <row r="440" spans="1:35" ht="14.25" customHeight="1" x14ac:dyDescent="0.2">
      <c r="A440" s="1">
        <v>7776</v>
      </c>
      <c r="B440" s="1" t="s">
        <v>173</v>
      </c>
      <c r="C440" s="1" t="s">
        <v>51</v>
      </c>
      <c r="D440" s="2">
        <v>41712</v>
      </c>
      <c r="E440" s="1" t="s">
        <v>101</v>
      </c>
      <c r="F440" s="1" t="s">
        <v>237</v>
      </c>
      <c r="G440" s="1">
        <v>6</v>
      </c>
      <c r="H440" s="1">
        <v>179.29</v>
      </c>
      <c r="I440" s="1">
        <f t="shared" si="18"/>
        <v>1075.74</v>
      </c>
      <c r="J440" t="str">
        <f t="shared" si="19"/>
        <v>High</v>
      </c>
      <c r="K440" s="1"/>
      <c r="L440" s="1">
        <v>0.02</v>
      </c>
      <c r="M440" s="1">
        <v>29.21</v>
      </c>
      <c r="N440" s="1" t="s">
        <v>45</v>
      </c>
      <c r="O440" s="1" t="s">
        <v>63</v>
      </c>
      <c r="P440" s="2">
        <v>41712</v>
      </c>
      <c r="Q440" s="2" t="b">
        <f t="shared" si="20"/>
        <v>0</v>
      </c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</row>
    <row r="441" spans="1:35" ht="14.25" customHeight="1" x14ac:dyDescent="0.2">
      <c r="A441" s="1">
        <v>24193</v>
      </c>
      <c r="B441" s="1" t="s">
        <v>626</v>
      </c>
      <c r="C441" s="1" t="s">
        <v>51</v>
      </c>
      <c r="D441" s="2">
        <v>41712</v>
      </c>
      <c r="E441" s="1" t="s">
        <v>22</v>
      </c>
      <c r="F441" s="1" t="s">
        <v>627</v>
      </c>
      <c r="G441" s="1">
        <v>45</v>
      </c>
      <c r="H441" s="1">
        <v>200.98</v>
      </c>
      <c r="I441" s="1">
        <f t="shared" si="18"/>
        <v>9044.1</v>
      </c>
      <c r="J441" t="str">
        <f t="shared" si="19"/>
        <v>High</v>
      </c>
      <c r="K441" s="1"/>
      <c r="L441" s="1">
        <v>0.02</v>
      </c>
      <c r="M441" s="1">
        <v>55.96</v>
      </c>
      <c r="N441" s="1" t="s">
        <v>45</v>
      </c>
      <c r="O441" s="1" t="s">
        <v>63</v>
      </c>
      <c r="P441" s="2">
        <v>41714</v>
      </c>
      <c r="Q441" s="2" t="b">
        <f t="shared" si="20"/>
        <v>0</v>
      </c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</row>
    <row r="442" spans="1:35" ht="14.25" customHeight="1" x14ac:dyDescent="0.2">
      <c r="A442" s="1">
        <v>24193</v>
      </c>
      <c r="B442" s="1" t="s">
        <v>626</v>
      </c>
      <c r="C442" s="1" t="s">
        <v>21</v>
      </c>
      <c r="D442" s="2">
        <v>41712</v>
      </c>
      <c r="E442" s="1" t="s">
        <v>22</v>
      </c>
      <c r="F442" s="1" t="s">
        <v>498</v>
      </c>
      <c r="G442" s="1">
        <v>24</v>
      </c>
      <c r="H442" s="1">
        <v>4.28</v>
      </c>
      <c r="I442" s="1">
        <f t="shared" si="18"/>
        <v>102.72</v>
      </c>
      <c r="J442" t="str">
        <f t="shared" si="19"/>
        <v>Low</v>
      </c>
      <c r="K442" s="1"/>
      <c r="L442" s="1">
        <v>0.02</v>
      </c>
      <c r="M442" s="1">
        <v>5.17</v>
      </c>
      <c r="N442" s="1" t="s">
        <v>33</v>
      </c>
      <c r="O442" s="1" t="s">
        <v>34</v>
      </c>
      <c r="P442" s="2">
        <v>41713</v>
      </c>
      <c r="Q442" s="2" t="b">
        <f t="shared" si="20"/>
        <v>0</v>
      </c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</row>
    <row r="443" spans="1:35" ht="14.25" customHeight="1" x14ac:dyDescent="0.2">
      <c r="A443" s="1">
        <v>24193</v>
      </c>
      <c r="B443" s="1" t="s">
        <v>626</v>
      </c>
      <c r="C443" s="1" t="s">
        <v>30</v>
      </c>
      <c r="D443" s="2">
        <v>41712</v>
      </c>
      <c r="E443" s="1" t="s">
        <v>22</v>
      </c>
      <c r="F443" s="1" t="s">
        <v>628</v>
      </c>
      <c r="G443" s="1">
        <v>19</v>
      </c>
      <c r="H443" s="1">
        <v>85.99</v>
      </c>
      <c r="I443" s="1">
        <f t="shared" si="18"/>
        <v>1633.81</v>
      </c>
      <c r="J443" t="str">
        <f t="shared" si="19"/>
        <v>High</v>
      </c>
      <c r="K443" s="1"/>
      <c r="L443" s="1">
        <v>0.04</v>
      </c>
      <c r="M443" s="1">
        <v>0.99</v>
      </c>
      <c r="N443" s="1" t="s">
        <v>33</v>
      </c>
      <c r="O443" s="1" t="s">
        <v>55</v>
      </c>
      <c r="P443" s="2">
        <v>41714</v>
      </c>
      <c r="Q443" s="2" t="b">
        <f t="shared" si="20"/>
        <v>0</v>
      </c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</row>
    <row r="444" spans="1:35" ht="14.25" customHeight="1" x14ac:dyDescent="0.2">
      <c r="A444" s="1">
        <v>28480</v>
      </c>
      <c r="B444" s="1" t="s">
        <v>629</v>
      </c>
      <c r="C444" s="1" t="s">
        <v>30</v>
      </c>
      <c r="D444" s="2">
        <v>41713</v>
      </c>
      <c r="E444" s="1" t="s">
        <v>101</v>
      </c>
      <c r="F444" s="1" t="s">
        <v>130</v>
      </c>
      <c r="G444" s="1">
        <v>17</v>
      </c>
      <c r="H444" s="1">
        <v>1.76</v>
      </c>
      <c r="I444" s="1">
        <f t="shared" si="18"/>
        <v>29.92</v>
      </c>
      <c r="J444" t="str">
        <f t="shared" si="19"/>
        <v>Low</v>
      </c>
      <c r="K444" s="1"/>
      <c r="L444" s="1">
        <v>0.01</v>
      </c>
      <c r="M444" s="1">
        <v>0.7</v>
      </c>
      <c r="N444" s="1" t="s">
        <v>33</v>
      </c>
      <c r="O444" s="1" t="s">
        <v>55</v>
      </c>
      <c r="P444" s="2">
        <v>41714</v>
      </c>
      <c r="Q444" s="2" t="b">
        <f t="shared" si="20"/>
        <v>0</v>
      </c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</row>
    <row r="445" spans="1:35" ht="14.25" customHeight="1" x14ac:dyDescent="0.2">
      <c r="A445" s="1">
        <v>26855</v>
      </c>
      <c r="B445" s="1" t="s">
        <v>630</v>
      </c>
      <c r="C445" s="1" t="s">
        <v>30</v>
      </c>
      <c r="D445" s="2">
        <v>41713</v>
      </c>
      <c r="E445" s="1" t="s">
        <v>31</v>
      </c>
      <c r="F445" s="1" t="s">
        <v>631</v>
      </c>
      <c r="G445" s="1">
        <v>13</v>
      </c>
      <c r="H445" s="1">
        <v>30.93</v>
      </c>
      <c r="I445" s="1">
        <f t="shared" si="18"/>
        <v>402.09</v>
      </c>
      <c r="J445" t="str">
        <f t="shared" si="19"/>
        <v>Low</v>
      </c>
      <c r="K445" s="1"/>
      <c r="L445" s="1">
        <v>0.08</v>
      </c>
      <c r="M445" s="1">
        <v>3.92</v>
      </c>
      <c r="N445" s="1" t="s">
        <v>33</v>
      </c>
      <c r="O445" s="1" t="s">
        <v>84</v>
      </c>
      <c r="P445" s="2">
        <v>41714</v>
      </c>
      <c r="Q445" s="2" t="b">
        <f t="shared" si="20"/>
        <v>0</v>
      </c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</row>
    <row r="446" spans="1:35" ht="14.25" customHeight="1" x14ac:dyDescent="0.2">
      <c r="A446" s="1">
        <v>11585</v>
      </c>
      <c r="B446" s="1" t="s">
        <v>632</v>
      </c>
      <c r="C446" s="1" t="s">
        <v>30</v>
      </c>
      <c r="D446" s="2">
        <v>41713</v>
      </c>
      <c r="E446" s="1" t="s">
        <v>101</v>
      </c>
      <c r="F446" s="1" t="s">
        <v>633</v>
      </c>
      <c r="G446" s="1">
        <v>2</v>
      </c>
      <c r="H446" s="1">
        <v>125.99</v>
      </c>
      <c r="I446" s="1">
        <f t="shared" si="18"/>
        <v>251.98</v>
      </c>
      <c r="J446" t="str">
        <f t="shared" si="19"/>
        <v>Low</v>
      </c>
      <c r="K446" s="1"/>
      <c r="L446" s="1">
        <v>0.09</v>
      </c>
      <c r="M446" s="1">
        <v>8.99</v>
      </c>
      <c r="N446" s="1" t="s">
        <v>33</v>
      </c>
      <c r="O446" s="1" t="s">
        <v>34</v>
      </c>
      <c r="P446" s="2">
        <v>41714</v>
      </c>
      <c r="Q446" s="2" t="b">
        <f t="shared" si="20"/>
        <v>0</v>
      </c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</row>
    <row r="447" spans="1:35" ht="14.25" customHeight="1" x14ac:dyDescent="0.2">
      <c r="A447" s="1">
        <v>11585</v>
      </c>
      <c r="B447" s="1" t="s">
        <v>632</v>
      </c>
      <c r="C447" s="1" t="s">
        <v>51</v>
      </c>
      <c r="D447" s="2">
        <v>41713</v>
      </c>
      <c r="E447" s="1" t="s">
        <v>101</v>
      </c>
      <c r="F447" s="1" t="s">
        <v>634</v>
      </c>
      <c r="G447" s="1">
        <v>17</v>
      </c>
      <c r="H447" s="1">
        <v>17.98</v>
      </c>
      <c r="I447" s="1">
        <f t="shared" si="18"/>
        <v>305.66000000000003</v>
      </c>
      <c r="J447" t="str">
        <f t="shared" si="19"/>
        <v>Low</v>
      </c>
      <c r="K447" s="1"/>
      <c r="L447" s="1">
        <v>0.1</v>
      </c>
      <c r="M447" s="1">
        <v>4</v>
      </c>
      <c r="N447" s="1" t="s">
        <v>33</v>
      </c>
      <c r="O447" s="1" t="s">
        <v>34</v>
      </c>
      <c r="P447" s="2">
        <v>41714</v>
      </c>
      <c r="Q447" s="2" t="b">
        <f t="shared" si="20"/>
        <v>0</v>
      </c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</row>
    <row r="448" spans="1:35" ht="14.25" customHeight="1" x14ac:dyDescent="0.2">
      <c r="A448" s="1">
        <v>1952</v>
      </c>
      <c r="B448" s="1" t="s">
        <v>374</v>
      </c>
      <c r="C448" s="1" t="s">
        <v>21</v>
      </c>
      <c r="D448" s="2">
        <v>41713</v>
      </c>
      <c r="E448" s="1" t="s">
        <v>31</v>
      </c>
      <c r="F448" s="1" t="s">
        <v>581</v>
      </c>
      <c r="G448" s="1">
        <v>24</v>
      </c>
      <c r="H448" s="1">
        <v>296.18</v>
      </c>
      <c r="I448" s="1">
        <f t="shared" si="18"/>
        <v>7108.32</v>
      </c>
      <c r="J448" t="str">
        <f t="shared" si="19"/>
        <v>High</v>
      </c>
      <c r="K448" s="1"/>
      <c r="L448" s="1">
        <v>0.04</v>
      </c>
      <c r="M448" s="1">
        <v>54.12</v>
      </c>
      <c r="N448" s="1" t="s">
        <v>45</v>
      </c>
      <c r="O448" s="1" t="s">
        <v>63</v>
      </c>
      <c r="P448" s="2">
        <v>41713</v>
      </c>
      <c r="Q448" s="2" t="b">
        <f t="shared" si="20"/>
        <v>0</v>
      </c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</row>
    <row r="449" spans="1:35" ht="14.25" customHeight="1" x14ac:dyDescent="0.2">
      <c r="A449" s="1">
        <v>53573</v>
      </c>
      <c r="B449" s="1" t="s">
        <v>635</v>
      </c>
      <c r="C449" s="1" t="s">
        <v>21</v>
      </c>
      <c r="D449" s="2">
        <v>41713</v>
      </c>
      <c r="E449" s="1" t="s">
        <v>22</v>
      </c>
      <c r="F449" s="1" t="s">
        <v>636</v>
      </c>
      <c r="G449" s="1">
        <v>6</v>
      </c>
      <c r="H449" s="1">
        <v>14.2</v>
      </c>
      <c r="I449" s="1">
        <f t="shared" si="18"/>
        <v>85.199999999999989</v>
      </c>
      <c r="J449" t="str">
        <f t="shared" si="19"/>
        <v>Low</v>
      </c>
      <c r="K449" s="1"/>
      <c r="L449" s="1">
        <v>0.03</v>
      </c>
      <c r="M449" s="1">
        <v>5.3</v>
      </c>
      <c r="N449" s="1" t="s">
        <v>33</v>
      </c>
      <c r="O449" s="1" t="s">
        <v>55</v>
      </c>
      <c r="P449" s="2">
        <v>41715</v>
      </c>
      <c r="Q449" s="2" t="b">
        <f t="shared" si="20"/>
        <v>0</v>
      </c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</row>
    <row r="450" spans="1:35" ht="14.25" customHeight="1" x14ac:dyDescent="0.2">
      <c r="A450" s="1">
        <v>36807</v>
      </c>
      <c r="B450" s="1" t="s">
        <v>637</v>
      </c>
      <c r="C450" s="1" t="s">
        <v>30</v>
      </c>
      <c r="D450" s="2">
        <v>41714</v>
      </c>
      <c r="E450" s="1" t="s">
        <v>101</v>
      </c>
      <c r="F450" s="1" t="s">
        <v>638</v>
      </c>
      <c r="G450" s="1">
        <v>14</v>
      </c>
      <c r="H450" s="1">
        <v>15.57</v>
      </c>
      <c r="I450" s="1">
        <f t="shared" ref="I450:I513" si="21">G450*H450</f>
        <v>217.98000000000002</v>
      </c>
      <c r="J450" t="str">
        <f t="shared" ref="J450:J513" si="22">IF(I450&lt;1000,"Low","High")</f>
        <v>Low</v>
      </c>
      <c r="K450" s="1"/>
      <c r="L450" s="1">
        <v>0.1</v>
      </c>
      <c r="M450" s="1">
        <v>1.39</v>
      </c>
      <c r="N450" s="1" t="s">
        <v>33</v>
      </c>
      <c r="O450" s="1" t="s">
        <v>34</v>
      </c>
      <c r="P450" s="2">
        <v>41715</v>
      </c>
      <c r="Q450" s="2" t="b">
        <f t="shared" ref="Q450:Q513" si="23">AND(N450="Express Air",O450="Large Box")</f>
        <v>0</v>
      </c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</row>
    <row r="451" spans="1:35" ht="14.25" customHeight="1" x14ac:dyDescent="0.2">
      <c r="A451" s="1">
        <v>9383</v>
      </c>
      <c r="B451" s="1" t="s">
        <v>639</v>
      </c>
      <c r="C451" s="1" t="s">
        <v>21</v>
      </c>
      <c r="D451" s="2">
        <v>41714</v>
      </c>
      <c r="E451" s="1" t="s">
        <v>22</v>
      </c>
      <c r="F451" s="1" t="s">
        <v>640</v>
      </c>
      <c r="G451" s="1">
        <v>11</v>
      </c>
      <c r="H451" s="1">
        <v>7.59</v>
      </c>
      <c r="I451" s="1">
        <f t="shared" si="21"/>
        <v>83.49</v>
      </c>
      <c r="J451" t="str">
        <f t="shared" si="22"/>
        <v>Low</v>
      </c>
      <c r="K451" s="1"/>
      <c r="L451" s="1">
        <v>7.0000000000000007E-2</v>
      </c>
      <c r="M451" s="1">
        <v>4</v>
      </c>
      <c r="N451" s="1" t="s">
        <v>33</v>
      </c>
      <c r="O451" s="1" t="s">
        <v>55</v>
      </c>
      <c r="P451" s="2">
        <v>41716</v>
      </c>
      <c r="Q451" s="2" t="b">
        <f t="shared" si="23"/>
        <v>0</v>
      </c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</row>
    <row r="452" spans="1:35" ht="14.25" customHeight="1" x14ac:dyDescent="0.2">
      <c r="A452" s="1">
        <v>57476</v>
      </c>
      <c r="B452" s="1" t="s">
        <v>641</v>
      </c>
      <c r="C452" s="1" t="s">
        <v>30</v>
      </c>
      <c r="D452" s="2">
        <v>41714</v>
      </c>
      <c r="E452" s="1" t="s">
        <v>31</v>
      </c>
      <c r="F452" s="1" t="s">
        <v>642</v>
      </c>
      <c r="G452" s="1">
        <v>20</v>
      </c>
      <c r="H452" s="1">
        <v>68.81</v>
      </c>
      <c r="I452" s="1">
        <f t="shared" si="21"/>
        <v>1376.2</v>
      </c>
      <c r="J452" t="str">
        <f t="shared" si="22"/>
        <v>High</v>
      </c>
      <c r="K452" s="1"/>
      <c r="L452" s="1">
        <v>0.08</v>
      </c>
      <c r="M452" s="1">
        <v>60</v>
      </c>
      <c r="N452" s="1" t="s">
        <v>45</v>
      </c>
      <c r="O452" s="1" t="s">
        <v>46</v>
      </c>
      <c r="P452" s="2">
        <v>41715</v>
      </c>
      <c r="Q452" s="2" t="b">
        <f t="shared" si="23"/>
        <v>0</v>
      </c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</row>
    <row r="453" spans="1:35" ht="14.25" customHeight="1" x14ac:dyDescent="0.2">
      <c r="A453" s="1">
        <v>57476</v>
      </c>
      <c r="B453" s="1" t="s">
        <v>641</v>
      </c>
      <c r="C453" s="1" t="s">
        <v>51</v>
      </c>
      <c r="D453" s="2">
        <v>41714</v>
      </c>
      <c r="E453" s="1" t="s">
        <v>31</v>
      </c>
      <c r="F453" s="1" t="s">
        <v>643</v>
      </c>
      <c r="G453" s="1">
        <v>17</v>
      </c>
      <c r="H453" s="1">
        <v>21.38</v>
      </c>
      <c r="I453" s="1">
        <f t="shared" si="21"/>
        <v>363.46</v>
      </c>
      <c r="J453" t="str">
        <f t="shared" si="22"/>
        <v>Low</v>
      </c>
      <c r="K453" s="1"/>
      <c r="L453" s="1">
        <v>0.04</v>
      </c>
      <c r="M453" s="1">
        <v>8.99</v>
      </c>
      <c r="N453" s="1" t="s">
        <v>33</v>
      </c>
      <c r="O453" s="1" t="s">
        <v>84</v>
      </c>
      <c r="P453" s="2">
        <v>41716</v>
      </c>
      <c r="Q453" s="2" t="b">
        <f t="shared" si="23"/>
        <v>0</v>
      </c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</row>
    <row r="454" spans="1:35" ht="14.25" customHeight="1" x14ac:dyDescent="0.2">
      <c r="A454" s="1">
        <v>39906</v>
      </c>
      <c r="B454" s="1" t="s">
        <v>644</v>
      </c>
      <c r="C454" s="1" t="s">
        <v>51</v>
      </c>
      <c r="D454" s="2">
        <v>41715</v>
      </c>
      <c r="E454" s="1" t="s">
        <v>101</v>
      </c>
      <c r="F454" s="1" t="s">
        <v>645</v>
      </c>
      <c r="G454" s="1">
        <v>25</v>
      </c>
      <c r="H454" s="1">
        <v>3.38</v>
      </c>
      <c r="I454" s="1">
        <f t="shared" si="21"/>
        <v>84.5</v>
      </c>
      <c r="J454" t="str">
        <f t="shared" si="22"/>
        <v>Low</v>
      </c>
      <c r="K454" s="1"/>
      <c r="L454" s="1">
        <v>0.04</v>
      </c>
      <c r="M454" s="1">
        <v>1.0900000000000001</v>
      </c>
      <c r="N454" s="1" t="s">
        <v>33</v>
      </c>
      <c r="O454" s="1" t="s">
        <v>55</v>
      </c>
      <c r="P454" s="2">
        <v>41717</v>
      </c>
      <c r="Q454" s="2" t="b">
        <f t="shared" si="23"/>
        <v>0</v>
      </c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</row>
    <row r="455" spans="1:35" ht="14.25" customHeight="1" x14ac:dyDescent="0.2">
      <c r="A455" s="1">
        <v>9733</v>
      </c>
      <c r="B455" s="1" t="s">
        <v>388</v>
      </c>
      <c r="C455" s="1" t="s">
        <v>21</v>
      </c>
      <c r="D455" s="2">
        <v>41715</v>
      </c>
      <c r="E455" s="1" t="s">
        <v>22</v>
      </c>
      <c r="F455" s="1" t="s">
        <v>327</v>
      </c>
      <c r="G455" s="1">
        <v>39</v>
      </c>
      <c r="H455" s="1">
        <v>5.98</v>
      </c>
      <c r="I455" s="1">
        <f t="shared" si="21"/>
        <v>233.22000000000003</v>
      </c>
      <c r="J455" t="str">
        <f t="shared" si="22"/>
        <v>Low</v>
      </c>
      <c r="K455" s="1"/>
      <c r="L455" s="1">
        <v>0.1</v>
      </c>
      <c r="M455" s="1">
        <v>5.35</v>
      </c>
      <c r="N455" s="1" t="s">
        <v>33</v>
      </c>
      <c r="O455" s="1" t="s">
        <v>34</v>
      </c>
      <c r="P455" s="2">
        <v>41715</v>
      </c>
      <c r="Q455" s="2" t="b">
        <f t="shared" si="23"/>
        <v>0</v>
      </c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</row>
    <row r="456" spans="1:35" ht="14.25" customHeight="1" x14ac:dyDescent="0.2">
      <c r="A456" s="1">
        <v>6498</v>
      </c>
      <c r="B456" s="1" t="s">
        <v>646</v>
      </c>
      <c r="C456" s="1" t="s">
        <v>30</v>
      </c>
      <c r="D456" s="2">
        <v>41715</v>
      </c>
      <c r="E456" s="1" t="s">
        <v>101</v>
      </c>
      <c r="F456" s="1" t="s">
        <v>647</v>
      </c>
      <c r="G456" s="1">
        <v>38</v>
      </c>
      <c r="H456" s="1">
        <v>8.1199999999999992</v>
      </c>
      <c r="I456" s="1">
        <f t="shared" si="21"/>
        <v>308.55999999999995</v>
      </c>
      <c r="J456" t="str">
        <f t="shared" si="22"/>
        <v>Low</v>
      </c>
      <c r="K456" s="1"/>
      <c r="L456" s="1">
        <v>0.01</v>
      </c>
      <c r="M456" s="1">
        <v>2.83</v>
      </c>
      <c r="N456" s="1" t="s">
        <v>25</v>
      </c>
      <c r="O456" s="1" t="s">
        <v>84</v>
      </c>
      <c r="P456" s="2">
        <v>41716</v>
      </c>
      <c r="Q456" s="2" t="b">
        <f t="shared" si="23"/>
        <v>0</v>
      </c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</row>
    <row r="457" spans="1:35" ht="14.25" customHeight="1" x14ac:dyDescent="0.2">
      <c r="A457" s="1">
        <v>31941</v>
      </c>
      <c r="B457" s="1" t="s">
        <v>648</v>
      </c>
      <c r="C457" s="1" t="s">
        <v>51</v>
      </c>
      <c r="D457" s="2">
        <v>41716</v>
      </c>
      <c r="E457" s="1" t="s">
        <v>101</v>
      </c>
      <c r="F457" s="1" t="s">
        <v>359</v>
      </c>
      <c r="G457" s="1">
        <v>32</v>
      </c>
      <c r="H457" s="1">
        <v>78.650000000000006</v>
      </c>
      <c r="I457" s="1">
        <f t="shared" si="21"/>
        <v>2516.8000000000002</v>
      </c>
      <c r="J457" t="str">
        <f t="shared" si="22"/>
        <v>High</v>
      </c>
      <c r="K457" s="1"/>
      <c r="L457" s="1">
        <v>0.01</v>
      </c>
      <c r="M457" s="1">
        <v>13.99</v>
      </c>
      <c r="N457" s="1" t="s">
        <v>25</v>
      </c>
      <c r="O457" s="1" t="s">
        <v>72</v>
      </c>
      <c r="P457" s="2">
        <v>41717</v>
      </c>
      <c r="Q457" s="2" t="b">
        <f t="shared" si="23"/>
        <v>0</v>
      </c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</row>
    <row r="458" spans="1:35" ht="14.25" customHeight="1" x14ac:dyDescent="0.2">
      <c r="A458" s="1">
        <v>31941</v>
      </c>
      <c r="B458" s="1" t="s">
        <v>648</v>
      </c>
      <c r="C458" s="1" t="s">
        <v>51</v>
      </c>
      <c r="D458" s="2">
        <v>41716</v>
      </c>
      <c r="E458" s="1" t="s">
        <v>101</v>
      </c>
      <c r="F458" s="1" t="s">
        <v>445</v>
      </c>
      <c r="G458" s="1">
        <v>7</v>
      </c>
      <c r="H458" s="1">
        <v>6.48</v>
      </c>
      <c r="I458" s="1">
        <f t="shared" si="21"/>
        <v>45.36</v>
      </c>
      <c r="J458" t="str">
        <f t="shared" si="22"/>
        <v>Low</v>
      </c>
      <c r="K458" s="1"/>
      <c r="L458" s="1">
        <v>7.0000000000000007E-2</v>
      </c>
      <c r="M458" s="1">
        <v>9.68</v>
      </c>
      <c r="N458" s="1" t="s">
        <v>33</v>
      </c>
      <c r="O458" s="1" t="s">
        <v>34</v>
      </c>
      <c r="P458" s="2">
        <v>41718</v>
      </c>
      <c r="Q458" s="2" t="b">
        <f t="shared" si="23"/>
        <v>0</v>
      </c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</row>
    <row r="459" spans="1:35" ht="14.25" customHeight="1" x14ac:dyDescent="0.2">
      <c r="A459" s="1">
        <v>43140</v>
      </c>
      <c r="B459" s="1" t="s">
        <v>649</v>
      </c>
      <c r="C459" s="1" t="s">
        <v>30</v>
      </c>
      <c r="D459" s="2">
        <v>41716</v>
      </c>
      <c r="E459" s="1" t="s">
        <v>38</v>
      </c>
      <c r="F459" s="1" t="s">
        <v>650</v>
      </c>
      <c r="G459" s="1">
        <v>23</v>
      </c>
      <c r="H459" s="1">
        <v>5.98</v>
      </c>
      <c r="I459" s="1">
        <f t="shared" si="21"/>
        <v>137.54000000000002</v>
      </c>
      <c r="J459" t="str">
        <f t="shared" si="22"/>
        <v>Low</v>
      </c>
      <c r="K459" s="1"/>
      <c r="L459" s="1">
        <v>0.1</v>
      </c>
      <c r="M459" s="1">
        <v>5.14</v>
      </c>
      <c r="N459" s="1" t="s">
        <v>33</v>
      </c>
      <c r="O459" s="1" t="s">
        <v>34</v>
      </c>
      <c r="P459" s="2">
        <v>41718</v>
      </c>
      <c r="Q459" s="2" t="b">
        <f t="shared" si="23"/>
        <v>0</v>
      </c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</row>
    <row r="460" spans="1:35" ht="14.25" customHeight="1" x14ac:dyDescent="0.2">
      <c r="A460" s="1">
        <v>15170</v>
      </c>
      <c r="B460" s="1" t="s">
        <v>651</v>
      </c>
      <c r="C460" s="1" t="s">
        <v>30</v>
      </c>
      <c r="D460" s="2">
        <v>41716</v>
      </c>
      <c r="E460" s="1" t="s">
        <v>38</v>
      </c>
      <c r="F460" s="1" t="s">
        <v>652</v>
      </c>
      <c r="G460" s="1">
        <v>19</v>
      </c>
      <c r="H460" s="1">
        <v>20.99</v>
      </c>
      <c r="I460" s="1">
        <f t="shared" si="21"/>
        <v>398.80999999999995</v>
      </c>
      <c r="J460" t="str">
        <f t="shared" si="22"/>
        <v>Low</v>
      </c>
      <c r="K460" s="1"/>
      <c r="L460" s="1">
        <v>0.01</v>
      </c>
      <c r="M460" s="1">
        <v>4.8099999999999996</v>
      </c>
      <c r="N460" s="1" t="s">
        <v>33</v>
      </c>
      <c r="O460" s="1" t="s">
        <v>72</v>
      </c>
      <c r="P460" s="2">
        <v>41716</v>
      </c>
      <c r="Q460" s="2" t="b">
        <f t="shared" si="23"/>
        <v>0</v>
      </c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</row>
    <row r="461" spans="1:35" ht="14.25" customHeight="1" x14ac:dyDescent="0.2">
      <c r="A461" s="1">
        <v>9894</v>
      </c>
      <c r="B461" s="1" t="s">
        <v>653</v>
      </c>
      <c r="C461" s="1" t="s">
        <v>30</v>
      </c>
      <c r="D461" s="2">
        <v>41716</v>
      </c>
      <c r="E461" s="1" t="s">
        <v>31</v>
      </c>
      <c r="F461" s="1" t="s">
        <v>94</v>
      </c>
      <c r="G461" s="1">
        <v>16</v>
      </c>
      <c r="H461" s="1">
        <v>355.98</v>
      </c>
      <c r="I461" s="1">
        <f t="shared" si="21"/>
        <v>5695.68</v>
      </c>
      <c r="J461" t="str">
        <f t="shared" si="22"/>
        <v>High</v>
      </c>
      <c r="K461" s="1"/>
      <c r="L461" s="1">
        <v>0.08</v>
      </c>
      <c r="M461" s="1">
        <v>58.92</v>
      </c>
      <c r="N461" s="1" t="s">
        <v>45</v>
      </c>
      <c r="O461" s="1" t="s">
        <v>46</v>
      </c>
      <c r="P461" s="2">
        <v>41718</v>
      </c>
      <c r="Q461" s="2" t="b">
        <f t="shared" si="23"/>
        <v>0</v>
      </c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</row>
    <row r="462" spans="1:35" ht="14.25" customHeight="1" x14ac:dyDescent="0.2">
      <c r="A462" s="1">
        <v>23751</v>
      </c>
      <c r="B462" s="1" t="s">
        <v>403</v>
      </c>
      <c r="C462" s="1" t="s">
        <v>51</v>
      </c>
      <c r="D462" s="2">
        <v>41716</v>
      </c>
      <c r="E462" s="1" t="s">
        <v>101</v>
      </c>
      <c r="F462" s="1" t="s">
        <v>654</v>
      </c>
      <c r="G462" s="1">
        <v>44</v>
      </c>
      <c r="H462" s="1">
        <v>220.98</v>
      </c>
      <c r="I462" s="1">
        <f t="shared" si="21"/>
        <v>9723.119999999999</v>
      </c>
      <c r="J462" t="str">
        <f t="shared" si="22"/>
        <v>High</v>
      </c>
      <c r="K462" s="1"/>
      <c r="L462" s="1">
        <v>0.01</v>
      </c>
      <c r="M462" s="1">
        <v>64.66</v>
      </c>
      <c r="N462" s="1" t="s">
        <v>45</v>
      </c>
      <c r="O462" s="1" t="s">
        <v>63</v>
      </c>
      <c r="P462" s="2">
        <v>41717</v>
      </c>
      <c r="Q462" s="2" t="b">
        <f t="shared" si="23"/>
        <v>0</v>
      </c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</row>
    <row r="463" spans="1:35" ht="14.25" customHeight="1" x14ac:dyDescent="0.2">
      <c r="A463" s="1">
        <v>53920</v>
      </c>
      <c r="B463" s="1" t="s">
        <v>655</v>
      </c>
      <c r="C463" s="1" t="s">
        <v>30</v>
      </c>
      <c r="D463" s="2">
        <v>41716</v>
      </c>
      <c r="E463" s="1" t="s">
        <v>38</v>
      </c>
      <c r="F463" s="1" t="s">
        <v>521</v>
      </c>
      <c r="G463" s="1">
        <v>18</v>
      </c>
      <c r="H463" s="1">
        <v>20.98</v>
      </c>
      <c r="I463" s="1">
        <f t="shared" si="21"/>
        <v>377.64</v>
      </c>
      <c r="J463" t="str">
        <f t="shared" si="22"/>
        <v>Low</v>
      </c>
      <c r="K463" s="1"/>
      <c r="L463" s="1">
        <v>0.05</v>
      </c>
      <c r="M463" s="1">
        <v>53.03</v>
      </c>
      <c r="N463" s="1" t="s">
        <v>45</v>
      </c>
      <c r="O463" s="1" t="s">
        <v>46</v>
      </c>
      <c r="P463" s="2">
        <v>41718</v>
      </c>
      <c r="Q463" s="2" t="b">
        <f t="shared" si="23"/>
        <v>0</v>
      </c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</row>
    <row r="464" spans="1:35" ht="14.25" customHeight="1" x14ac:dyDescent="0.2">
      <c r="A464" s="1">
        <v>19299</v>
      </c>
      <c r="B464" s="1" t="s">
        <v>656</v>
      </c>
      <c r="C464" s="1" t="s">
        <v>21</v>
      </c>
      <c r="D464" s="2">
        <v>41716</v>
      </c>
      <c r="E464" s="1" t="s">
        <v>22</v>
      </c>
      <c r="F464" s="1" t="s">
        <v>657</v>
      </c>
      <c r="G464" s="1">
        <v>10</v>
      </c>
      <c r="H464" s="1">
        <v>2.88</v>
      </c>
      <c r="I464" s="1">
        <f t="shared" si="21"/>
        <v>28.799999999999997</v>
      </c>
      <c r="J464" t="str">
        <f t="shared" si="22"/>
        <v>Low</v>
      </c>
      <c r="K464" s="1"/>
      <c r="L464" s="1">
        <v>0.05</v>
      </c>
      <c r="M464" s="1">
        <v>0.5</v>
      </c>
      <c r="N464" s="1" t="s">
        <v>33</v>
      </c>
      <c r="O464" s="1" t="s">
        <v>34</v>
      </c>
      <c r="P464" s="2">
        <v>41718</v>
      </c>
      <c r="Q464" s="2" t="b">
        <f t="shared" si="23"/>
        <v>0</v>
      </c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</row>
    <row r="465" spans="1:35" ht="14.25" customHeight="1" x14ac:dyDescent="0.2">
      <c r="A465" s="1">
        <v>49216</v>
      </c>
      <c r="B465" s="1" t="s">
        <v>658</v>
      </c>
      <c r="C465" s="1" t="s">
        <v>51</v>
      </c>
      <c r="D465" s="2">
        <v>41717</v>
      </c>
      <c r="E465" s="1" t="s">
        <v>31</v>
      </c>
      <c r="F465" s="1" t="s">
        <v>659</v>
      </c>
      <c r="G465" s="1">
        <v>11</v>
      </c>
      <c r="H465" s="1">
        <v>24.92</v>
      </c>
      <c r="I465" s="1">
        <f t="shared" si="21"/>
        <v>274.12</v>
      </c>
      <c r="J465" t="str">
        <f t="shared" si="22"/>
        <v>Low</v>
      </c>
      <c r="K465" s="1"/>
      <c r="L465" s="1">
        <v>0.1</v>
      </c>
      <c r="M465" s="1">
        <v>12.98</v>
      </c>
      <c r="N465" s="1" t="s">
        <v>33</v>
      </c>
      <c r="O465" s="1" t="s">
        <v>34</v>
      </c>
      <c r="P465" s="2">
        <v>41717</v>
      </c>
      <c r="Q465" s="2" t="b">
        <f t="shared" si="23"/>
        <v>0</v>
      </c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</row>
    <row r="466" spans="1:35" ht="14.25" customHeight="1" x14ac:dyDescent="0.2">
      <c r="A466" s="1">
        <v>49216</v>
      </c>
      <c r="B466" s="1" t="s">
        <v>658</v>
      </c>
      <c r="C466" s="1" t="s">
        <v>30</v>
      </c>
      <c r="D466" s="2">
        <v>41717</v>
      </c>
      <c r="E466" s="1" t="s">
        <v>31</v>
      </c>
      <c r="F466" s="1" t="s">
        <v>660</v>
      </c>
      <c r="G466" s="1">
        <v>9</v>
      </c>
      <c r="H466" s="1">
        <v>270.97000000000003</v>
      </c>
      <c r="I466" s="1">
        <f t="shared" si="21"/>
        <v>2438.7300000000005</v>
      </c>
      <c r="J466" t="str">
        <f t="shared" si="22"/>
        <v>High</v>
      </c>
      <c r="K466" s="1"/>
      <c r="L466" s="1">
        <v>0.06</v>
      </c>
      <c r="M466" s="1">
        <v>28.06</v>
      </c>
      <c r="N466" s="1" t="s">
        <v>45</v>
      </c>
      <c r="O466" s="1" t="s">
        <v>46</v>
      </c>
      <c r="P466" s="2">
        <v>41717</v>
      </c>
      <c r="Q466" s="2" t="b">
        <f t="shared" si="23"/>
        <v>0</v>
      </c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</row>
    <row r="467" spans="1:35" ht="14.25" customHeight="1" x14ac:dyDescent="0.2">
      <c r="A467" s="1">
        <v>49216</v>
      </c>
      <c r="B467" s="1" t="s">
        <v>658</v>
      </c>
      <c r="C467" s="1" t="s">
        <v>51</v>
      </c>
      <c r="D467" s="2">
        <v>41717</v>
      </c>
      <c r="E467" s="1" t="s">
        <v>31</v>
      </c>
      <c r="F467" s="1" t="s">
        <v>661</v>
      </c>
      <c r="G467" s="1">
        <v>29</v>
      </c>
      <c r="H467" s="1">
        <v>12.28</v>
      </c>
      <c r="I467" s="1">
        <f t="shared" si="21"/>
        <v>356.12</v>
      </c>
      <c r="J467" t="str">
        <f t="shared" si="22"/>
        <v>Low</v>
      </c>
      <c r="K467" s="1"/>
      <c r="L467" s="1">
        <v>0</v>
      </c>
      <c r="M467" s="1">
        <v>6.35</v>
      </c>
      <c r="N467" s="1" t="s">
        <v>25</v>
      </c>
      <c r="O467" s="1" t="s">
        <v>34</v>
      </c>
      <c r="P467" s="2">
        <v>41718</v>
      </c>
      <c r="Q467" s="2" t="b">
        <f t="shared" si="23"/>
        <v>0</v>
      </c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</row>
    <row r="468" spans="1:35" ht="14.25" customHeight="1" x14ac:dyDescent="0.2">
      <c r="A468" s="1">
        <v>49216</v>
      </c>
      <c r="B468" s="1" t="s">
        <v>658</v>
      </c>
      <c r="C468" s="1" t="s">
        <v>30</v>
      </c>
      <c r="D468" s="2">
        <v>41717</v>
      </c>
      <c r="E468" s="1" t="s">
        <v>31</v>
      </c>
      <c r="F468" s="1" t="s">
        <v>124</v>
      </c>
      <c r="G468" s="1">
        <v>28</v>
      </c>
      <c r="H468" s="1">
        <v>3.28</v>
      </c>
      <c r="I468" s="1">
        <f t="shared" si="21"/>
        <v>91.839999999999989</v>
      </c>
      <c r="J468" t="str">
        <f t="shared" si="22"/>
        <v>Low</v>
      </c>
      <c r="K468" s="1"/>
      <c r="L468" s="1">
        <v>0.01</v>
      </c>
      <c r="M468" s="1">
        <v>3.97</v>
      </c>
      <c r="N468" s="1" t="s">
        <v>33</v>
      </c>
      <c r="O468" s="1" t="s">
        <v>55</v>
      </c>
      <c r="P468" s="2">
        <v>41717</v>
      </c>
      <c r="Q468" s="2" t="b">
        <f t="shared" si="23"/>
        <v>0</v>
      </c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</row>
    <row r="469" spans="1:35" ht="14.25" customHeight="1" x14ac:dyDescent="0.2">
      <c r="A469" s="1">
        <v>16676</v>
      </c>
      <c r="B469" s="1" t="s">
        <v>501</v>
      </c>
      <c r="C469" s="1" t="s">
        <v>30</v>
      </c>
      <c r="D469" s="2">
        <v>41717</v>
      </c>
      <c r="E469" s="1" t="s">
        <v>31</v>
      </c>
      <c r="F469" s="1" t="s">
        <v>662</v>
      </c>
      <c r="G469" s="1">
        <v>39</v>
      </c>
      <c r="H469" s="1">
        <v>28.99</v>
      </c>
      <c r="I469" s="1">
        <f t="shared" si="21"/>
        <v>1130.6099999999999</v>
      </c>
      <c r="J469" t="str">
        <f t="shared" si="22"/>
        <v>High</v>
      </c>
      <c r="K469" s="1"/>
      <c r="L469" s="1">
        <v>7.0000000000000007E-2</v>
      </c>
      <c r="M469" s="1">
        <v>8.59</v>
      </c>
      <c r="N469" s="1" t="s">
        <v>33</v>
      </c>
      <c r="O469" s="1" t="s">
        <v>72</v>
      </c>
      <c r="P469" s="2">
        <v>41717</v>
      </c>
      <c r="Q469" s="2" t="b">
        <f t="shared" si="23"/>
        <v>0</v>
      </c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</row>
    <row r="470" spans="1:35" ht="14.25" customHeight="1" x14ac:dyDescent="0.2">
      <c r="A470" s="1">
        <v>23429</v>
      </c>
      <c r="B470" s="1" t="s">
        <v>663</v>
      </c>
      <c r="C470" s="1" t="s">
        <v>30</v>
      </c>
      <c r="D470" s="2">
        <v>41717</v>
      </c>
      <c r="E470" s="1" t="s">
        <v>38</v>
      </c>
      <c r="F470" s="1" t="s">
        <v>664</v>
      </c>
      <c r="G470" s="1">
        <v>28</v>
      </c>
      <c r="H470" s="1">
        <v>5.34</v>
      </c>
      <c r="I470" s="1">
        <f t="shared" si="21"/>
        <v>149.51999999999998</v>
      </c>
      <c r="J470" t="str">
        <f t="shared" si="22"/>
        <v>Low</v>
      </c>
      <c r="K470" s="1"/>
      <c r="L470" s="1">
        <v>0.06</v>
      </c>
      <c r="M470" s="1">
        <v>5.63</v>
      </c>
      <c r="N470" s="1" t="s">
        <v>33</v>
      </c>
      <c r="O470" s="1" t="s">
        <v>34</v>
      </c>
      <c r="P470" s="2">
        <v>41717</v>
      </c>
      <c r="Q470" s="2" t="b">
        <f t="shared" si="23"/>
        <v>0</v>
      </c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</row>
    <row r="471" spans="1:35" ht="14.25" customHeight="1" x14ac:dyDescent="0.2">
      <c r="A471" s="1">
        <v>23429</v>
      </c>
      <c r="B471" s="1" t="s">
        <v>663</v>
      </c>
      <c r="C471" s="1" t="s">
        <v>30</v>
      </c>
      <c r="D471" s="2">
        <v>41717</v>
      </c>
      <c r="E471" s="1" t="s">
        <v>38</v>
      </c>
      <c r="F471" s="1" t="s">
        <v>665</v>
      </c>
      <c r="G471" s="1">
        <v>19</v>
      </c>
      <c r="H471" s="1">
        <v>65.989999999999995</v>
      </c>
      <c r="I471" s="1">
        <f t="shared" si="21"/>
        <v>1253.81</v>
      </c>
      <c r="J471" t="str">
        <f t="shared" si="22"/>
        <v>High</v>
      </c>
      <c r="K471" s="1"/>
      <c r="L471" s="1">
        <v>7.0000000000000007E-2</v>
      </c>
      <c r="M471" s="1">
        <v>5.26</v>
      </c>
      <c r="N471" s="1" t="s">
        <v>25</v>
      </c>
      <c r="O471" s="1" t="s">
        <v>34</v>
      </c>
      <c r="P471" s="2">
        <v>41719</v>
      </c>
      <c r="Q471" s="2" t="b">
        <f t="shared" si="23"/>
        <v>0</v>
      </c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</row>
    <row r="472" spans="1:35" ht="14.25" customHeight="1" x14ac:dyDescent="0.2">
      <c r="A472" s="1">
        <v>6116</v>
      </c>
      <c r="B472" s="1" t="s">
        <v>666</v>
      </c>
      <c r="C472" s="1" t="s">
        <v>21</v>
      </c>
      <c r="D472" s="2">
        <v>41718</v>
      </c>
      <c r="E472" s="1" t="s">
        <v>101</v>
      </c>
      <c r="F472" s="1" t="s">
        <v>667</v>
      </c>
      <c r="G472" s="1">
        <v>6</v>
      </c>
      <c r="H472" s="1">
        <v>1637.53</v>
      </c>
      <c r="I472" s="1">
        <f t="shared" si="21"/>
        <v>9825.18</v>
      </c>
      <c r="J472" t="str">
        <f t="shared" si="22"/>
        <v>High</v>
      </c>
      <c r="K472" s="1"/>
      <c r="L472" s="1">
        <v>0.04</v>
      </c>
      <c r="M472" s="1">
        <v>24.49</v>
      </c>
      <c r="N472" s="1" t="s">
        <v>33</v>
      </c>
      <c r="O472" s="1" t="s">
        <v>72</v>
      </c>
      <c r="P472" s="2">
        <v>41720</v>
      </c>
      <c r="Q472" s="2" t="b">
        <f t="shared" si="23"/>
        <v>0</v>
      </c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</row>
    <row r="473" spans="1:35" ht="14.25" customHeight="1" x14ac:dyDescent="0.2">
      <c r="A473" s="1">
        <v>2530</v>
      </c>
      <c r="B473" s="1" t="s">
        <v>169</v>
      </c>
      <c r="C473" s="1" t="s">
        <v>30</v>
      </c>
      <c r="D473" s="2">
        <v>41718</v>
      </c>
      <c r="E473" s="1" t="s">
        <v>101</v>
      </c>
      <c r="F473" s="1" t="s">
        <v>668</v>
      </c>
      <c r="G473" s="1">
        <v>9</v>
      </c>
      <c r="H473" s="1">
        <v>2.61</v>
      </c>
      <c r="I473" s="1">
        <f t="shared" si="21"/>
        <v>23.49</v>
      </c>
      <c r="J473" t="str">
        <f t="shared" si="22"/>
        <v>Low</v>
      </c>
      <c r="K473" s="1"/>
      <c r="L473" s="1">
        <v>0.06</v>
      </c>
      <c r="M473" s="1">
        <v>0.5</v>
      </c>
      <c r="N473" s="1" t="s">
        <v>33</v>
      </c>
      <c r="O473" s="1" t="s">
        <v>34</v>
      </c>
      <c r="P473" s="2">
        <v>41720</v>
      </c>
      <c r="Q473" s="2" t="b">
        <f t="shared" si="23"/>
        <v>0</v>
      </c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</row>
    <row r="474" spans="1:35" ht="14.25" customHeight="1" x14ac:dyDescent="0.2">
      <c r="A474" s="1">
        <v>38084</v>
      </c>
      <c r="B474" s="1" t="s">
        <v>669</v>
      </c>
      <c r="C474" s="1" t="s">
        <v>21</v>
      </c>
      <c r="D474" s="2">
        <v>41718</v>
      </c>
      <c r="E474" s="1" t="s">
        <v>22</v>
      </c>
      <c r="F474" s="1" t="s">
        <v>54</v>
      </c>
      <c r="G474" s="1">
        <v>11</v>
      </c>
      <c r="H474" s="1">
        <v>9.11</v>
      </c>
      <c r="I474" s="1">
        <f t="shared" si="21"/>
        <v>100.21</v>
      </c>
      <c r="J474" t="str">
        <f t="shared" si="22"/>
        <v>Low</v>
      </c>
      <c r="K474" s="1"/>
      <c r="L474" s="1">
        <v>0.02</v>
      </c>
      <c r="M474" s="1">
        <v>2.15</v>
      </c>
      <c r="N474" s="1" t="s">
        <v>33</v>
      </c>
      <c r="O474" s="1" t="s">
        <v>55</v>
      </c>
      <c r="P474" s="2">
        <v>41720</v>
      </c>
      <c r="Q474" s="2" t="b">
        <f t="shared" si="23"/>
        <v>0</v>
      </c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</row>
    <row r="475" spans="1:35" ht="14.25" customHeight="1" x14ac:dyDescent="0.2">
      <c r="A475" s="1">
        <v>38084</v>
      </c>
      <c r="B475" s="1" t="s">
        <v>669</v>
      </c>
      <c r="C475" s="1" t="s">
        <v>30</v>
      </c>
      <c r="D475" s="2">
        <v>41718</v>
      </c>
      <c r="E475" s="1" t="s">
        <v>22</v>
      </c>
      <c r="F475" s="1" t="s">
        <v>670</v>
      </c>
      <c r="G475" s="1">
        <v>33</v>
      </c>
      <c r="H475" s="1">
        <v>12.64</v>
      </c>
      <c r="I475" s="1">
        <f t="shared" si="21"/>
        <v>417.12</v>
      </c>
      <c r="J475" t="str">
        <f t="shared" si="22"/>
        <v>Low</v>
      </c>
      <c r="K475" s="1"/>
      <c r="L475" s="1">
        <v>0.06</v>
      </c>
      <c r="M475" s="1">
        <v>4.9800000000000004</v>
      </c>
      <c r="N475" s="1" t="s">
        <v>33</v>
      </c>
      <c r="O475" s="1" t="s">
        <v>84</v>
      </c>
      <c r="P475" s="2">
        <v>41720</v>
      </c>
      <c r="Q475" s="2" t="b">
        <f t="shared" si="23"/>
        <v>0</v>
      </c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</row>
    <row r="476" spans="1:35" ht="14.25" customHeight="1" x14ac:dyDescent="0.2">
      <c r="A476" s="1">
        <v>6116</v>
      </c>
      <c r="B476" s="1" t="s">
        <v>666</v>
      </c>
      <c r="C476" s="1" t="s">
        <v>51</v>
      </c>
      <c r="D476" s="2">
        <v>41718</v>
      </c>
      <c r="E476" s="1" t="s">
        <v>101</v>
      </c>
      <c r="F476" s="1" t="s">
        <v>671</v>
      </c>
      <c r="G476" s="1">
        <v>7</v>
      </c>
      <c r="H476" s="1">
        <v>19.98</v>
      </c>
      <c r="I476" s="1">
        <f t="shared" si="21"/>
        <v>139.86000000000001</v>
      </c>
      <c r="J476" t="str">
        <f t="shared" si="22"/>
        <v>Low</v>
      </c>
      <c r="K476" s="1"/>
      <c r="L476" s="1">
        <v>0.01</v>
      </c>
      <c r="M476" s="1">
        <v>4</v>
      </c>
      <c r="N476" s="1" t="s">
        <v>33</v>
      </c>
      <c r="O476" s="1" t="s">
        <v>34</v>
      </c>
      <c r="P476" s="2">
        <v>41718</v>
      </c>
      <c r="Q476" s="2" t="b">
        <f t="shared" si="23"/>
        <v>0</v>
      </c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</row>
    <row r="477" spans="1:35" ht="14.25" customHeight="1" x14ac:dyDescent="0.2">
      <c r="A477" s="1">
        <v>11077</v>
      </c>
      <c r="B477" s="1" t="s">
        <v>468</v>
      </c>
      <c r="C477" s="1" t="s">
        <v>21</v>
      </c>
      <c r="D477" s="2">
        <v>41718</v>
      </c>
      <c r="E477" s="1" t="s">
        <v>43</v>
      </c>
      <c r="F477" s="1" t="s">
        <v>672</v>
      </c>
      <c r="G477" s="1">
        <v>30</v>
      </c>
      <c r="H477" s="1">
        <v>160.97999999999999</v>
      </c>
      <c r="I477" s="1">
        <f t="shared" si="21"/>
        <v>4829.3999999999996</v>
      </c>
      <c r="J477" t="str">
        <f t="shared" si="22"/>
        <v>High</v>
      </c>
      <c r="K477" s="1"/>
      <c r="L477" s="1">
        <v>0.06</v>
      </c>
      <c r="M477" s="1">
        <v>35.020000000000003</v>
      </c>
      <c r="N477" s="1" t="s">
        <v>45</v>
      </c>
      <c r="O477" s="1" t="s">
        <v>63</v>
      </c>
      <c r="P477" s="2">
        <v>41722</v>
      </c>
      <c r="Q477" s="2" t="b">
        <f t="shared" si="23"/>
        <v>0</v>
      </c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</row>
    <row r="478" spans="1:35" ht="14.25" customHeight="1" x14ac:dyDescent="0.2">
      <c r="A478" s="1">
        <v>26470</v>
      </c>
      <c r="B478" s="1" t="s">
        <v>283</v>
      </c>
      <c r="C478" s="1" t="s">
        <v>30</v>
      </c>
      <c r="D478" s="2">
        <v>41719</v>
      </c>
      <c r="E478" s="1" t="s">
        <v>31</v>
      </c>
      <c r="F478" s="1" t="s">
        <v>347</v>
      </c>
      <c r="G478" s="1">
        <v>41</v>
      </c>
      <c r="H478" s="1">
        <v>420.98</v>
      </c>
      <c r="I478" s="1">
        <f t="shared" si="21"/>
        <v>17260.18</v>
      </c>
      <c r="J478" t="str">
        <f t="shared" si="22"/>
        <v>High</v>
      </c>
      <c r="K478" s="1"/>
      <c r="L478" s="1">
        <v>0.03</v>
      </c>
      <c r="M478" s="1">
        <v>19.989999999999998</v>
      </c>
      <c r="N478" s="1" t="s">
        <v>33</v>
      </c>
      <c r="O478" s="1" t="s">
        <v>34</v>
      </c>
      <c r="P478" s="2">
        <v>41720</v>
      </c>
      <c r="Q478" s="2" t="b">
        <f t="shared" si="23"/>
        <v>0</v>
      </c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</row>
    <row r="479" spans="1:35" ht="14.25" customHeight="1" x14ac:dyDescent="0.2">
      <c r="A479" s="1">
        <v>29766</v>
      </c>
      <c r="B479" s="1" t="s">
        <v>673</v>
      </c>
      <c r="C479" s="1" t="s">
        <v>51</v>
      </c>
      <c r="D479" s="2">
        <v>41719</v>
      </c>
      <c r="E479" s="1" t="s">
        <v>101</v>
      </c>
      <c r="F479" s="1" t="s">
        <v>134</v>
      </c>
      <c r="G479" s="1">
        <v>13</v>
      </c>
      <c r="H479" s="1">
        <v>6783.02</v>
      </c>
      <c r="I479" s="1">
        <f t="shared" si="21"/>
        <v>88179.260000000009</v>
      </c>
      <c r="J479" t="str">
        <f t="shared" si="22"/>
        <v>High</v>
      </c>
      <c r="K479" s="1"/>
      <c r="L479" s="1">
        <v>0</v>
      </c>
      <c r="M479" s="1">
        <v>24.49</v>
      </c>
      <c r="N479" s="1" t="s">
        <v>33</v>
      </c>
      <c r="O479" s="1" t="s">
        <v>26</v>
      </c>
      <c r="P479" s="2">
        <v>41720</v>
      </c>
      <c r="Q479" s="2" t="b">
        <f t="shared" si="23"/>
        <v>0</v>
      </c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</row>
    <row r="480" spans="1:35" ht="14.25" customHeight="1" x14ac:dyDescent="0.2">
      <c r="A480" s="1">
        <v>29766</v>
      </c>
      <c r="B480" s="1" t="s">
        <v>673</v>
      </c>
      <c r="C480" s="1" t="s">
        <v>30</v>
      </c>
      <c r="D480" s="2">
        <v>41719</v>
      </c>
      <c r="E480" s="1" t="s">
        <v>101</v>
      </c>
      <c r="F480" s="1" t="s">
        <v>441</v>
      </c>
      <c r="G480" s="1">
        <v>40</v>
      </c>
      <c r="H480" s="1">
        <v>205.99</v>
      </c>
      <c r="I480" s="1">
        <f t="shared" si="21"/>
        <v>8239.6</v>
      </c>
      <c r="J480" t="str">
        <f t="shared" si="22"/>
        <v>High</v>
      </c>
      <c r="K480" s="1"/>
      <c r="L480" s="1">
        <v>0.08</v>
      </c>
      <c r="M480" s="1">
        <v>8.99</v>
      </c>
      <c r="N480" s="1" t="s">
        <v>33</v>
      </c>
      <c r="O480" s="1" t="s">
        <v>34</v>
      </c>
      <c r="P480" s="2">
        <v>41719</v>
      </c>
      <c r="Q480" s="2" t="b">
        <f t="shared" si="23"/>
        <v>0</v>
      </c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</row>
    <row r="481" spans="1:35" ht="14.25" customHeight="1" x14ac:dyDescent="0.2">
      <c r="A481" s="1">
        <v>7719</v>
      </c>
      <c r="B481" s="1" t="s">
        <v>674</v>
      </c>
      <c r="C481" s="1" t="s">
        <v>51</v>
      </c>
      <c r="D481" s="2">
        <v>41719</v>
      </c>
      <c r="E481" s="1" t="s">
        <v>43</v>
      </c>
      <c r="F481" s="1" t="s">
        <v>675</v>
      </c>
      <c r="G481" s="1">
        <v>37</v>
      </c>
      <c r="H481" s="1">
        <v>13.48</v>
      </c>
      <c r="I481" s="1">
        <f t="shared" si="21"/>
        <v>498.76</v>
      </c>
      <c r="J481" t="str">
        <f t="shared" si="22"/>
        <v>Low</v>
      </c>
      <c r="K481" s="1"/>
      <c r="L481" s="1">
        <v>0.02</v>
      </c>
      <c r="M481" s="1">
        <v>4.51</v>
      </c>
      <c r="N481" s="1" t="s">
        <v>33</v>
      </c>
      <c r="O481" s="1" t="s">
        <v>34</v>
      </c>
      <c r="P481" s="2">
        <v>41721</v>
      </c>
      <c r="Q481" s="2" t="b">
        <f t="shared" si="23"/>
        <v>0</v>
      </c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</row>
    <row r="482" spans="1:35" ht="14.25" customHeight="1" x14ac:dyDescent="0.2">
      <c r="A482" s="1">
        <v>13825</v>
      </c>
      <c r="B482" s="1" t="s">
        <v>676</v>
      </c>
      <c r="C482" s="1" t="s">
        <v>51</v>
      </c>
      <c r="D482" s="2">
        <v>41719</v>
      </c>
      <c r="E482" s="1" t="s">
        <v>31</v>
      </c>
      <c r="F482" s="1" t="s">
        <v>677</v>
      </c>
      <c r="G482" s="1">
        <v>30</v>
      </c>
      <c r="H482" s="1">
        <v>6.48</v>
      </c>
      <c r="I482" s="1">
        <f t="shared" si="21"/>
        <v>194.4</v>
      </c>
      <c r="J482" t="str">
        <f t="shared" si="22"/>
        <v>Low</v>
      </c>
      <c r="K482" s="1"/>
      <c r="L482" s="1">
        <v>0.09</v>
      </c>
      <c r="M482" s="1">
        <v>6.35</v>
      </c>
      <c r="N482" s="1" t="s">
        <v>33</v>
      </c>
      <c r="O482" s="1" t="s">
        <v>34</v>
      </c>
      <c r="P482" s="2">
        <v>41720</v>
      </c>
      <c r="Q482" s="2" t="b">
        <f t="shared" si="23"/>
        <v>0</v>
      </c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</row>
    <row r="483" spans="1:35" ht="14.25" customHeight="1" x14ac:dyDescent="0.2">
      <c r="A483" s="1">
        <v>35744</v>
      </c>
      <c r="B483" s="1" t="s">
        <v>678</v>
      </c>
      <c r="C483" s="1" t="s">
        <v>51</v>
      </c>
      <c r="D483" s="2">
        <v>41719</v>
      </c>
      <c r="E483" s="1" t="s">
        <v>22</v>
      </c>
      <c r="F483" s="1" t="s">
        <v>679</v>
      </c>
      <c r="G483" s="1">
        <v>44</v>
      </c>
      <c r="H483" s="1">
        <v>55.94</v>
      </c>
      <c r="I483" s="1">
        <f t="shared" si="21"/>
        <v>2461.3599999999997</v>
      </c>
      <c r="J483" t="str">
        <f t="shared" si="22"/>
        <v>High</v>
      </c>
      <c r="K483" s="1"/>
      <c r="L483" s="1">
        <v>0.02</v>
      </c>
      <c r="M483" s="1">
        <v>6.55</v>
      </c>
      <c r="N483" s="1" t="s">
        <v>33</v>
      </c>
      <c r="O483" s="1" t="s">
        <v>34</v>
      </c>
      <c r="P483" s="2">
        <v>41721</v>
      </c>
      <c r="Q483" s="2" t="b">
        <f t="shared" si="23"/>
        <v>0</v>
      </c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</row>
    <row r="484" spans="1:35" ht="14.25" customHeight="1" x14ac:dyDescent="0.2">
      <c r="A484" s="1">
        <v>7136</v>
      </c>
      <c r="B484" s="1" t="s">
        <v>680</v>
      </c>
      <c r="C484" s="1" t="s">
        <v>51</v>
      </c>
      <c r="D484" s="2">
        <v>41720</v>
      </c>
      <c r="E484" s="1" t="s">
        <v>31</v>
      </c>
      <c r="F484" s="1" t="s">
        <v>499</v>
      </c>
      <c r="G484" s="1">
        <v>17</v>
      </c>
      <c r="H484" s="1">
        <v>39.479999999999997</v>
      </c>
      <c r="I484" s="1">
        <f t="shared" si="21"/>
        <v>671.16</v>
      </c>
      <c r="J484" t="str">
        <f t="shared" si="22"/>
        <v>Low</v>
      </c>
      <c r="K484" s="1"/>
      <c r="L484" s="1">
        <v>7.0000000000000007E-2</v>
      </c>
      <c r="M484" s="1">
        <v>1.99</v>
      </c>
      <c r="N484" s="1" t="s">
        <v>33</v>
      </c>
      <c r="O484" s="1" t="s">
        <v>84</v>
      </c>
      <c r="P484" s="2">
        <v>41722</v>
      </c>
      <c r="Q484" s="2" t="b">
        <f t="shared" si="23"/>
        <v>0</v>
      </c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</row>
    <row r="485" spans="1:35" ht="14.25" customHeight="1" x14ac:dyDescent="0.2">
      <c r="A485" s="1">
        <v>7136</v>
      </c>
      <c r="B485" s="1" t="s">
        <v>680</v>
      </c>
      <c r="C485" s="1" t="s">
        <v>51</v>
      </c>
      <c r="D485" s="2">
        <v>41720</v>
      </c>
      <c r="E485" s="1" t="s">
        <v>31</v>
      </c>
      <c r="F485" s="1" t="s">
        <v>392</v>
      </c>
      <c r="G485" s="1">
        <v>9</v>
      </c>
      <c r="H485" s="1">
        <v>4.91</v>
      </c>
      <c r="I485" s="1">
        <f t="shared" si="21"/>
        <v>44.19</v>
      </c>
      <c r="J485" t="str">
        <f t="shared" si="22"/>
        <v>Low</v>
      </c>
      <c r="K485" s="1"/>
      <c r="L485" s="1">
        <v>0</v>
      </c>
      <c r="M485" s="1">
        <v>0.5</v>
      </c>
      <c r="N485" s="1" t="s">
        <v>33</v>
      </c>
      <c r="O485" s="1" t="s">
        <v>34</v>
      </c>
      <c r="P485" s="2">
        <v>41722</v>
      </c>
      <c r="Q485" s="2" t="b">
        <f t="shared" si="23"/>
        <v>0</v>
      </c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</row>
    <row r="486" spans="1:35" ht="14.25" customHeight="1" x14ac:dyDescent="0.2">
      <c r="A486" s="1">
        <v>39301</v>
      </c>
      <c r="B486" s="1" t="s">
        <v>681</v>
      </c>
      <c r="C486" s="1" t="s">
        <v>51</v>
      </c>
      <c r="D486" s="2">
        <v>41720</v>
      </c>
      <c r="E486" s="1" t="s">
        <v>101</v>
      </c>
      <c r="F486" s="1" t="s">
        <v>682</v>
      </c>
      <c r="G486" s="1">
        <v>16</v>
      </c>
      <c r="H486" s="1">
        <v>152.47999999999999</v>
      </c>
      <c r="I486" s="1">
        <f t="shared" si="21"/>
        <v>2439.6799999999998</v>
      </c>
      <c r="J486" t="str">
        <f t="shared" si="22"/>
        <v>High</v>
      </c>
      <c r="K486" s="1"/>
      <c r="L486" s="1">
        <v>0.1</v>
      </c>
      <c r="M486" s="1">
        <v>4</v>
      </c>
      <c r="N486" s="1" t="s">
        <v>25</v>
      </c>
      <c r="O486" s="1" t="s">
        <v>34</v>
      </c>
      <c r="P486" s="2">
        <v>41721</v>
      </c>
      <c r="Q486" s="2" t="b">
        <f t="shared" si="23"/>
        <v>0</v>
      </c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</row>
    <row r="487" spans="1:35" ht="14.25" customHeight="1" x14ac:dyDescent="0.2">
      <c r="A487" s="1">
        <v>8257</v>
      </c>
      <c r="B487" s="1" t="s">
        <v>37</v>
      </c>
      <c r="C487" s="1" t="s">
        <v>21</v>
      </c>
      <c r="D487" s="2">
        <v>41720</v>
      </c>
      <c r="E487" s="1" t="s">
        <v>43</v>
      </c>
      <c r="F487" s="1" t="s">
        <v>683</v>
      </c>
      <c r="G487" s="1">
        <v>5</v>
      </c>
      <c r="H487" s="1">
        <v>1500.97</v>
      </c>
      <c r="I487" s="1">
        <f t="shared" si="21"/>
        <v>7504.85</v>
      </c>
      <c r="J487" t="str">
        <f t="shared" si="22"/>
        <v>High</v>
      </c>
      <c r="K487" s="1"/>
      <c r="L487" s="1">
        <v>0.05</v>
      </c>
      <c r="M487" s="1">
        <v>29.7</v>
      </c>
      <c r="N487" s="1" t="s">
        <v>45</v>
      </c>
      <c r="O487" s="1" t="s">
        <v>46</v>
      </c>
      <c r="P487" s="2">
        <v>41720</v>
      </c>
      <c r="Q487" s="2" t="b">
        <f t="shared" si="23"/>
        <v>0</v>
      </c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</row>
    <row r="488" spans="1:35" ht="14.25" customHeight="1" x14ac:dyDescent="0.2">
      <c r="A488" s="1">
        <v>8257</v>
      </c>
      <c r="B488" s="1" t="s">
        <v>37</v>
      </c>
      <c r="C488" s="1" t="s">
        <v>30</v>
      </c>
      <c r="D488" s="2">
        <v>41720</v>
      </c>
      <c r="E488" s="1" t="s">
        <v>43</v>
      </c>
      <c r="F488" s="1" t="s">
        <v>203</v>
      </c>
      <c r="G488" s="1">
        <v>18</v>
      </c>
      <c r="H488" s="1">
        <v>48.04</v>
      </c>
      <c r="I488" s="1">
        <f t="shared" si="21"/>
        <v>864.72</v>
      </c>
      <c r="J488" t="str">
        <f t="shared" si="22"/>
        <v>Low</v>
      </c>
      <c r="K488" s="1"/>
      <c r="L488" s="1">
        <v>0.02</v>
      </c>
      <c r="M488" s="1">
        <v>5.09</v>
      </c>
      <c r="N488" s="1" t="s">
        <v>33</v>
      </c>
      <c r="O488" s="1" t="s">
        <v>34</v>
      </c>
      <c r="P488" s="2">
        <v>41724</v>
      </c>
      <c r="Q488" s="2" t="b">
        <f t="shared" si="23"/>
        <v>0</v>
      </c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</row>
    <row r="489" spans="1:35" ht="14.25" customHeight="1" x14ac:dyDescent="0.2">
      <c r="A489" s="1">
        <v>8257</v>
      </c>
      <c r="B489" s="1" t="s">
        <v>37</v>
      </c>
      <c r="C489" s="1" t="s">
        <v>30</v>
      </c>
      <c r="D489" s="2">
        <v>41720</v>
      </c>
      <c r="E489" s="1" t="s">
        <v>43</v>
      </c>
      <c r="F489" s="1" t="s">
        <v>684</v>
      </c>
      <c r="G489" s="1">
        <v>5</v>
      </c>
      <c r="H489" s="1">
        <v>4.28</v>
      </c>
      <c r="I489" s="1">
        <f t="shared" si="21"/>
        <v>21.400000000000002</v>
      </c>
      <c r="J489" t="str">
        <f t="shared" si="22"/>
        <v>Low</v>
      </c>
      <c r="K489" s="1"/>
      <c r="L489" s="1">
        <v>0.03</v>
      </c>
      <c r="M489" s="1">
        <v>1.6</v>
      </c>
      <c r="N489" s="1" t="s">
        <v>33</v>
      </c>
      <c r="O489" s="1" t="s">
        <v>55</v>
      </c>
      <c r="P489" s="2">
        <v>41727</v>
      </c>
      <c r="Q489" s="2" t="b">
        <f t="shared" si="23"/>
        <v>0</v>
      </c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</row>
    <row r="490" spans="1:35" ht="14.25" customHeight="1" x14ac:dyDescent="0.2">
      <c r="A490" s="1">
        <v>55776</v>
      </c>
      <c r="B490" s="1" t="s">
        <v>685</v>
      </c>
      <c r="C490" s="1" t="s">
        <v>30</v>
      </c>
      <c r="D490" s="2">
        <v>41720</v>
      </c>
      <c r="E490" s="1" t="s">
        <v>22</v>
      </c>
      <c r="F490" s="1" t="s">
        <v>91</v>
      </c>
      <c r="G490" s="1">
        <v>32</v>
      </c>
      <c r="H490" s="1">
        <v>145.44999999999999</v>
      </c>
      <c r="I490" s="1">
        <f t="shared" si="21"/>
        <v>4654.3999999999996</v>
      </c>
      <c r="J490" t="str">
        <f t="shared" si="22"/>
        <v>High</v>
      </c>
      <c r="K490" s="1"/>
      <c r="L490" s="1">
        <v>0.01</v>
      </c>
      <c r="M490" s="1">
        <v>17.850000000000001</v>
      </c>
      <c r="N490" s="1" t="s">
        <v>45</v>
      </c>
      <c r="O490" s="1" t="s">
        <v>46</v>
      </c>
      <c r="P490" s="2">
        <v>41721</v>
      </c>
      <c r="Q490" s="2" t="b">
        <f t="shared" si="23"/>
        <v>0</v>
      </c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</row>
    <row r="491" spans="1:35" ht="14.25" customHeight="1" x14ac:dyDescent="0.2">
      <c r="A491" s="1">
        <v>13252</v>
      </c>
      <c r="B491" s="1" t="s">
        <v>686</v>
      </c>
      <c r="C491" s="1" t="s">
        <v>21</v>
      </c>
      <c r="D491" s="2">
        <v>41720</v>
      </c>
      <c r="E491" s="1" t="s">
        <v>22</v>
      </c>
      <c r="F491" s="1" t="s">
        <v>355</v>
      </c>
      <c r="G491" s="1">
        <v>44</v>
      </c>
      <c r="H491" s="1">
        <v>160.97999999999999</v>
      </c>
      <c r="I491" s="1">
        <f t="shared" si="21"/>
        <v>7083.12</v>
      </c>
      <c r="J491" t="str">
        <f t="shared" si="22"/>
        <v>High</v>
      </c>
      <c r="K491" s="1"/>
      <c r="L491" s="1">
        <v>0.03</v>
      </c>
      <c r="M491" s="1">
        <v>30</v>
      </c>
      <c r="N491" s="1" t="s">
        <v>45</v>
      </c>
      <c r="O491" s="1" t="s">
        <v>46</v>
      </c>
      <c r="P491" s="2">
        <v>41723</v>
      </c>
      <c r="Q491" s="2" t="b">
        <f t="shared" si="23"/>
        <v>0</v>
      </c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</row>
    <row r="492" spans="1:35" ht="14.25" customHeight="1" x14ac:dyDescent="0.2">
      <c r="A492" s="1">
        <v>13252</v>
      </c>
      <c r="B492" s="1" t="s">
        <v>686</v>
      </c>
      <c r="C492" s="1" t="s">
        <v>30</v>
      </c>
      <c r="D492" s="2">
        <v>41720</v>
      </c>
      <c r="E492" s="1" t="s">
        <v>22</v>
      </c>
      <c r="F492" s="1" t="s">
        <v>687</v>
      </c>
      <c r="G492" s="1">
        <v>39</v>
      </c>
      <c r="H492" s="1">
        <v>15.98</v>
      </c>
      <c r="I492" s="1">
        <f t="shared" si="21"/>
        <v>623.22</v>
      </c>
      <c r="J492" t="str">
        <f t="shared" si="22"/>
        <v>Low</v>
      </c>
      <c r="K492" s="1"/>
      <c r="L492" s="1">
        <v>0.09</v>
      </c>
      <c r="M492" s="1">
        <v>4</v>
      </c>
      <c r="N492" s="1" t="s">
        <v>33</v>
      </c>
      <c r="O492" s="1" t="s">
        <v>34</v>
      </c>
      <c r="P492" s="2">
        <v>41722</v>
      </c>
      <c r="Q492" s="2" t="b">
        <f t="shared" si="23"/>
        <v>0</v>
      </c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</row>
    <row r="493" spans="1:35" ht="14.25" customHeight="1" x14ac:dyDescent="0.2">
      <c r="A493" s="1">
        <v>48900</v>
      </c>
      <c r="B493" s="1" t="s">
        <v>688</v>
      </c>
      <c r="C493" s="1" t="s">
        <v>30</v>
      </c>
      <c r="D493" s="2">
        <v>41720</v>
      </c>
      <c r="E493" s="1" t="s">
        <v>22</v>
      </c>
      <c r="F493" s="1" t="s">
        <v>661</v>
      </c>
      <c r="G493" s="1">
        <v>27</v>
      </c>
      <c r="H493" s="1">
        <v>12.28</v>
      </c>
      <c r="I493" s="1">
        <f t="shared" si="21"/>
        <v>331.56</v>
      </c>
      <c r="J493" t="str">
        <f t="shared" si="22"/>
        <v>Low</v>
      </c>
      <c r="K493" s="1"/>
      <c r="L493" s="1">
        <v>0.03</v>
      </c>
      <c r="M493" s="1">
        <v>6.35</v>
      </c>
      <c r="N493" s="1" t="s">
        <v>33</v>
      </c>
      <c r="O493" s="1" t="s">
        <v>34</v>
      </c>
      <c r="P493" s="2">
        <v>41722</v>
      </c>
      <c r="Q493" s="2" t="b">
        <f t="shared" si="23"/>
        <v>0</v>
      </c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</row>
    <row r="494" spans="1:35" ht="14.25" customHeight="1" x14ac:dyDescent="0.2">
      <c r="A494" s="1">
        <v>48900</v>
      </c>
      <c r="B494" s="1" t="s">
        <v>688</v>
      </c>
      <c r="C494" s="1" t="s">
        <v>30</v>
      </c>
      <c r="D494" s="2">
        <v>41720</v>
      </c>
      <c r="E494" s="1" t="s">
        <v>22</v>
      </c>
      <c r="F494" s="1" t="s">
        <v>689</v>
      </c>
      <c r="G494" s="1">
        <v>42</v>
      </c>
      <c r="H494" s="1">
        <v>15.14</v>
      </c>
      <c r="I494" s="1">
        <f t="shared" si="21"/>
        <v>635.88</v>
      </c>
      <c r="J494" t="str">
        <f t="shared" si="22"/>
        <v>Low</v>
      </c>
      <c r="K494" s="1"/>
      <c r="L494" s="1">
        <v>0.08</v>
      </c>
      <c r="M494" s="1">
        <v>4.53</v>
      </c>
      <c r="N494" s="1" t="s">
        <v>33</v>
      </c>
      <c r="O494" s="1" t="s">
        <v>34</v>
      </c>
      <c r="P494" s="2">
        <v>41721</v>
      </c>
      <c r="Q494" s="2" t="b">
        <f t="shared" si="23"/>
        <v>0</v>
      </c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</row>
    <row r="495" spans="1:35" ht="14.25" customHeight="1" x14ac:dyDescent="0.2">
      <c r="A495" s="1">
        <v>39301</v>
      </c>
      <c r="B495" s="1" t="s">
        <v>681</v>
      </c>
      <c r="C495" s="1" t="s">
        <v>51</v>
      </c>
      <c r="D495" s="2">
        <v>41720</v>
      </c>
      <c r="E495" s="1" t="s">
        <v>101</v>
      </c>
      <c r="F495" s="1" t="s">
        <v>309</v>
      </c>
      <c r="G495" s="1">
        <v>4</v>
      </c>
      <c r="H495" s="1">
        <v>6.84</v>
      </c>
      <c r="I495" s="1">
        <f t="shared" si="21"/>
        <v>27.36</v>
      </c>
      <c r="J495" t="str">
        <f t="shared" si="22"/>
        <v>Low</v>
      </c>
      <c r="K495" s="1"/>
      <c r="L495" s="1">
        <v>0.08</v>
      </c>
      <c r="M495" s="1">
        <v>8.3699999999999992</v>
      </c>
      <c r="N495" s="1" t="s">
        <v>33</v>
      </c>
      <c r="O495" s="1" t="s">
        <v>84</v>
      </c>
      <c r="P495" s="2">
        <v>41722</v>
      </c>
      <c r="Q495" s="2" t="b">
        <f t="shared" si="23"/>
        <v>0</v>
      </c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</row>
    <row r="496" spans="1:35" ht="14.25" customHeight="1" x14ac:dyDescent="0.2">
      <c r="A496" s="1">
        <v>50338</v>
      </c>
      <c r="B496" s="1" t="s">
        <v>192</v>
      </c>
      <c r="C496" s="1" t="s">
        <v>51</v>
      </c>
      <c r="D496" s="2">
        <v>41721</v>
      </c>
      <c r="E496" s="1" t="s">
        <v>22</v>
      </c>
      <c r="F496" s="1" t="s">
        <v>433</v>
      </c>
      <c r="G496" s="1">
        <v>36</v>
      </c>
      <c r="H496" s="1">
        <v>13.99</v>
      </c>
      <c r="I496" s="1">
        <f t="shared" si="21"/>
        <v>503.64</v>
      </c>
      <c r="J496" t="str">
        <f t="shared" si="22"/>
        <v>Low</v>
      </c>
      <c r="K496" s="1"/>
      <c r="L496" s="1">
        <v>0</v>
      </c>
      <c r="M496" s="1">
        <v>7.51</v>
      </c>
      <c r="N496" s="1" t="s">
        <v>33</v>
      </c>
      <c r="O496" s="1" t="s">
        <v>72</v>
      </c>
      <c r="P496" s="2">
        <v>41723</v>
      </c>
      <c r="Q496" s="2" t="b">
        <f t="shared" si="23"/>
        <v>0</v>
      </c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</row>
    <row r="497" spans="1:35" ht="14.25" customHeight="1" x14ac:dyDescent="0.2">
      <c r="A497" s="1">
        <v>34017</v>
      </c>
      <c r="B497" s="1" t="s">
        <v>246</v>
      </c>
      <c r="C497" s="1" t="s">
        <v>21</v>
      </c>
      <c r="D497" s="2">
        <v>41721</v>
      </c>
      <c r="E497" s="1" t="s">
        <v>31</v>
      </c>
      <c r="F497" s="1" t="s">
        <v>690</v>
      </c>
      <c r="G497" s="1">
        <v>20</v>
      </c>
      <c r="H497" s="1">
        <v>4.84</v>
      </c>
      <c r="I497" s="1">
        <f t="shared" si="21"/>
        <v>96.8</v>
      </c>
      <c r="J497" t="str">
        <f t="shared" si="22"/>
        <v>Low</v>
      </c>
      <c r="K497" s="1"/>
      <c r="L497" s="1">
        <v>0.05</v>
      </c>
      <c r="M497" s="1">
        <v>0.71</v>
      </c>
      <c r="N497" s="1" t="s">
        <v>25</v>
      </c>
      <c r="O497" s="1" t="s">
        <v>55</v>
      </c>
      <c r="P497" s="2">
        <v>41721</v>
      </c>
      <c r="Q497" s="2" t="b">
        <f t="shared" si="23"/>
        <v>0</v>
      </c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</row>
    <row r="498" spans="1:35" ht="14.25" customHeight="1" x14ac:dyDescent="0.2">
      <c r="A498" s="1">
        <v>34017</v>
      </c>
      <c r="B498" s="1" t="s">
        <v>246</v>
      </c>
      <c r="C498" s="1" t="s">
        <v>21</v>
      </c>
      <c r="D498" s="2">
        <v>41721</v>
      </c>
      <c r="E498" s="1" t="s">
        <v>31</v>
      </c>
      <c r="F498" s="1" t="s">
        <v>691</v>
      </c>
      <c r="G498" s="1">
        <v>28</v>
      </c>
      <c r="H498" s="1">
        <v>14.98</v>
      </c>
      <c r="I498" s="1">
        <f t="shared" si="21"/>
        <v>419.44</v>
      </c>
      <c r="J498" t="str">
        <f t="shared" si="22"/>
        <v>Low</v>
      </c>
      <c r="K498" s="1"/>
      <c r="L498" s="1">
        <v>0.01</v>
      </c>
      <c r="M498" s="1">
        <v>7.69</v>
      </c>
      <c r="N498" s="1" t="s">
        <v>33</v>
      </c>
      <c r="O498" s="1" t="s">
        <v>34</v>
      </c>
      <c r="P498" s="2">
        <v>41723</v>
      </c>
      <c r="Q498" s="2" t="b">
        <f t="shared" si="23"/>
        <v>0</v>
      </c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</row>
    <row r="499" spans="1:35" ht="14.25" customHeight="1" x14ac:dyDescent="0.2">
      <c r="A499" s="1">
        <v>57382</v>
      </c>
      <c r="B499" s="1" t="s">
        <v>126</v>
      </c>
      <c r="C499" s="1" t="s">
        <v>21</v>
      </c>
      <c r="D499" s="2">
        <v>41721</v>
      </c>
      <c r="E499" s="1" t="s">
        <v>101</v>
      </c>
      <c r="F499" s="1" t="s">
        <v>692</v>
      </c>
      <c r="G499" s="1">
        <v>25</v>
      </c>
      <c r="H499" s="1">
        <v>4.55</v>
      </c>
      <c r="I499" s="1">
        <f t="shared" si="21"/>
        <v>113.75</v>
      </c>
      <c r="J499" t="str">
        <f t="shared" si="22"/>
        <v>Low</v>
      </c>
      <c r="K499" s="1"/>
      <c r="L499" s="1">
        <v>0.09</v>
      </c>
      <c r="M499" s="1">
        <v>1.49</v>
      </c>
      <c r="N499" s="1" t="s">
        <v>33</v>
      </c>
      <c r="O499" s="1" t="s">
        <v>34</v>
      </c>
      <c r="P499" s="2">
        <v>41723</v>
      </c>
      <c r="Q499" s="2" t="b">
        <f t="shared" si="23"/>
        <v>0</v>
      </c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</row>
    <row r="500" spans="1:35" ht="14.25" customHeight="1" x14ac:dyDescent="0.2">
      <c r="A500" s="1">
        <v>57382</v>
      </c>
      <c r="B500" s="1" t="s">
        <v>126</v>
      </c>
      <c r="C500" s="1" t="s">
        <v>51</v>
      </c>
      <c r="D500" s="2">
        <v>41721</v>
      </c>
      <c r="E500" s="1" t="s">
        <v>101</v>
      </c>
      <c r="F500" s="1" t="s">
        <v>574</v>
      </c>
      <c r="G500" s="1">
        <v>45</v>
      </c>
      <c r="H500" s="1">
        <v>9.7799999999999994</v>
      </c>
      <c r="I500" s="1">
        <f t="shared" si="21"/>
        <v>440.09999999999997</v>
      </c>
      <c r="J500" t="str">
        <f t="shared" si="22"/>
        <v>Low</v>
      </c>
      <c r="K500" s="1"/>
      <c r="L500" s="1">
        <v>7.0000000000000007E-2</v>
      </c>
      <c r="M500" s="1">
        <v>5.76</v>
      </c>
      <c r="N500" s="1" t="s">
        <v>25</v>
      </c>
      <c r="O500" s="1" t="s">
        <v>34</v>
      </c>
      <c r="P500" s="2">
        <v>41723</v>
      </c>
      <c r="Q500" s="2" t="b">
        <f t="shared" si="23"/>
        <v>0</v>
      </c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</row>
    <row r="501" spans="1:35" ht="14.25" customHeight="1" x14ac:dyDescent="0.2">
      <c r="A501" s="1">
        <v>43650</v>
      </c>
      <c r="B501" s="1" t="s">
        <v>693</v>
      </c>
      <c r="C501" s="1" t="s">
        <v>21</v>
      </c>
      <c r="D501" s="2">
        <v>41721</v>
      </c>
      <c r="E501" s="1" t="s">
        <v>22</v>
      </c>
      <c r="F501" s="1" t="s">
        <v>694</v>
      </c>
      <c r="G501" s="1">
        <v>3</v>
      </c>
      <c r="H501" s="1">
        <v>599.99</v>
      </c>
      <c r="I501" s="1">
        <f t="shared" si="21"/>
        <v>1799.97</v>
      </c>
      <c r="J501" t="str">
        <f t="shared" si="22"/>
        <v>High</v>
      </c>
      <c r="K501" s="1"/>
      <c r="L501" s="1">
        <v>0.06</v>
      </c>
      <c r="M501" s="1">
        <v>24.49</v>
      </c>
      <c r="N501" s="1" t="s">
        <v>33</v>
      </c>
      <c r="O501" s="1" t="s">
        <v>26</v>
      </c>
      <c r="P501" s="2">
        <v>41722</v>
      </c>
      <c r="Q501" s="2" t="b">
        <f t="shared" si="23"/>
        <v>0</v>
      </c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</row>
    <row r="502" spans="1:35" ht="14.25" customHeight="1" x14ac:dyDescent="0.2">
      <c r="A502" s="1">
        <v>43650</v>
      </c>
      <c r="B502" s="1" t="s">
        <v>693</v>
      </c>
      <c r="C502" s="1" t="s">
        <v>21</v>
      </c>
      <c r="D502" s="2">
        <v>41721</v>
      </c>
      <c r="E502" s="1" t="s">
        <v>22</v>
      </c>
      <c r="F502" s="1" t="s">
        <v>695</v>
      </c>
      <c r="G502" s="1">
        <v>7</v>
      </c>
      <c r="H502" s="1">
        <v>11.97</v>
      </c>
      <c r="I502" s="1">
        <f t="shared" si="21"/>
        <v>83.79</v>
      </c>
      <c r="J502" t="str">
        <f t="shared" si="22"/>
        <v>Low</v>
      </c>
      <c r="K502" s="1"/>
      <c r="L502" s="1">
        <v>0.05</v>
      </c>
      <c r="M502" s="1">
        <v>5.81</v>
      </c>
      <c r="N502" s="1" t="s">
        <v>33</v>
      </c>
      <c r="O502" s="1" t="s">
        <v>84</v>
      </c>
      <c r="P502" s="2">
        <v>41723</v>
      </c>
      <c r="Q502" s="2" t="b">
        <f t="shared" si="23"/>
        <v>0</v>
      </c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</row>
    <row r="503" spans="1:35" ht="14.25" customHeight="1" x14ac:dyDescent="0.2">
      <c r="A503" s="1">
        <v>32451</v>
      </c>
      <c r="B503" s="1" t="s">
        <v>696</v>
      </c>
      <c r="C503" s="1" t="s">
        <v>30</v>
      </c>
      <c r="D503" s="2">
        <v>41722</v>
      </c>
      <c r="E503" s="1" t="s">
        <v>22</v>
      </c>
      <c r="F503" s="1" t="s">
        <v>697</v>
      </c>
      <c r="G503" s="1">
        <v>42</v>
      </c>
      <c r="H503" s="1">
        <v>14.28</v>
      </c>
      <c r="I503" s="1">
        <f t="shared" si="21"/>
        <v>599.76</v>
      </c>
      <c r="J503" t="str">
        <f t="shared" si="22"/>
        <v>Low</v>
      </c>
      <c r="K503" s="1"/>
      <c r="L503" s="1">
        <v>0.1</v>
      </c>
      <c r="M503" s="1">
        <v>2.99</v>
      </c>
      <c r="N503" s="1" t="s">
        <v>33</v>
      </c>
      <c r="O503" s="1" t="s">
        <v>34</v>
      </c>
      <c r="P503" s="2">
        <v>41723</v>
      </c>
      <c r="Q503" s="2" t="b">
        <f t="shared" si="23"/>
        <v>0</v>
      </c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</row>
    <row r="504" spans="1:35" ht="14.25" customHeight="1" x14ac:dyDescent="0.2">
      <c r="A504" s="1">
        <v>57415</v>
      </c>
      <c r="B504" s="1" t="s">
        <v>698</v>
      </c>
      <c r="C504" s="1" t="s">
        <v>30</v>
      </c>
      <c r="D504" s="2">
        <v>41722</v>
      </c>
      <c r="E504" s="1" t="s">
        <v>101</v>
      </c>
      <c r="F504" s="1" t="s">
        <v>699</v>
      </c>
      <c r="G504" s="1">
        <v>6</v>
      </c>
      <c r="H504" s="1">
        <v>15.42</v>
      </c>
      <c r="I504" s="1">
        <f t="shared" si="21"/>
        <v>92.52</v>
      </c>
      <c r="J504" t="str">
        <f t="shared" si="22"/>
        <v>Low</v>
      </c>
      <c r="K504" s="1"/>
      <c r="L504" s="1">
        <v>0.02</v>
      </c>
      <c r="M504" s="1">
        <v>5.41</v>
      </c>
      <c r="N504" s="1" t="s">
        <v>33</v>
      </c>
      <c r="O504" s="1" t="s">
        <v>34</v>
      </c>
      <c r="P504" s="2">
        <v>41723</v>
      </c>
      <c r="Q504" s="2" t="b">
        <f t="shared" si="23"/>
        <v>0</v>
      </c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</row>
    <row r="505" spans="1:35" ht="14.25" customHeight="1" x14ac:dyDescent="0.2">
      <c r="A505" s="1">
        <v>38721</v>
      </c>
      <c r="B505" s="1" t="s">
        <v>700</v>
      </c>
      <c r="C505" s="1" t="s">
        <v>51</v>
      </c>
      <c r="D505" s="2">
        <v>41722</v>
      </c>
      <c r="E505" s="1" t="s">
        <v>38</v>
      </c>
      <c r="F505" s="1" t="s">
        <v>110</v>
      </c>
      <c r="G505" s="1">
        <v>17</v>
      </c>
      <c r="H505" s="1">
        <v>6.64</v>
      </c>
      <c r="I505" s="1">
        <f t="shared" si="21"/>
        <v>112.88</v>
      </c>
      <c r="J505" t="str">
        <f t="shared" si="22"/>
        <v>Low</v>
      </c>
      <c r="K505" s="1"/>
      <c r="L505" s="1">
        <v>0.1</v>
      </c>
      <c r="M505" s="1">
        <v>54.95</v>
      </c>
      <c r="N505" s="1" t="s">
        <v>33</v>
      </c>
      <c r="O505" s="1" t="s">
        <v>84</v>
      </c>
      <c r="P505" s="2">
        <v>41724</v>
      </c>
      <c r="Q505" s="2" t="b">
        <f t="shared" si="23"/>
        <v>0</v>
      </c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</row>
    <row r="506" spans="1:35" ht="14.25" customHeight="1" x14ac:dyDescent="0.2">
      <c r="A506" s="1">
        <v>38721</v>
      </c>
      <c r="B506" s="1" t="s">
        <v>700</v>
      </c>
      <c r="C506" s="1" t="s">
        <v>51</v>
      </c>
      <c r="D506" s="2">
        <v>41722</v>
      </c>
      <c r="E506" s="1" t="s">
        <v>38</v>
      </c>
      <c r="F506" s="1" t="s">
        <v>210</v>
      </c>
      <c r="G506" s="1">
        <v>15</v>
      </c>
      <c r="H506" s="1">
        <v>90.48</v>
      </c>
      <c r="I506" s="1">
        <f t="shared" si="21"/>
        <v>1357.2</v>
      </c>
      <c r="J506" t="str">
        <f t="shared" si="22"/>
        <v>High</v>
      </c>
      <c r="K506" s="1"/>
      <c r="L506" s="1">
        <v>0.05</v>
      </c>
      <c r="M506" s="1">
        <v>19.989999999999998</v>
      </c>
      <c r="N506" s="1" t="s">
        <v>33</v>
      </c>
      <c r="O506" s="1" t="s">
        <v>34</v>
      </c>
      <c r="P506" s="2">
        <v>41723</v>
      </c>
      <c r="Q506" s="2" t="b">
        <f t="shared" si="23"/>
        <v>0</v>
      </c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</row>
    <row r="507" spans="1:35" ht="14.25" customHeight="1" x14ac:dyDescent="0.2">
      <c r="A507" s="1">
        <v>58628</v>
      </c>
      <c r="B507" s="1" t="s">
        <v>701</v>
      </c>
      <c r="C507" s="1" t="s">
        <v>51</v>
      </c>
      <c r="D507" s="2">
        <v>41722</v>
      </c>
      <c r="E507" s="1" t="s">
        <v>101</v>
      </c>
      <c r="F507" s="1" t="s">
        <v>702</v>
      </c>
      <c r="G507" s="1">
        <v>23</v>
      </c>
      <c r="H507" s="1">
        <v>138.75</v>
      </c>
      <c r="I507" s="1">
        <f t="shared" si="21"/>
        <v>3191.25</v>
      </c>
      <c r="J507" t="str">
        <f t="shared" si="22"/>
        <v>High</v>
      </c>
      <c r="K507" s="1"/>
      <c r="L507" s="1">
        <v>0.09</v>
      </c>
      <c r="M507" s="1">
        <v>52.42</v>
      </c>
      <c r="N507" s="1" t="s">
        <v>45</v>
      </c>
      <c r="O507" s="1" t="s">
        <v>63</v>
      </c>
      <c r="P507" s="2">
        <v>41723</v>
      </c>
      <c r="Q507" s="2" t="b">
        <f t="shared" si="23"/>
        <v>0</v>
      </c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</row>
    <row r="508" spans="1:35" ht="14.25" customHeight="1" x14ac:dyDescent="0.2">
      <c r="A508" s="1">
        <v>37794</v>
      </c>
      <c r="B508" s="1" t="s">
        <v>703</v>
      </c>
      <c r="C508" s="1" t="s">
        <v>51</v>
      </c>
      <c r="D508" s="2">
        <v>41722</v>
      </c>
      <c r="E508" s="1" t="s">
        <v>43</v>
      </c>
      <c r="F508" s="1" t="s">
        <v>211</v>
      </c>
      <c r="G508" s="1">
        <v>6</v>
      </c>
      <c r="H508" s="1">
        <v>9.48</v>
      </c>
      <c r="I508" s="1">
        <f t="shared" si="21"/>
        <v>56.88</v>
      </c>
      <c r="J508" t="str">
        <f t="shared" si="22"/>
        <v>Low</v>
      </c>
      <c r="K508" s="1"/>
      <c r="L508" s="1">
        <v>0.08</v>
      </c>
      <c r="M508" s="1">
        <v>7.29</v>
      </c>
      <c r="N508" s="1" t="s">
        <v>33</v>
      </c>
      <c r="O508" s="1" t="s">
        <v>84</v>
      </c>
      <c r="P508" s="2">
        <v>41724</v>
      </c>
      <c r="Q508" s="2" t="b">
        <f t="shared" si="23"/>
        <v>0</v>
      </c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</row>
    <row r="509" spans="1:35" ht="14.25" customHeight="1" x14ac:dyDescent="0.2">
      <c r="A509" s="1">
        <v>37794</v>
      </c>
      <c r="B509" s="1" t="s">
        <v>703</v>
      </c>
      <c r="C509" s="1" t="s">
        <v>21</v>
      </c>
      <c r="D509" s="2">
        <v>41722</v>
      </c>
      <c r="E509" s="1" t="s">
        <v>43</v>
      </c>
      <c r="F509" s="1" t="s">
        <v>607</v>
      </c>
      <c r="G509" s="1">
        <v>32</v>
      </c>
      <c r="H509" s="1">
        <v>193.17</v>
      </c>
      <c r="I509" s="1">
        <f t="shared" si="21"/>
        <v>6181.44</v>
      </c>
      <c r="J509" t="str">
        <f t="shared" si="22"/>
        <v>High</v>
      </c>
      <c r="K509" s="1"/>
      <c r="L509" s="1">
        <v>0.03</v>
      </c>
      <c r="M509" s="1">
        <v>19.989999999999998</v>
      </c>
      <c r="N509" s="1" t="s">
        <v>33</v>
      </c>
      <c r="O509" s="1" t="s">
        <v>34</v>
      </c>
      <c r="P509" s="2">
        <v>41726</v>
      </c>
      <c r="Q509" s="2" t="b">
        <f t="shared" si="23"/>
        <v>0</v>
      </c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</row>
    <row r="510" spans="1:35" ht="14.25" customHeight="1" x14ac:dyDescent="0.2">
      <c r="A510" s="1">
        <v>38565</v>
      </c>
      <c r="B510" s="1" t="s">
        <v>492</v>
      </c>
      <c r="C510" s="1" t="s">
        <v>30</v>
      </c>
      <c r="D510" s="2">
        <v>41723</v>
      </c>
      <c r="E510" s="1" t="s">
        <v>38</v>
      </c>
      <c r="F510" s="1" t="s">
        <v>704</v>
      </c>
      <c r="G510" s="1">
        <v>20</v>
      </c>
      <c r="H510" s="1">
        <v>10.64</v>
      </c>
      <c r="I510" s="1">
        <f t="shared" si="21"/>
        <v>212.8</v>
      </c>
      <c r="J510" t="str">
        <f t="shared" si="22"/>
        <v>Low</v>
      </c>
      <c r="K510" s="1"/>
      <c r="L510" s="1">
        <v>0.01</v>
      </c>
      <c r="M510" s="1">
        <v>5.16</v>
      </c>
      <c r="N510" s="1" t="s">
        <v>25</v>
      </c>
      <c r="O510" s="1" t="s">
        <v>34</v>
      </c>
      <c r="P510" s="2">
        <v>41725</v>
      </c>
      <c r="Q510" s="2" t="b">
        <f t="shared" si="23"/>
        <v>0</v>
      </c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</row>
    <row r="511" spans="1:35" ht="14.25" customHeight="1" x14ac:dyDescent="0.2">
      <c r="A511" s="1">
        <v>1892</v>
      </c>
      <c r="B511" s="1" t="s">
        <v>705</v>
      </c>
      <c r="C511" s="1" t="s">
        <v>21</v>
      </c>
      <c r="D511" s="2">
        <v>41723</v>
      </c>
      <c r="E511" s="1" t="s">
        <v>43</v>
      </c>
      <c r="F511" s="1" t="s">
        <v>706</v>
      </c>
      <c r="G511" s="1">
        <v>47</v>
      </c>
      <c r="H511" s="1">
        <v>3.98</v>
      </c>
      <c r="I511" s="1">
        <f t="shared" si="21"/>
        <v>187.06</v>
      </c>
      <c r="J511" t="str">
        <f t="shared" si="22"/>
        <v>Low</v>
      </c>
      <c r="K511" s="1"/>
      <c r="L511" s="1">
        <v>0.05</v>
      </c>
      <c r="M511" s="1">
        <v>5.26</v>
      </c>
      <c r="N511" s="1" t="s">
        <v>33</v>
      </c>
      <c r="O511" s="1" t="s">
        <v>34</v>
      </c>
      <c r="P511" s="2">
        <v>41727</v>
      </c>
      <c r="Q511" s="2" t="b">
        <f t="shared" si="23"/>
        <v>0</v>
      </c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</row>
    <row r="512" spans="1:35" ht="14.25" customHeight="1" x14ac:dyDescent="0.2">
      <c r="A512" s="1">
        <v>1892</v>
      </c>
      <c r="B512" s="1" t="s">
        <v>705</v>
      </c>
      <c r="C512" s="1" t="s">
        <v>30</v>
      </c>
      <c r="D512" s="2">
        <v>41723</v>
      </c>
      <c r="E512" s="1" t="s">
        <v>43</v>
      </c>
      <c r="F512" s="1" t="s">
        <v>707</v>
      </c>
      <c r="G512" s="1">
        <v>9</v>
      </c>
      <c r="H512" s="1">
        <v>6.48</v>
      </c>
      <c r="I512" s="1">
        <f t="shared" si="21"/>
        <v>58.320000000000007</v>
      </c>
      <c r="J512" t="str">
        <f t="shared" si="22"/>
        <v>Low</v>
      </c>
      <c r="K512" s="1"/>
      <c r="L512" s="1">
        <v>0.01</v>
      </c>
      <c r="M512" s="1">
        <v>5.4</v>
      </c>
      <c r="N512" s="1" t="s">
        <v>33</v>
      </c>
      <c r="O512" s="1" t="s">
        <v>34</v>
      </c>
      <c r="P512" s="2">
        <v>41723</v>
      </c>
      <c r="Q512" s="2" t="b">
        <f t="shared" si="23"/>
        <v>0</v>
      </c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</row>
    <row r="513" spans="1:35" ht="14.25" customHeight="1" x14ac:dyDescent="0.2">
      <c r="A513" s="1">
        <v>51266</v>
      </c>
      <c r="B513" s="1" t="s">
        <v>391</v>
      </c>
      <c r="C513" s="1" t="s">
        <v>21</v>
      </c>
      <c r="D513" s="2">
        <v>41723</v>
      </c>
      <c r="E513" s="1" t="s">
        <v>22</v>
      </c>
      <c r="F513" s="1" t="s">
        <v>331</v>
      </c>
      <c r="G513" s="1">
        <v>11</v>
      </c>
      <c r="H513" s="1">
        <v>150.97999999999999</v>
      </c>
      <c r="I513" s="1">
        <f t="shared" si="21"/>
        <v>1660.78</v>
      </c>
      <c r="J513" t="str">
        <f t="shared" si="22"/>
        <v>High</v>
      </c>
      <c r="K513" s="1"/>
      <c r="L513" s="1">
        <v>0.04</v>
      </c>
      <c r="M513" s="1">
        <v>13.99</v>
      </c>
      <c r="N513" s="1" t="s">
        <v>33</v>
      </c>
      <c r="O513" s="1" t="s">
        <v>72</v>
      </c>
      <c r="P513" s="2">
        <v>41725</v>
      </c>
      <c r="Q513" s="2" t="b">
        <f t="shared" si="23"/>
        <v>0</v>
      </c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</row>
    <row r="514" spans="1:35" ht="14.25" customHeight="1" x14ac:dyDescent="0.2">
      <c r="A514" s="1">
        <v>51266</v>
      </c>
      <c r="B514" s="1" t="s">
        <v>391</v>
      </c>
      <c r="C514" s="1" t="s">
        <v>51</v>
      </c>
      <c r="D514" s="2">
        <v>41723</v>
      </c>
      <c r="E514" s="1" t="s">
        <v>22</v>
      </c>
      <c r="F514" s="1" t="s">
        <v>269</v>
      </c>
      <c r="G514" s="1">
        <v>30</v>
      </c>
      <c r="H514" s="1">
        <v>18.97</v>
      </c>
      <c r="I514" s="1">
        <f t="shared" ref="I514:I577" si="24">G514*H514</f>
        <v>569.09999999999991</v>
      </c>
      <c r="J514" t="str">
        <f t="shared" ref="J514:J577" si="25">IF(I514&lt;1000,"Low","High")</f>
        <v>Low</v>
      </c>
      <c r="K514" s="1"/>
      <c r="L514" s="1">
        <v>0.01</v>
      </c>
      <c r="M514" s="1">
        <v>9.0299999999999994</v>
      </c>
      <c r="N514" s="1" t="s">
        <v>33</v>
      </c>
      <c r="O514" s="1" t="s">
        <v>34</v>
      </c>
      <c r="P514" s="2">
        <v>41723</v>
      </c>
      <c r="Q514" s="2" t="b">
        <f t="shared" ref="Q514:Q577" si="26">AND(N514="Express Air",O514="Large Box")</f>
        <v>0</v>
      </c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</row>
    <row r="515" spans="1:35" ht="14.25" customHeight="1" x14ac:dyDescent="0.2">
      <c r="A515" s="1">
        <v>51266</v>
      </c>
      <c r="B515" s="1" t="s">
        <v>391</v>
      </c>
      <c r="C515" s="1" t="s">
        <v>30</v>
      </c>
      <c r="D515" s="2">
        <v>41723</v>
      </c>
      <c r="E515" s="1" t="s">
        <v>22</v>
      </c>
      <c r="F515" s="1" t="s">
        <v>708</v>
      </c>
      <c r="G515" s="1">
        <v>23</v>
      </c>
      <c r="H515" s="1">
        <v>12.28</v>
      </c>
      <c r="I515" s="1">
        <f t="shared" si="24"/>
        <v>282.44</v>
      </c>
      <c r="J515" t="str">
        <f t="shared" si="25"/>
        <v>Low</v>
      </c>
      <c r="K515" s="1"/>
      <c r="L515" s="1">
        <v>0.03</v>
      </c>
      <c r="M515" s="1">
        <v>4.8600000000000003</v>
      </c>
      <c r="N515" s="1" t="s">
        <v>33</v>
      </c>
      <c r="O515" s="1" t="s">
        <v>34</v>
      </c>
      <c r="P515" s="2">
        <v>41724</v>
      </c>
      <c r="Q515" s="2" t="b">
        <f t="shared" si="26"/>
        <v>0</v>
      </c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</row>
    <row r="516" spans="1:35" ht="14.25" customHeight="1" x14ac:dyDescent="0.2">
      <c r="A516" s="1">
        <v>51266</v>
      </c>
      <c r="B516" s="1" t="s">
        <v>391</v>
      </c>
      <c r="C516" s="1" t="s">
        <v>51</v>
      </c>
      <c r="D516" s="2">
        <v>41723</v>
      </c>
      <c r="E516" s="1" t="s">
        <v>22</v>
      </c>
      <c r="F516" s="1" t="s">
        <v>514</v>
      </c>
      <c r="G516" s="1">
        <v>46</v>
      </c>
      <c r="H516" s="1">
        <v>34.99</v>
      </c>
      <c r="I516" s="1">
        <f t="shared" si="24"/>
        <v>1609.5400000000002</v>
      </c>
      <c r="J516" t="str">
        <f t="shared" si="25"/>
        <v>High</v>
      </c>
      <c r="K516" s="1"/>
      <c r="L516" s="1">
        <v>0.05</v>
      </c>
      <c r="M516" s="1">
        <v>7.73</v>
      </c>
      <c r="N516" s="1" t="s">
        <v>25</v>
      </c>
      <c r="O516" s="1" t="s">
        <v>34</v>
      </c>
      <c r="P516" s="2">
        <v>41725</v>
      </c>
      <c r="Q516" s="2" t="b">
        <f t="shared" si="26"/>
        <v>0</v>
      </c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</row>
    <row r="517" spans="1:35" ht="14.25" customHeight="1" x14ac:dyDescent="0.2">
      <c r="A517" s="1">
        <v>323</v>
      </c>
      <c r="B517" s="1" t="s">
        <v>709</v>
      </c>
      <c r="C517" s="1" t="s">
        <v>51</v>
      </c>
      <c r="D517" s="2">
        <v>41723</v>
      </c>
      <c r="E517" s="1" t="s">
        <v>38</v>
      </c>
      <c r="F517" s="1" t="s">
        <v>483</v>
      </c>
      <c r="G517" s="1">
        <v>20</v>
      </c>
      <c r="H517" s="1">
        <v>5.68</v>
      </c>
      <c r="I517" s="1">
        <f t="shared" si="24"/>
        <v>113.6</v>
      </c>
      <c r="J517" t="str">
        <f t="shared" si="25"/>
        <v>Low</v>
      </c>
      <c r="K517" s="1"/>
      <c r="L517" s="1">
        <v>7.0000000000000007E-2</v>
      </c>
      <c r="M517" s="1">
        <v>1.39</v>
      </c>
      <c r="N517" s="1" t="s">
        <v>33</v>
      </c>
      <c r="O517" s="1" t="s">
        <v>34</v>
      </c>
      <c r="P517" s="2">
        <v>41725</v>
      </c>
      <c r="Q517" s="2" t="b">
        <f t="shared" si="26"/>
        <v>0</v>
      </c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</row>
    <row r="518" spans="1:35" ht="14.25" customHeight="1" x14ac:dyDescent="0.2">
      <c r="A518" s="1">
        <v>323</v>
      </c>
      <c r="B518" s="1" t="s">
        <v>709</v>
      </c>
      <c r="C518" s="1" t="s">
        <v>51</v>
      </c>
      <c r="D518" s="2">
        <v>41723</v>
      </c>
      <c r="E518" s="1" t="s">
        <v>38</v>
      </c>
      <c r="F518" s="1" t="s">
        <v>710</v>
      </c>
      <c r="G518" s="1">
        <v>2</v>
      </c>
      <c r="H518" s="1">
        <v>22.84</v>
      </c>
      <c r="I518" s="1">
        <f t="shared" si="24"/>
        <v>45.68</v>
      </c>
      <c r="J518" t="str">
        <f t="shared" si="25"/>
        <v>Low</v>
      </c>
      <c r="K518" s="1"/>
      <c r="L518" s="1">
        <v>0.06</v>
      </c>
      <c r="M518" s="1">
        <v>11.54</v>
      </c>
      <c r="N518" s="1" t="s">
        <v>33</v>
      </c>
      <c r="O518" s="1" t="s">
        <v>34</v>
      </c>
      <c r="P518" s="2">
        <v>41725</v>
      </c>
      <c r="Q518" s="2" t="b">
        <f t="shared" si="26"/>
        <v>0</v>
      </c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</row>
    <row r="519" spans="1:35" ht="14.25" customHeight="1" x14ac:dyDescent="0.2">
      <c r="A519" s="1">
        <v>10148</v>
      </c>
      <c r="B519" s="1" t="s">
        <v>711</v>
      </c>
      <c r="C519" s="1" t="s">
        <v>30</v>
      </c>
      <c r="D519" s="2">
        <v>41723</v>
      </c>
      <c r="E519" s="1" t="s">
        <v>43</v>
      </c>
      <c r="F519" s="1" t="s">
        <v>712</v>
      </c>
      <c r="G519" s="1">
        <v>27</v>
      </c>
      <c r="H519" s="1">
        <v>500.98</v>
      </c>
      <c r="I519" s="1">
        <f t="shared" si="24"/>
        <v>13526.460000000001</v>
      </c>
      <c r="J519" t="str">
        <f t="shared" si="25"/>
        <v>High</v>
      </c>
      <c r="K519" s="1"/>
      <c r="L519" s="1">
        <v>0.02</v>
      </c>
      <c r="M519" s="1">
        <v>41.44</v>
      </c>
      <c r="N519" s="1" t="s">
        <v>45</v>
      </c>
      <c r="O519" s="1" t="s">
        <v>63</v>
      </c>
      <c r="P519" s="2">
        <v>41723</v>
      </c>
      <c r="Q519" s="2" t="b">
        <f t="shared" si="26"/>
        <v>0</v>
      </c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</row>
    <row r="520" spans="1:35" ht="14.25" customHeight="1" x14ac:dyDescent="0.2">
      <c r="A520" s="1">
        <v>51554</v>
      </c>
      <c r="B520" s="1" t="s">
        <v>713</v>
      </c>
      <c r="C520" s="1" t="s">
        <v>51</v>
      </c>
      <c r="D520" s="2">
        <v>41724</v>
      </c>
      <c r="E520" s="1" t="s">
        <v>101</v>
      </c>
      <c r="F520" s="1" t="s">
        <v>642</v>
      </c>
      <c r="G520" s="1">
        <v>7</v>
      </c>
      <c r="H520" s="1">
        <v>68.81</v>
      </c>
      <c r="I520" s="1">
        <f t="shared" si="24"/>
        <v>481.67</v>
      </c>
      <c r="J520" t="str">
        <f t="shared" si="25"/>
        <v>Low</v>
      </c>
      <c r="K520" s="1"/>
      <c r="L520" s="1">
        <v>0.05</v>
      </c>
      <c r="M520" s="1">
        <v>60</v>
      </c>
      <c r="N520" s="1" t="s">
        <v>45</v>
      </c>
      <c r="O520" s="1" t="s">
        <v>46</v>
      </c>
      <c r="P520" s="2">
        <v>41726</v>
      </c>
      <c r="Q520" s="2" t="b">
        <f t="shared" si="26"/>
        <v>0</v>
      </c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</row>
    <row r="521" spans="1:35" ht="14.25" customHeight="1" x14ac:dyDescent="0.2">
      <c r="A521" s="1">
        <v>51554</v>
      </c>
      <c r="B521" s="1" t="s">
        <v>713</v>
      </c>
      <c r="C521" s="1" t="s">
        <v>21</v>
      </c>
      <c r="D521" s="2">
        <v>41724</v>
      </c>
      <c r="E521" s="1" t="s">
        <v>101</v>
      </c>
      <c r="F521" s="1" t="s">
        <v>714</v>
      </c>
      <c r="G521" s="1">
        <v>29</v>
      </c>
      <c r="H521" s="1">
        <v>20.89</v>
      </c>
      <c r="I521" s="1">
        <f t="shared" si="24"/>
        <v>605.81000000000006</v>
      </c>
      <c r="J521" t="str">
        <f t="shared" si="25"/>
        <v>Low</v>
      </c>
      <c r="K521" s="1"/>
      <c r="L521" s="1">
        <v>0.09</v>
      </c>
      <c r="M521" s="1">
        <v>11.52</v>
      </c>
      <c r="N521" s="1" t="s">
        <v>33</v>
      </c>
      <c r="O521" s="1" t="s">
        <v>34</v>
      </c>
      <c r="P521" s="2">
        <v>41725</v>
      </c>
      <c r="Q521" s="2" t="b">
        <f t="shared" si="26"/>
        <v>0</v>
      </c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</row>
    <row r="522" spans="1:35" ht="14.25" customHeight="1" x14ac:dyDescent="0.2">
      <c r="A522" s="1">
        <v>3653</v>
      </c>
      <c r="B522" s="1" t="s">
        <v>715</v>
      </c>
      <c r="C522" s="1" t="s">
        <v>30</v>
      </c>
      <c r="D522" s="2">
        <v>41724</v>
      </c>
      <c r="E522" s="1" t="s">
        <v>38</v>
      </c>
      <c r="F522" s="1" t="s">
        <v>716</v>
      </c>
      <c r="G522" s="1">
        <v>41</v>
      </c>
      <c r="H522" s="1">
        <v>6.68</v>
      </c>
      <c r="I522" s="1">
        <f t="shared" si="24"/>
        <v>273.88</v>
      </c>
      <c r="J522" t="str">
        <f t="shared" si="25"/>
        <v>Low</v>
      </c>
      <c r="K522" s="1"/>
      <c r="L522" s="1">
        <v>0.08</v>
      </c>
      <c r="M522" s="1">
        <v>1.5</v>
      </c>
      <c r="N522" s="1" t="s">
        <v>33</v>
      </c>
      <c r="O522" s="1" t="s">
        <v>55</v>
      </c>
      <c r="P522" s="2">
        <v>41726</v>
      </c>
      <c r="Q522" s="2" t="b">
        <f t="shared" si="26"/>
        <v>0</v>
      </c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</row>
    <row r="523" spans="1:35" ht="14.25" customHeight="1" x14ac:dyDescent="0.2">
      <c r="A523" s="1">
        <v>31174</v>
      </c>
      <c r="B523" s="1" t="s">
        <v>115</v>
      </c>
      <c r="C523" s="1" t="s">
        <v>51</v>
      </c>
      <c r="D523" s="2">
        <v>41724</v>
      </c>
      <c r="E523" s="1" t="s">
        <v>22</v>
      </c>
      <c r="F523" s="1" t="s">
        <v>717</v>
      </c>
      <c r="G523" s="1">
        <v>20</v>
      </c>
      <c r="H523" s="1">
        <v>225.04</v>
      </c>
      <c r="I523" s="1">
        <f t="shared" si="24"/>
        <v>4500.8</v>
      </c>
      <c r="J523" t="str">
        <f t="shared" si="25"/>
        <v>High</v>
      </c>
      <c r="K523" s="1"/>
      <c r="L523" s="1">
        <v>7.0000000000000007E-2</v>
      </c>
      <c r="M523" s="1">
        <v>11.79</v>
      </c>
      <c r="N523" s="1" t="s">
        <v>33</v>
      </c>
      <c r="O523" s="1" t="s">
        <v>72</v>
      </c>
      <c r="P523" s="2">
        <v>41724</v>
      </c>
      <c r="Q523" s="2" t="b">
        <f t="shared" si="26"/>
        <v>0</v>
      </c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</row>
    <row r="524" spans="1:35" ht="14.25" customHeight="1" x14ac:dyDescent="0.2">
      <c r="A524" s="1">
        <v>31174</v>
      </c>
      <c r="B524" s="1" t="s">
        <v>115</v>
      </c>
      <c r="C524" s="1" t="s">
        <v>30</v>
      </c>
      <c r="D524" s="2">
        <v>41724</v>
      </c>
      <c r="E524" s="1" t="s">
        <v>22</v>
      </c>
      <c r="F524" s="1" t="s">
        <v>284</v>
      </c>
      <c r="G524" s="1">
        <v>29</v>
      </c>
      <c r="H524" s="1">
        <v>7.84</v>
      </c>
      <c r="I524" s="1">
        <f t="shared" si="24"/>
        <v>227.35999999999999</v>
      </c>
      <c r="J524" t="str">
        <f t="shared" si="25"/>
        <v>Low</v>
      </c>
      <c r="K524" s="1"/>
      <c r="L524" s="1">
        <v>0.03</v>
      </c>
      <c r="M524" s="1">
        <v>4.71</v>
      </c>
      <c r="N524" s="1" t="s">
        <v>33</v>
      </c>
      <c r="O524" s="1" t="s">
        <v>34</v>
      </c>
      <c r="P524" s="2">
        <v>41727</v>
      </c>
      <c r="Q524" s="2" t="b">
        <f t="shared" si="26"/>
        <v>0</v>
      </c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</row>
    <row r="525" spans="1:35" ht="14.25" customHeight="1" x14ac:dyDescent="0.2">
      <c r="A525" s="1">
        <v>46407</v>
      </c>
      <c r="B525" s="1" t="s">
        <v>718</v>
      </c>
      <c r="C525" s="1" t="s">
        <v>51</v>
      </c>
      <c r="D525" s="2">
        <v>41724</v>
      </c>
      <c r="E525" s="1" t="s">
        <v>22</v>
      </c>
      <c r="F525" s="1" t="s">
        <v>340</v>
      </c>
      <c r="G525" s="1">
        <v>7</v>
      </c>
      <c r="H525" s="1">
        <v>5.18</v>
      </c>
      <c r="I525" s="1">
        <f t="shared" si="24"/>
        <v>36.26</v>
      </c>
      <c r="J525" t="str">
        <f t="shared" si="25"/>
        <v>Low</v>
      </c>
      <c r="K525" s="1"/>
      <c r="L525" s="1">
        <v>0.1</v>
      </c>
      <c r="M525" s="1">
        <v>5.74</v>
      </c>
      <c r="N525" s="1" t="s">
        <v>33</v>
      </c>
      <c r="O525" s="1" t="s">
        <v>34</v>
      </c>
      <c r="P525" s="2">
        <v>41726</v>
      </c>
      <c r="Q525" s="2" t="b">
        <f t="shared" si="26"/>
        <v>0</v>
      </c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</row>
    <row r="526" spans="1:35" ht="14.25" customHeight="1" x14ac:dyDescent="0.2">
      <c r="A526" s="1">
        <v>32869</v>
      </c>
      <c r="B526" s="1" t="s">
        <v>719</v>
      </c>
      <c r="C526" s="1" t="s">
        <v>51</v>
      </c>
      <c r="D526" s="2">
        <v>41725</v>
      </c>
      <c r="E526" s="1" t="s">
        <v>101</v>
      </c>
      <c r="F526" s="1" t="s">
        <v>647</v>
      </c>
      <c r="G526" s="1">
        <v>41</v>
      </c>
      <c r="H526" s="1">
        <v>8.1199999999999992</v>
      </c>
      <c r="I526" s="1">
        <f t="shared" si="24"/>
        <v>332.91999999999996</v>
      </c>
      <c r="J526" t="str">
        <f t="shared" si="25"/>
        <v>Low</v>
      </c>
      <c r="K526" s="1"/>
      <c r="L526" s="1">
        <v>0.06</v>
      </c>
      <c r="M526" s="1">
        <v>2.83</v>
      </c>
      <c r="N526" s="1" t="s">
        <v>33</v>
      </c>
      <c r="O526" s="1" t="s">
        <v>84</v>
      </c>
      <c r="P526" s="2">
        <v>41726</v>
      </c>
      <c r="Q526" s="2" t="b">
        <f t="shared" si="26"/>
        <v>0</v>
      </c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</row>
    <row r="527" spans="1:35" ht="14.25" customHeight="1" x14ac:dyDescent="0.2">
      <c r="A527" s="1">
        <v>32869</v>
      </c>
      <c r="B527" s="1" t="s">
        <v>719</v>
      </c>
      <c r="C527" s="1" t="s">
        <v>51</v>
      </c>
      <c r="D527" s="2">
        <v>41725</v>
      </c>
      <c r="E527" s="1" t="s">
        <v>101</v>
      </c>
      <c r="F527" s="1" t="s">
        <v>720</v>
      </c>
      <c r="G527" s="1">
        <v>49</v>
      </c>
      <c r="H527" s="1">
        <v>51.65</v>
      </c>
      <c r="I527" s="1">
        <f t="shared" si="24"/>
        <v>2530.85</v>
      </c>
      <c r="J527" t="str">
        <f t="shared" si="25"/>
        <v>High</v>
      </c>
      <c r="K527" s="1"/>
      <c r="L527" s="1">
        <v>0.05</v>
      </c>
      <c r="M527" s="1">
        <v>18.45</v>
      </c>
      <c r="N527" s="1" t="s">
        <v>33</v>
      </c>
      <c r="O527" s="1" t="s">
        <v>72</v>
      </c>
      <c r="P527" s="2">
        <v>41726</v>
      </c>
      <c r="Q527" s="2" t="b">
        <f t="shared" si="26"/>
        <v>0</v>
      </c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</row>
    <row r="528" spans="1:35" ht="14.25" customHeight="1" x14ac:dyDescent="0.2">
      <c r="A528" s="1">
        <v>32869</v>
      </c>
      <c r="B528" s="1" t="s">
        <v>719</v>
      </c>
      <c r="C528" s="1" t="s">
        <v>21</v>
      </c>
      <c r="D528" s="2">
        <v>41725</v>
      </c>
      <c r="E528" s="1" t="s">
        <v>101</v>
      </c>
      <c r="F528" s="1" t="s">
        <v>716</v>
      </c>
      <c r="G528" s="1">
        <v>2</v>
      </c>
      <c r="H528" s="1">
        <v>6.68</v>
      </c>
      <c r="I528" s="1">
        <f t="shared" si="24"/>
        <v>13.36</v>
      </c>
      <c r="J528" t="str">
        <f t="shared" si="25"/>
        <v>Low</v>
      </c>
      <c r="K528" s="1"/>
      <c r="L528" s="1">
        <v>0.01</v>
      </c>
      <c r="M528" s="1">
        <v>1.5</v>
      </c>
      <c r="N528" s="1" t="s">
        <v>33</v>
      </c>
      <c r="O528" s="1" t="s">
        <v>55</v>
      </c>
      <c r="P528" s="2">
        <v>41726</v>
      </c>
      <c r="Q528" s="2" t="b">
        <f t="shared" si="26"/>
        <v>0</v>
      </c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</row>
    <row r="529" spans="1:35" ht="14.25" customHeight="1" x14ac:dyDescent="0.2">
      <c r="A529" s="1">
        <v>32869</v>
      </c>
      <c r="B529" s="1" t="s">
        <v>719</v>
      </c>
      <c r="C529" s="1" t="s">
        <v>30</v>
      </c>
      <c r="D529" s="2">
        <v>41725</v>
      </c>
      <c r="E529" s="1" t="s">
        <v>101</v>
      </c>
      <c r="F529" s="1" t="s">
        <v>721</v>
      </c>
      <c r="G529" s="1">
        <v>39</v>
      </c>
      <c r="H529" s="1">
        <v>175.99</v>
      </c>
      <c r="I529" s="1">
        <f t="shared" si="24"/>
        <v>6863.6100000000006</v>
      </c>
      <c r="J529" t="str">
        <f t="shared" si="25"/>
        <v>High</v>
      </c>
      <c r="K529" s="1"/>
      <c r="L529" s="1">
        <v>0.1</v>
      </c>
      <c r="M529" s="1">
        <v>8.99</v>
      </c>
      <c r="N529" s="1" t="s">
        <v>33</v>
      </c>
      <c r="O529" s="1" t="s">
        <v>34</v>
      </c>
      <c r="P529" s="2">
        <v>41726</v>
      </c>
      <c r="Q529" s="2" t="b">
        <f t="shared" si="26"/>
        <v>0</v>
      </c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</row>
    <row r="530" spans="1:35" ht="14.25" customHeight="1" x14ac:dyDescent="0.2">
      <c r="A530" s="1">
        <v>50816</v>
      </c>
      <c r="B530" s="1" t="s">
        <v>400</v>
      </c>
      <c r="C530" s="1" t="s">
        <v>30</v>
      </c>
      <c r="D530" s="2">
        <v>41725</v>
      </c>
      <c r="E530" s="1" t="s">
        <v>31</v>
      </c>
      <c r="F530" s="1" t="s">
        <v>722</v>
      </c>
      <c r="G530" s="1">
        <v>25</v>
      </c>
      <c r="H530" s="1">
        <v>11.97</v>
      </c>
      <c r="I530" s="1">
        <f t="shared" si="24"/>
        <v>299.25</v>
      </c>
      <c r="J530" t="str">
        <f t="shared" si="25"/>
        <v>Low</v>
      </c>
      <c r="K530" s="1"/>
      <c r="L530" s="1">
        <v>7.0000000000000007E-2</v>
      </c>
      <c r="M530" s="1">
        <v>4.9800000000000004</v>
      </c>
      <c r="N530" s="1" t="s">
        <v>33</v>
      </c>
      <c r="O530" s="1" t="s">
        <v>34</v>
      </c>
      <c r="P530" s="2">
        <v>41727</v>
      </c>
      <c r="Q530" s="2" t="b">
        <f t="shared" si="26"/>
        <v>0</v>
      </c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</row>
    <row r="531" spans="1:35" ht="14.25" customHeight="1" x14ac:dyDescent="0.2">
      <c r="A531" s="1">
        <v>50816</v>
      </c>
      <c r="B531" s="1" t="s">
        <v>400</v>
      </c>
      <c r="C531" s="1" t="s">
        <v>51</v>
      </c>
      <c r="D531" s="2">
        <v>41725</v>
      </c>
      <c r="E531" s="1" t="s">
        <v>31</v>
      </c>
      <c r="F531" s="1" t="s">
        <v>723</v>
      </c>
      <c r="G531" s="1">
        <v>26</v>
      </c>
      <c r="H531" s="1">
        <v>28.53</v>
      </c>
      <c r="I531" s="1">
        <f t="shared" si="24"/>
        <v>741.78</v>
      </c>
      <c r="J531" t="str">
        <f t="shared" si="25"/>
        <v>Low</v>
      </c>
      <c r="K531" s="1"/>
      <c r="L531" s="1">
        <v>0.03</v>
      </c>
      <c r="M531" s="1">
        <v>1.49</v>
      </c>
      <c r="N531" s="1" t="s">
        <v>33</v>
      </c>
      <c r="O531" s="1" t="s">
        <v>34</v>
      </c>
      <c r="P531" s="2">
        <v>41727</v>
      </c>
      <c r="Q531" s="2" t="b">
        <f t="shared" si="26"/>
        <v>0</v>
      </c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</row>
    <row r="532" spans="1:35" ht="14.25" customHeight="1" x14ac:dyDescent="0.2">
      <c r="A532" s="1">
        <v>50816</v>
      </c>
      <c r="B532" s="1" t="s">
        <v>400</v>
      </c>
      <c r="C532" s="1" t="s">
        <v>51</v>
      </c>
      <c r="D532" s="2">
        <v>41725</v>
      </c>
      <c r="E532" s="1" t="s">
        <v>31</v>
      </c>
      <c r="F532" s="1" t="s">
        <v>724</v>
      </c>
      <c r="G532" s="1">
        <v>6</v>
      </c>
      <c r="H532" s="1">
        <v>15.28</v>
      </c>
      <c r="I532" s="1">
        <f t="shared" si="24"/>
        <v>91.679999999999993</v>
      </c>
      <c r="J532" t="str">
        <f t="shared" si="25"/>
        <v>Low</v>
      </c>
      <c r="K532" s="1"/>
      <c r="L532" s="1">
        <v>0.01</v>
      </c>
      <c r="M532" s="1">
        <v>1.99</v>
      </c>
      <c r="N532" s="1" t="s">
        <v>33</v>
      </c>
      <c r="O532" s="1" t="s">
        <v>84</v>
      </c>
      <c r="P532" s="2">
        <v>41727</v>
      </c>
      <c r="Q532" s="2" t="b">
        <f t="shared" si="26"/>
        <v>0</v>
      </c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</row>
    <row r="533" spans="1:35" ht="14.25" customHeight="1" x14ac:dyDescent="0.2">
      <c r="A533" s="1">
        <v>53953</v>
      </c>
      <c r="B533" s="1" t="s">
        <v>725</v>
      </c>
      <c r="C533" s="1" t="s">
        <v>30</v>
      </c>
      <c r="D533" s="2">
        <v>41725</v>
      </c>
      <c r="E533" s="1" t="s">
        <v>22</v>
      </c>
      <c r="F533" s="1" t="s">
        <v>726</v>
      </c>
      <c r="G533" s="1">
        <v>36</v>
      </c>
      <c r="H533" s="1">
        <v>8.9499999999999993</v>
      </c>
      <c r="I533" s="1">
        <f t="shared" si="24"/>
        <v>322.2</v>
      </c>
      <c r="J533" t="str">
        <f t="shared" si="25"/>
        <v>Low</v>
      </c>
      <c r="K533" s="1"/>
      <c r="L533" s="1">
        <v>7.0000000000000007E-2</v>
      </c>
      <c r="M533" s="1">
        <v>2.0099999999999998</v>
      </c>
      <c r="N533" s="1" t="s">
        <v>33</v>
      </c>
      <c r="O533" s="1" t="s">
        <v>55</v>
      </c>
      <c r="P533" s="2">
        <v>41726</v>
      </c>
      <c r="Q533" s="2" t="b">
        <f t="shared" si="26"/>
        <v>0</v>
      </c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</row>
    <row r="534" spans="1:35" ht="14.25" customHeight="1" x14ac:dyDescent="0.2">
      <c r="A534" s="1">
        <v>22562</v>
      </c>
      <c r="B534" s="1" t="s">
        <v>727</v>
      </c>
      <c r="C534" s="1" t="s">
        <v>21</v>
      </c>
      <c r="D534" s="2">
        <v>41725</v>
      </c>
      <c r="E534" s="1" t="s">
        <v>101</v>
      </c>
      <c r="F534" s="1" t="s">
        <v>74</v>
      </c>
      <c r="G534" s="1">
        <v>46</v>
      </c>
      <c r="H534" s="1">
        <v>213.45</v>
      </c>
      <c r="I534" s="1">
        <f t="shared" si="24"/>
        <v>9818.6999999999989</v>
      </c>
      <c r="J534" t="str">
        <f t="shared" si="25"/>
        <v>High</v>
      </c>
      <c r="K534" s="1"/>
      <c r="L534" s="1">
        <v>0.08</v>
      </c>
      <c r="M534" s="1">
        <v>14.7</v>
      </c>
      <c r="N534" s="1" t="s">
        <v>45</v>
      </c>
      <c r="O534" s="1" t="s">
        <v>46</v>
      </c>
      <c r="P534" s="2">
        <v>41727</v>
      </c>
      <c r="Q534" s="2" t="b">
        <f t="shared" si="26"/>
        <v>0</v>
      </c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</row>
    <row r="535" spans="1:35" ht="14.25" customHeight="1" x14ac:dyDescent="0.2">
      <c r="A535" s="1">
        <v>22562</v>
      </c>
      <c r="B535" s="1" t="s">
        <v>727</v>
      </c>
      <c r="C535" s="1" t="s">
        <v>51</v>
      </c>
      <c r="D535" s="2">
        <v>41725</v>
      </c>
      <c r="E535" s="1" t="s">
        <v>101</v>
      </c>
      <c r="F535" s="1" t="s">
        <v>728</v>
      </c>
      <c r="G535" s="1">
        <v>31</v>
      </c>
      <c r="H535" s="1">
        <v>55.98</v>
      </c>
      <c r="I535" s="1">
        <f t="shared" si="24"/>
        <v>1735.3799999999999</v>
      </c>
      <c r="J535" t="str">
        <f t="shared" si="25"/>
        <v>High</v>
      </c>
      <c r="K535" s="1"/>
      <c r="L535" s="1">
        <v>0.1</v>
      </c>
      <c r="M535" s="1">
        <v>13.88</v>
      </c>
      <c r="N535" s="1" t="s">
        <v>33</v>
      </c>
      <c r="O535" s="1" t="s">
        <v>34</v>
      </c>
      <c r="P535" s="2">
        <v>41727</v>
      </c>
      <c r="Q535" s="2" t="b">
        <f t="shared" si="26"/>
        <v>0</v>
      </c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</row>
    <row r="536" spans="1:35" ht="14.25" customHeight="1" x14ac:dyDescent="0.2">
      <c r="A536" s="1">
        <v>22562</v>
      </c>
      <c r="B536" s="1" t="s">
        <v>727</v>
      </c>
      <c r="C536" s="1" t="s">
        <v>51</v>
      </c>
      <c r="D536" s="2">
        <v>41725</v>
      </c>
      <c r="E536" s="1" t="s">
        <v>101</v>
      </c>
      <c r="F536" s="1" t="s">
        <v>729</v>
      </c>
      <c r="G536" s="1">
        <v>3</v>
      </c>
      <c r="H536" s="1">
        <v>16.059999999999999</v>
      </c>
      <c r="I536" s="1">
        <f t="shared" si="24"/>
        <v>48.179999999999993</v>
      </c>
      <c r="J536" t="str">
        <f t="shared" si="25"/>
        <v>Low</v>
      </c>
      <c r="K536" s="1"/>
      <c r="L536" s="1">
        <v>0</v>
      </c>
      <c r="M536" s="1">
        <v>8.34</v>
      </c>
      <c r="N536" s="1" t="s">
        <v>33</v>
      </c>
      <c r="O536" s="1" t="s">
        <v>34</v>
      </c>
      <c r="P536" s="2">
        <v>41726</v>
      </c>
      <c r="Q536" s="2" t="b">
        <f t="shared" si="26"/>
        <v>0</v>
      </c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</row>
    <row r="537" spans="1:35" ht="14.25" customHeight="1" x14ac:dyDescent="0.2">
      <c r="A537" s="1">
        <v>33319</v>
      </c>
      <c r="B537" s="1" t="s">
        <v>730</v>
      </c>
      <c r="C537" s="1" t="s">
        <v>30</v>
      </c>
      <c r="D537" s="2">
        <v>41725</v>
      </c>
      <c r="E537" s="1" t="s">
        <v>22</v>
      </c>
      <c r="F537" s="1" t="s">
        <v>731</v>
      </c>
      <c r="G537" s="1">
        <v>11</v>
      </c>
      <c r="H537" s="1">
        <v>150.88999999999999</v>
      </c>
      <c r="I537" s="1">
        <f t="shared" si="24"/>
        <v>1659.79</v>
      </c>
      <c r="J537" t="str">
        <f t="shared" si="25"/>
        <v>High</v>
      </c>
      <c r="K537" s="1"/>
      <c r="L537" s="1">
        <v>0.01</v>
      </c>
      <c r="M537" s="1">
        <v>60.2</v>
      </c>
      <c r="N537" s="1" t="s">
        <v>45</v>
      </c>
      <c r="O537" s="1" t="s">
        <v>46</v>
      </c>
      <c r="P537" s="2">
        <v>41728</v>
      </c>
      <c r="Q537" s="2" t="b">
        <f t="shared" si="26"/>
        <v>0</v>
      </c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</row>
    <row r="538" spans="1:35" ht="14.25" customHeight="1" x14ac:dyDescent="0.2">
      <c r="A538" s="1">
        <v>21633</v>
      </c>
      <c r="B538" s="1" t="s">
        <v>545</v>
      </c>
      <c r="C538" s="1" t="s">
        <v>51</v>
      </c>
      <c r="D538" s="2">
        <v>41725</v>
      </c>
      <c r="E538" s="1" t="s">
        <v>101</v>
      </c>
      <c r="F538" s="1" t="s">
        <v>732</v>
      </c>
      <c r="G538" s="1">
        <v>29</v>
      </c>
      <c r="H538" s="1">
        <v>18.7</v>
      </c>
      <c r="I538" s="1">
        <f t="shared" si="24"/>
        <v>542.29999999999995</v>
      </c>
      <c r="J538" t="str">
        <f t="shared" si="25"/>
        <v>Low</v>
      </c>
      <c r="K538" s="1"/>
      <c r="L538" s="1">
        <v>0.08</v>
      </c>
      <c r="M538" s="1">
        <v>8.99</v>
      </c>
      <c r="N538" s="1" t="s">
        <v>33</v>
      </c>
      <c r="O538" s="1" t="s">
        <v>84</v>
      </c>
      <c r="P538" s="2">
        <v>41726</v>
      </c>
      <c r="Q538" s="2" t="b">
        <f t="shared" si="26"/>
        <v>0</v>
      </c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</row>
    <row r="539" spans="1:35" ht="14.25" customHeight="1" x14ac:dyDescent="0.2">
      <c r="A539" s="1">
        <v>28354</v>
      </c>
      <c r="B539" s="1" t="s">
        <v>733</v>
      </c>
      <c r="C539" s="1" t="s">
        <v>51</v>
      </c>
      <c r="D539" s="2">
        <v>41725</v>
      </c>
      <c r="E539" s="1" t="s">
        <v>43</v>
      </c>
      <c r="F539" s="1" t="s">
        <v>687</v>
      </c>
      <c r="G539" s="1">
        <v>34</v>
      </c>
      <c r="H539" s="1">
        <v>15.98</v>
      </c>
      <c r="I539" s="1">
        <f t="shared" si="24"/>
        <v>543.32000000000005</v>
      </c>
      <c r="J539" t="str">
        <f t="shared" si="25"/>
        <v>Low</v>
      </c>
      <c r="K539" s="1"/>
      <c r="L539" s="1">
        <v>0.1</v>
      </c>
      <c r="M539" s="1">
        <v>4</v>
      </c>
      <c r="N539" s="1" t="s">
        <v>33</v>
      </c>
      <c r="O539" s="1" t="s">
        <v>34</v>
      </c>
      <c r="P539" s="2">
        <v>41730</v>
      </c>
      <c r="Q539" s="2" t="b">
        <f t="shared" si="26"/>
        <v>0</v>
      </c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</row>
    <row r="540" spans="1:35" ht="14.25" customHeight="1" x14ac:dyDescent="0.2">
      <c r="A540" s="1">
        <v>39750</v>
      </c>
      <c r="B540" s="1" t="s">
        <v>513</v>
      </c>
      <c r="C540" s="1" t="s">
        <v>30</v>
      </c>
      <c r="D540" s="2">
        <v>41725</v>
      </c>
      <c r="E540" s="1" t="s">
        <v>31</v>
      </c>
      <c r="F540" s="1" t="s">
        <v>734</v>
      </c>
      <c r="G540" s="1">
        <v>7</v>
      </c>
      <c r="H540" s="1">
        <v>17.98</v>
      </c>
      <c r="I540" s="1">
        <f t="shared" si="24"/>
        <v>125.86</v>
      </c>
      <c r="J540" t="str">
        <f t="shared" si="25"/>
        <v>Low</v>
      </c>
      <c r="K540" s="1"/>
      <c r="L540" s="1">
        <v>0.01</v>
      </c>
      <c r="M540" s="1">
        <v>8.51</v>
      </c>
      <c r="N540" s="1" t="s">
        <v>33</v>
      </c>
      <c r="O540" s="1" t="s">
        <v>72</v>
      </c>
      <c r="P540" s="2">
        <v>41726</v>
      </c>
      <c r="Q540" s="2" t="b">
        <f t="shared" si="26"/>
        <v>0</v>
      </c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</row>
    <row r="541" spans="1:35" ht="14.25" customHeight="1" x14ac:dyDescent="0.2">
      <c r="A541" s="1">
        <v>9478</v>
      </c>
      <c r="B541" s="1" t="s">
        <v>735</v>
      </c>
      <c r="C541" s="1" t="s">
        <v>51</v>
      </c>
      <c r="D541" s="2">
        <v>41726</v>
      </c>
      <c r="E541" s="1" t="s">
        <v>31</v>
      </c>
      <c r="F541" s="1" t="s">
        <v>736</v>
      </c>
      <c r="G541" s="1">
        <v>48</v>
      </c>
      <c r="H541" s="1">
        <v>10.4</v>
      </c>
      <c r="I541" s="1">
        <f t="shared" si="24"/>
        <v>499.20000000000005</v>
      </c>
      <c r="J541" t="str">
        <f t="shared" si="25"/>
        <v>Low</v>
      </c>
      <c r="K541" s="1"/>
      <c r="L541" s="1">
        <v>0.04</v>
      </c>
      <c r="M541" s="1">
        <v>5.4</v>
      </c>
      <c r="N541" s="1" t="s">
        <v>33</v>
      </c>
      <c r="O541" s="1" t="s">
        <v>84</v>
      </c>
      <c r="P541" s="2">
        <v>41727</v>
      </c>
      <c r="Q541" s="2" t="b">
        <f t="shared" si="26"/>
        <v>0</v>
      </c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</row>
    <row r="542" spans="1:35" ht="14.25" customHeight="1" x14ac:dyDescent="0.2">
      <c r="A542" s="1">
        <v>9478</v>
      </c>
      <c r="B542" s="1" t="s">
        <v>735</v>
      </c>
      <c r="C542" s="1" t="s">
        <v>30</v>
      </c>
      <c r="D542" s="2">
        <v>41726</v>
      </c>
      <c r="E542" s="1" t="s">
        <v>31</v>
      </c>
      <c r="F542" s="1" t="s">
        <v>737</v>
      </c>
      <c r="G542" s="1">
        <v>48</v>
      </c>
      <c r="H542" s="1">
        <v>4.28</v>
      </c>
      <c r="I542" s="1">
        <f t="shared" si="24"/>
        <v>205.44</v>
      </c>
      <c r="J542" t="str">
        <f t="shared" si="25"/>
        <v>Low</v>
      </c>
      <c r="K542" s="1"/>
      <c r="L542" s="1">
        <v>0.08</v>
      </c>
      <c r="M542" s="1">
        <v>4.79</v>
      </c>
      <c r="N542" s="1" t="s">
        <v>33</v>
      </c>
      <c r="O542" s="1" t="s">
        <v>34</v>
      </c>
      <c r="P542" s="2">
        <v>41728</v>
      </c>
      <c r="Q542" s="2" t="b">
        <f t="shared" si="26"/>
        <v>0</v>
      </c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</row>
    <row r="543" spans="1:35" ht="14.25" customHeight="1" x14ac:dyDescent="0.2">
      <c r="A543" s="1">
        <v>48357</v>
      </c>
      <c r="B543" s="1" t="s">
        <v>738</v>
      </c>
      <c r="C543" s="1" t="s">
        <v>30</v>
      </c>
      <c r="D543" s="2">
        <v>41726</v>
      </c>
      <c r="E543" s="1" t="s">
        <v>22</v>
      </c>
      <c r="F543" s="1" t="s">
        <v>331</v>
      </c>
      <c r="G543" s="1">
        <v>16</v>
      </c>
      <c r="H543" s="1">
        <v>150.97999999999999</v>
      </c>
      <c r="I543" s="1">
        <f t="shared" si="24"/>
        <v>2415.6799999999998</v>
      </c>
      <c r="J543" t="str">
        <f t="shared" si="25"/>
        <v>High</v>
      </c>
      <c r="K543" s="1"/>
      <c r="L543" s="1">
        <v>0.04</v>
      </c>
      <c r="M543" s="1">
        <v>13.99</v>
      </c>
      <c r="N543" s="1" t="s">
        <v>33</v>
      </c>
      <c r="O543" s="1" t="s">
        <v>72</v>
      </c>
      <c r="P543" s="2">
        <v>41726</v>
      </c>
      <c r="Q543" s="2" t="b">
        <f t="shared" si="26"/>
        <v>0</v>
      </c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</row>
    <row r="544" spans="1:35" ht="14.25" customHeight="1" x14ac:dyDescent="0.2">
      <c r="A544" s="1">
        <v>52576</v>
      </c>
      <c r="B544" s="1" t="s">
        <v>674</v>
      </c>
      <c r="C544" s="1" t="s">
        <v>51</v>
      </c>
      <c r="D544" s="2">
        <v>41726</v>
      </c>
      <c r="E544" s="1" t="s">
        <v>43</v>
      </c>
      <c r="F544" s="1" t="s">
        <v>558</v>
      </c>
      <c r="G544" s="1">
        <v>10</v>
      </c>
      <c r="H544" s="1">
        <v>90.97</v>
      </c>
      <c r="I544" s="1">
        <f t="shared" si="24"/>
        <v>909.7</v>
      </c>
      <c r="J544" t="str">
        <f t="shared" si="25"/>
        <v>Low</v>
      </c>
      <c r="K544" s="1"/>
      <c r="L544" s="1">
        <v>0.03</v>
      </c>
      <c r="M544" s="1">
        <v>14</v>
      </c>
      <c r="N544" s="1" t="s">
        <v>45</v>
      </c>
      <c r="O544" s="1" t="s">
        <v>46</v>
      </c>
      <c r="P544" s="2">
        <v>41726</v>
      </c>
      <c r="Q544" s="2" t="b">
        <f t="shared" si="26"/>
        <v>0</v>
      </c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</row>
    <row r="545" spans="1:35" ht="14.25" customHeight="1" x14ac:dyDescent="0.2">
      <c r="A545" s="1">
        <v>4516</v>
      </c>
      <c r="B545" s="1" t="s">
        <v>739</v>
      </c>
      <c r="C545" s="1" t="s">
        <v>21</v>
      </c>
      <c r="D545" s="2">
        <v>41726</v>
      </c>
      <c r="E545" s="1" t="s">
        <v>101</v>
      </c>
      <c r="F545" s="1" t="s">
        <v>394</v>
      </c>
      <c r="G545" s="1">
        <v>42</v>
      </c>
      <c r="H545" s="1">
        <v>6.68</v>
      </c>
      <c r="I545" s="1">
        <f t="shared" si="24"/>
        <v>280.56</v>
      </c>
      <c r="J545" t="str">
        <f t="shared" si="25"/>
        <v>Low</v>
      </c>
      <c r="K545" s="1"/>
      <c r="L545" s="1">
        <v>0.05</v>
      </c>
      <c r="M545" s="1">
        <v>6.93</v>
      </c>
      <c r="N545" s="1" t="s">
        <v>33</v>
      </c>
      <c r="O545" s="1" t="s">
        <v>34</v>
      </c>
      <c r="P545" s="2">
        <v>41727</v>
      </c>
      <c r="Q545" s="2" t="b">
        <f t="shared" si="26"/>
        <v>0</v>
      </c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</row>
    <row r="546" spans="1:35" ht="14.25" customHeight="1" x14ac:dyDescent="0.2">
      <c r="A546" s="1">
        <v>58116</v>
      </c>
      <c r="B546" s="1" t="s">
        <v>411</v>
      </c>
      <c r="C546" s="1" t="s">
        <v>51</v>
      </c>
      <c r="D546" s="2">
        <v>41726</v>
      </c>
      <c r="E546" s="1" t="s">
        <v>38</v>
      </c>
      <c r="F546" s="1" t="s">
        <v>332</v>
      </c>
      <c r="G546" s="1">
        <v>6</v>
      </c>
      <c r="H546" s="1">
        <v>25.98</v>
      </c>
      <c r="I546" s="1">
        <f t="shared" si="24"/>
        <v>155.88</v>
      </c>
      <c r="J546" t="str">
        <f t="shared" si="25"/>
        <v>Low</v>
      </c>
      <c r="K546" s="1"/>
      <c r="L546" s="1">
        <v>0.01</v>
      </c>
      <c r="M546" s="1">
        <v>14.36</v>
      </c>
      <c r="N546" s="1" t="s">
        <v>45</v>
      </c>
      <c r="O546" s="1" t="s">
        <v>46</v>
      </c>
      <c r="P546" s="2">
        <v>41727</v>
      </c>
      <c r="Q546" s="2" t="b">
        <f t="shared" si="26"/>
        <v>0</v>
      </c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</row>
    <row r="547" spans="1:35" ht="14.25" customHeight="1" x14ac:dyDescent="0.2">
      <c r="A547" s="1">
        <v>2144</v>
      </c>
      <c r="B547" s="1" t="s">
        <v>740</v>
      </c>
      <c r="C547" s="1" t="s">
        <v>21</v>
      </c>
      <c r="D547" s="2">
        <v>41726</v>
      </c>
      <c r="E547" s="1" t="s">
        <v>101</v>
      </c>
      <c r="F547" s="1" t="s">
        <v>568</v>
      </c>
      <c r="G547" s="1">
        <v>40</v>
      </c>
      <c r="H547" s="1">
        <v>175.99</v>
      </c>
      <c r="I547" s="1">
        <f t="shared" si="24"/>
        <v>7039.6</v>
      </c>
      <c r="J547" t="str">
        <f t="shared" si="25"/>
        <v>High</v>
      </c>
      <c r="K547" s="1"/>
      <c r="L547" s="1">
        <v>0.08</v>
      </c>
      <c r="M547" s="1">
        <v>4.99</v>
      </c>
      <c r="N547" s="1" t="s">
        <v>33</v>
      </c>
      <c r="O547" s="1" t="s">
        <v>34</v>
      </c>
      <c r="P547" s="2">
        <v>41726</v>
      </c>
      <c r="Q547" s="2" t="b">
        <f t="shared" si="26"/>
        <v>0</v>
      </c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</row>
    <row r="548" spans="1:35" ht="14.25" customHeight="1" x14ac:dyDescent="0.2">
      <c r="A548" s="1">
        <v>58688</v>
      </c>
      <c r="B548" s="1" t="s">
        <v>741</v>
      </c>
      <c r="C548" s="1" t="s">
        <v>30</v>
      </c>
      <c r="D548" s="2">
        <v>41727</v>
      </c>
      <c r="E548" s="1" t="s">
        <v>22</v>
      </c>
      <c r="F548" s="1" t="s">
        <v>695</v>
      </c>
      <c r="G548" s="1">
        <v>18</v>
      </c>
      <c r="H548" s="1">
        <v>11.97</v>
      </c>
      <c r="I548" s="1">
        <f t="shared" si="24"/>
        <v>215.46</v>
      </c>
      <c r="J548" t="str">
        <f t="shared" si="25"/>
        <v>Low</v>
      </c>
      <c r="K548" s="1"/>
      <c r="L548" s="1">
        <v>0.08</v>
      </c>
      <c r="M548" s="1">
        <v>5.81</v>
      </c>
      <c r="N548" s="1" t="s">
        <v>33</v>
      </c>
      <c r="O548" s="1" t="s">
        <v>84</v>
      </c>
      <c r="P548" s="2">
        <v>41729</v>
      </c>
      <c r="Q548" s="2" t="b">
        <f t="shared" si="26"/>
        <v>0</v>
      </c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</row>
    <row r="549" spans="1:35" ht="14.25" customHeight="1" x14ac:dyDescent="0.2">
      <c r="A549" s="1">
        <v>49125</v>
      </c>
      <c r="B549" s="1" t="s">
        <v>429</v>
      </c>
      <c r="C549" s="1" t="s">
        <v>30</v>
      </c>
      <c r="D549" s="2">
        <v>41727</v>
      </c>
      <c r="E549" s="1" t="s">
        <v>22</v>
      </c>
      <c r="F549" s="1" t="s">
        <v>742</v>
      </c>
      <c r="G549" s="1">
        <v>29</v>
      </c>
      <c r="H549" s="1">
        <v>5.78</v>
      </c>
      <c r="I549" s="1">
        <f t="shared" si="24"/>
        <v>167.62</v>
      </c>
      <c r="J549" t="str">
        <f t="shared" si="25"/>
        <v>Low</v>
      </c>
      <c r="K549" s="1"/>
      <c r="L549" s="1">
        <v>0.05</v>
      </c>
      <c r="M549" s="1">
        <v>7.64</v>
      </c>
      <c r="N549" s="1" t="s">
        <v>25</v>
      </c>
      <c r="O549" s="1" t="s">
        <v>34</v>
      </c>
      <c r="P549" s="2">
        <v>41729</v>
      </c>
      <c r="Q549" s="2" t="b">
        <f t="shared" si="26"/>
        <v>0</v>
      </c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</row>
    <row r="550" spans="1:35" ht="14.25" customHeight="1" x14ac:dyDescent="0.2">
      <c r="A550" s="1">
        <v>16229</v>
      </c>
      <c r="B550" s="1" t="s">
        <v>743</v>
      </c>
      <c r="C550" s="1" t="s">
        <v>51</v>
      </c>
      <c r="D550" s="2">
        <v>41727</v>
      </c>
      <c r="E550" s="1" t="s">
        <v>31</v>
      </c>
      <c r="F550" s="1" t="s">
        <v>596</v>
      </c>
      <c r="G550" s="1">
        <v>19</v>
      </c>
      <c r="H550" s="1">
        <v>35.99</v>
      </c>
      <c r="I550" s="1">
        <f t="shared" si="24"/>
        <v>683.81000000000006</v>
      </c>
      <c r="J550" t="str">
        <f t="shared" si="25"/>
        <v>Low</v>
      </c>
      <c r="K550" s="1"/>
      <c r="L550" s="1">
        <v>0.05</v>
      </c>
      <c r="M550" s="1">
        <v>3.3</v>
      </c>
      <c r="N550" s="1" t="s">
        <v>33</v>
      </c>
      <c r="O550" s="1" t="s">
        <v>84</v>
      </c>
      <c r="P550" s="2">
        <v>41729</v>
      </c>
      <c r="Q550" s="2" t="b">
        <f t="shared" si="26"/>
        <v>0</v>
      </c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</row>
    <row r="551" spans="1:35" ht="14.25" customHeight="1" x14ac:dyDescent="0.2">
      <c r="A551" s="1">
        <v>16229</v>
      </c>
      <c r="B551" s="1" t="s">
        <v>743</v>
      </c>
      <c r="C551" s="1" t="s">
        <v>21</v>
      </c>
      <c r="D551" s="2">
        <v>41727</v>
      </c>
      <c r="E551" s="1" t="s">
        <v>31</v>
      </c>
      <c r="F551" s="1" t="s">
        <v>193</v>
      </c>
      <c r="G551" s="1">
        <v>27</v>
      </c>
      <c r="H551" s="1">
        <v>40.98</v>
      </c>
      <c r="I551" s="1">
        <f t="shared" si="24"/>
        <v>1106.4599999999998</v>
      </c>
      <c r="J551" t="str">
        <f t="shared" si="25"/>
        <v>High</v>
      </c>
      <c r="K551" s="1"/>
      <c r="L551" s="1">
        <v>0.04</v>
      </c>
      <c r="M551" s="1">
        <v>6.5</v>
      </c>
      <c r="N551" s="1" t="s">
        <v>33</v>
      </c>
      <c r="O551" s="1" t="s">
        <v>34</v>
      </c>
      <c r="P551" s="2">
        <v>41728</v>
      </c>
      <c r="Q551" s="2" t="b">
        <f t="shared" si="26"/>
        <v>0</v>
      </c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</row>
    <row r="552" spans="1:35" ht="14.25" customHeight="1" x14ac:dyDescent="0.2">
      <c r="A552" s="1">
        <v>37859</v>
      </c>
      <c r="B552" s="1" t="s">
        <v>744</v>
      </c>
      <c r="C552" s="1" t="s">
        <v>30</v>
      </c>
      <c r="D552" s="2">
        <v>41728</v>
      </c>
      <c r="E552" s="1" t="s">
        <v>38</v>
      </c>
      <c r="F552" s="1" t="s">
        <v>183</v>
      </c>
      <c r="G552" s="1">
        <v>2</v>
      </c>
      <c r="H552" s="1">
        <v>11.34</v>
      </c>
      <c r="I552" s="1">
        <f t="shared" si="24"/>
        <v>22.68</v>
      </c>
      <c r="J552" t="str">
        <f t="shared" si="25"/>
        <v>Low</v>
      </c>
      <c r="K552" s="1"/>
      <c r="L552" s="1">
        <v>0.01</v>
      </c>
      <c r="M552" s="1">
        <v>5.01</v>
      </c>
      <c r="N552" s="1" t="s">
        <v>33</v>
      </c>
      <c r="O552" s="1" t="s">
        <v>34</v>
      </c>
      <c r="P552" s="2">
        <v>41730</v>
      </c>
      <c r="Q552" s="2" t="b">
        <f t="shared" si="26"/>
        <v>0</v>
      </c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</row>
    <row r="553" spans="1:35" ht="14.25" customHeight="1" x14ac:dyDescent="0.2">
      <c r="A553" s="1">
        <v>10949</v>
      </c>
      <c r="B553" s="1" t="s">
        <v>745</v>
      </c>
      <c r="C553" s="1" t="s">
        <v>21</v>
      </c>
      <c r="D553" s="2">
        <v>41728</v>
      </c>
      <c r="E553" s="1" t="s">
        <v>101</v>
      </c>
      <c r="F553" s="1" t="s">
        <v>460</v>
      </c>
      <c r="G553" s="1">
        <v>46</v>
      </c>
      <c r="H553" s="1">
        <v>80.97</v>
      </c>
      <c r="I553" s="1">
        <f t="shared" si="24"/>
        <v>3724.62</v>
      </c>
      <c r="J553" t="str">
        <f t="shared" si="25"/>
        <v>High</v>
      </c>
      <c r="K553" s="1"/>
      <c r="L553" s="1">
        <v>0.1</v>
      </c>
      <c r="M553" s="1">
        <v>30.06</v>
      </c>
      <c r="N553" s="1" t="s">
        <v>45</v>
      </c>
      <c r="O553" s="1" t="s">
        <v>63</v>
      </c>
      <c r="P553" s="2">
        <v>41729</v>
      </c>
      <c r="Q553" s="2" t="b">
        <f t="shared" si="26"/>
        <v>0</v>
      </c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</row>
    <row r="554" spans="1:35" ht="14.25" customHeight="1" x14ac:dyDescent="0.2">
      <c r="A554" s="1">
        <v>22755</v>
      </c>
      <c r="B554" s="1" t="s">
        <v>746</v>
      </c>
      <c r="C554" s="1" t="s">
        <v>21</v>
      </c>
      <c r="D554" s="2">
        <v>41728</v>
      </c>
      <c r="E554" s="1" t="s">
        <v>101</v>
      </c>
      <c r="F554" s="1" t="s">
        <v>747</v>
      </c>
      <c r="G554" s="1">
        <v>35</v>
      </c>
      <c r="H554" s="1">
        <v>4.91</v>
      </c>
      <c r="I554" s="1">
        <f t="shared" si="24"/>
        <v>171.85</v>
      </c>
      <c r="J554" t="str">
        <f t="shared" si="25"/>
        <v>Low</v>
      </c>
      <c r="K554" s="1"/>
      <c r="L554" s="1">
        <v>0</v>
      </c>
      <c r="M554" s="1">
        <v>5.68</v>
      </c>
      <c r="N554" s="1" t="s">
        <v>33</v>
      </c>
      <c r="O554" s="1" t="s">
        <v>34</v>
      </c>
      <c r="P554" s="2">
        <v>41729</v>
      </c>
      <c r="Q554" s="2" t="b">
        <f t="shared" si="26"/>
        <v>0</v>
      </c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</row>
    <row r="555" spans="1:35" ht="14.25" customHeight="1" x14ac:dyDescent="0.2">
      <c r="A555" s="1">
        <v>22755</v>
      </c>
      <c r="B555" s="1" t="s">
        <v>746</v>
      </c>
      <c r="C555" s="1" t="s">
        <v>30</v>
      </c>
      <c r="D555" s="2">
        <v>41728</v>
      </c>
      <c r="E555" s="1" t="s">
        <v>101</v>
      </c>
      <c r="F555" s="1" t="s">
        <v>487</v>
      </c>
      <c r="G555" s="1">
        <v>45</v>
      </c>
      <c r="H555" s="1">
        <v>5.34</v>
      </c>
      <c r="I555" s="1">
        <f t="shared" si="24"/>
        <v>240.29999999999998</v>
      </c>
      <c r="J555" t="str">
        <f t="shared" si="25"/>
        <v>Low</v>
      </c>
      <c r="K555" s="1"/>
      <c r="L555" s="1">
        <v>0.04</v>
      </c>
      <c r="M555" s="1">
        <v>2.99</v>
      </c>
      <c r="N555" s="1" t="s">
        <v>33</v>
      </c>
      <c r="O555" s="1" t="s">
        <v>34</v>
      </c>
      <c r="P555" s="2">
        <v>41730</v>
      </c>
      <c r="Q555" s="2" t="b">
        <f t="shared" si="26"/>
        <v>0</v>
      </c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</row>
    <row r="556" spans="1:35" ht="14.25" customHeight="1" x14ac:dyDescent="0.2">
      <c r="A556" s="1">
        <v>22755</v>
      </c>
      <c r="B556" s="1" t="s">
        <v>746</v>
      </c>
      <c r="C556" s="1" t="s">
        <v>30</v>
      </c>
      <c r="D556" s="2">
        <v>41728</v>
      </c>
      <c r="E556" s="1" t="s">
        <v>101</v>
      </c>
      <c r="F556" s="1" t="s">
        <v>748</v>
      </c>
      <c r="G556" s="1">
        <v>5</v>
      </c>
      <c r="H556" s="1">
        <v>55.99</v>
      </c>
      <c r="I556" s="1">
        <f t="shared" si="24"/>
        <v>279.95</v>
      </c>
      <c r="J556" t="str">
        <f t="shared" si="25"/>
        <v>Low</v>
      </c>
      <c r="K556" s="1"/>
      <c r="L556" s="1">
        <v>0.06</v>
      </c>
      <c r="M556" s="1">
        <v>5</v>
      </c>
      <c r="N556" s="1" t="s">
        <v>33</v>
      </c>
      <c r="O556" s="1" t="s">
        <v>84</v>
      </c>
      <c r="P556" s="2">
        <v>41730</v>
      </c>
      <c r="Q556" s="2" t="b">
        <f t="shared" si="26"/>
        <v>0</v>
      </c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</row>
    <row r="557" spans="1:35" ht="14.25" customHeight="1" x14ac:dyDescent="0.2">
      <c r="A557" s="1">
        <v>2915</v>
      </c>
      <c r="B557" s="1" t="s">
        <v>749</v>
      </c>
      <c r="C557" s="1" t="s">
        <v>21</v>
      </c>
      <c r="D557" s="2">
        <v>41728</v>
      </c>
      <c r="E557" s="1" t="s">
        <v>43</v>
      </c>
      <c r="F557" s="1" t="s">
        <v>493</v>
      </c>
      <c r="G557" s="1">
        <v>41</v>
      </c>
      <c r="H557" s="1">
        <v>5.98</v>
      </c>
      <c r="I557" s="1">
        <f t="shared" si="24"/>
        <v>245.18</v>
      </c>
      <c r="J557" t="str">
        <f t="shared" si="25"/>
        <v>Low</v>
      </c>
      <c r="K557" s="1"/>
      <c r="L557" s="1">
        <v>7.0000000000000007E-2</v>
      </c>
      <c r="M557" s="1">
        <v>0.96</v>
      </c>
      <c r="N557" s="1" t="s">
        <v>33</v>
      </c>
      <c r="O557" s="1" t="s">
        <v>55</v>
      </c>
      <c r="P557" s="2">
        <v>41732</v>
      </c>
      <c r="Q557" s="2" t="b">
        <f t="shared" si="26"/>
        <v>0</v>
      </c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</row>
    <row r="558" spans="1:35" ht="14.25" customHeight="1" x14ac:dyDescent="0.2">
      <c r="A558" s="1">
        <v>2915</v>
      </c>
      <c r="B558" s="1" t="s">
        <v>749</v>
      </c>
      <c r="C558" s="1" t="s">
        <v>30</v>
      </c>
      <c r="D558" s="2">
        <v>41728</v>
      </c>
      <c r="E558" s="1" t="s">
        <v>43</v>
      </c>
      <c r="F558" s="1" t="s">
        <v>750</v>
      </c>
      <c r="G558" s="1">
        <v>23</v>
      </c>
      <c r="H558" s="1">
        <v>39.979999999999997</v>
      </c>
      <c r="I558" s="1">
        <f t="shared" si="24"/>
        <v>919.54</v>
      </c>
      <c r="J558" t="str">
        <f t="shared" si="25"/>
        <v>Low</v>
      </c>
      <c r="K558" s="1"/>
      <c r="L558" s="1">
        <v>0.01</v>
      </c>
      <c r="M558" s="1">
        <v>4</v>
      </c>
      <c r="N558" s="1" t="s">
        <v>33</v>
      </c>
      <c r="O558" s="1" t="s">
        <v>34</v>
      </c>
      <c r="P558" s="2">
        <v>41733</v>
      </c>
      <c r="Q558" s="2" t="b">
        <f t="shared" si="26"/>
        <v>0</v>
      </c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</row>
    <row r="559" spans="1:35" ht="14.25" customHeight="1" x14ac:dyDescent="0.2">
      <c r="A559" s="1">
        <v>44772</v>
      </c>
      <c r="B559" s="1" t="s">
        <v>751</v>
      </c>
      <c r="C559" s="1" t="s">
        <v>21</v>
      </c>
      <c r="D559" s="2">
        <v>41729</v>
      </c>
      <c r="E559" s="1" t="s">
        <v>22</v>
      </c>
      <c r="F559" s="1" t="s">
        <v>752</v>
      </c>
      <c r="G559" s="1">
        <v>1</v>
      </c>
      <c r="H559" s="1">
        <v>55.99</v>
      </c>
      <c r="I559" s="1">
        <f t="shared" si="24"/>
        <v>55.99</v>
      </c>
      <c r="J559" t="str">
        <f t="shared" si="25"/>
        <v>Low</v>
      </c>
      <c r="K559" s="1"/>
      <c r="L559" s="1">
        <v>7.0000000000000007E-2</v>
      </c>
      <c r="M559" s="1">
        <v>5</v>
      </c>
      <c r="N559" s="1" t="s">
        <v>25</v>
      </c>
      <c r="O559" s="1" t="s">
        <v>84</v>
      </c>
      <c r="P559" s="2">
        <v>41731</v>
      </c>
      <c r="Q559" s="2" t="b">
        <f t="shared" si="26"/>
        <v>0</v>
      </c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</row>
    <row r="560" spans="1:35" ht="14.25" customHeight="1" x14ac:dyDescent="0.2">
      <c r="A560" s="1">
        <v>29127</v>
      </c>
      <c r="B560" s="1" t="s">
        <v>288</v>
      </c>
      <c r="C560" s="1" t="s">
        <v>51</v>
      </c>
      <c r="D560" s="2">
        <v>41729</v>
      </c>
      <c r="E560" s="1" t="s">
        <v>38</v>
      </c>
      <c r="F560" s="1" t="s">
        <v>189</v>
      </c>
      <c r="G560" s="1">
        <v>18</v>
      </c>
      <c r="H560" s="1">
        <v>1.68</v>
      </c>
      <c r="I560" s="1">
        <f t="shared" si="24"/>
        <v>30.24</v>
      </c>
      <c r="J560" t="str">
        <f t="shared" si="25"/>
        <v>Low</v>
      </c>
      <c r="K560" s="1"/>
      <c r="L560" s="1">
        <v>0.06</v>
      </c>
      <c r="M560" s="1">
        <v>1</v>
      </c>
      <c r="N560" s="1" t="s">
        <v>33</v>
      </c>
      <c r="O560" s="1" t="s">
        <v>55</v>
      </c>
      <c r="P560" s="2">
        <v>41731</v>
      </c>
      <c r="Q560" s="2" t="b">
        <f t="shared" si="26"/>
        <v>0</v>
      </c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</row>
    <row r="561" spans="1:35" ht="14.25" customHeight="1" x14ac:dyDescent="0.2">
      <c r="A561" s="1">
        <v>48035</v>
      </c>
      <c r="B561" s="1" t="s">
        <v>713</v>
      </c>
      <c r="C561" s="1" t="s">
        <v>21</v>
      </c>
      <c r="D561" s="2">
        <v>41729</v>
      </c>
      <c r="E561" s="1" t="s">
        <v>38</v>
      </c>
      <c r="F561" s="1" t="s">
        <v>652</v>
      </c>
      <c r="G561" s="1">
        <v>8</v>
      </c>
      <c r="H561" s="1">
        <v>20.99</v>
      </c>
      <c r="I561" s="1">
        <f t="shared" si="24"/>
        <v>167.92</v>
      </c>
      <c r="J561" t="str">
        <f t="shared" si="25"/>
        <v>Low</v>
      </c>
      <c r="K561" s="1"/>
      <c r="L561" s="1">
        <v>0.09</v>
      </c>
      <c r="M561" s="1">
        <v>4.8099999999999996</v>
      </c>
      <c r="N561" s="1" t="s">
        <v>25</v>
      </c>
      <c r="O561" s="1" t="s">
        <v>72</v>
      </c>
      <c r="P561" s="2">
        <v>41730</v>
      </c>
      <c r="Q561" s="2" t="b">
        <f t="shared" si="26"/>
        <v>0</v>
      </c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</row>
    <row r="562" spans="1:35" ht="14.25" customHeight="1" x14ac:dyDescent="0.2">
      <c r="A562" s="1">
        <v>42242</v>
      </c>
      <c r="B562" s="1" t="s">
        <v>651</v>
      </c>
      <c r="C562" s="1" t="s">
        <v>30</v>
      </c>
      <c r="D562" s="2">
        <v>41730</v>
      </c>
      <c r="E562" s="1" t="s">
        <v>22</v>
      </c>
      <c r="F562" s="1" t="s">
        <v>753</v>
      </c>
      <c r="G562" s="1">
        <v>23</v>
      </c>
      <c r="H562" s="1">
        <v>11.5</v>
      </c>
      <c r="I562" s="1">
        <f t="shared" si="24"/>
        <v>264.5</v>
      </c>
      <c r="J562" t="str">
        <f t="shared" si="25"/>
        <v>Low</v>
      </c>
      <c r="K562" s="1"/>
      <c r="L562" s="1">
        <v>0.09</v>
      </c>
      <c r="M562" s="1">
        <v>7.19</v>
      </c>
      <c r="N562" s="1" t="s">
        <v>25</v>
      </c>
      <c r="O562" s="1" t="s">
        <v>34</v>
      </c>
      <c r="P562" s="2">
        <v>41731</v>
      </c>
      <c r="Q562" s="2" t="b">
        <f t="shared" si="26"/>
        <v>0</v>
      </c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</row>
    <row r="563" spans="1:35" ht="14.25" customHeight="1" x14ac:dyDescent="0.2">
      <c r="A563" s="1">
        <v>42242</v>
      </c>
      <c r="B563" s="1" t="s">
        <v>651</v>
      </c>
      <c r="C563" s="1" t="s">
        <v>21</v>
      </c>
      <c r="D563" s="2">
        <v>41730</v>
      </c>
      <c r="E563" s="1" t="s">
        <v>22</v>
      </c>
      <c r="F563" s="1" t="s">
        <v>754</v>
      </c>
      <c r="G563" s="1">
        <v>15</v>
      </c>
      <c r="H563" s="1">
        <v>100.97</v>
      </c>
      <c r="I563" s="1">
        <f t="shared" si="24"/>
        <v>1514.55</v>
      </c>
      <c r="J563" t="str">
        <f t="shared" si="25"/>
        <v>High</v>
      </c>
      <c r="K563" s="1"/>
      <c r="L563" s="1">
        <v>0.1</v>
      </c>
      <c r="M563" s="1">
        <v>7.18</v>
      </c>
      <c r="N563" s="1" t="s">
        <v>33</v>
      </c>
      <c r="O563" s="1" t="s">
        <v>34</v>
      </c>
      <c r="P563" s="2">
        <v>41731</v>
      </c>
      <c r="Q563" s="2" t="b">
        <f t="shared" si="26"/>
        <v>0</v>
      </c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</row>
    <row r="564" spans="1:35" ht="14.25" customHeight="1" x14ac:dyDescent="0.2">
      <c r="A564" s="1">
        <v>42242</v>
      </c>
      <c r="B564" s="1" t="s">
        <v>651</v>
      </c>
      <c r="C564" s="1" t="s">
        <v>21</v>
      </c>
      <c r="D564" s="2">
        <v>41730</v>
      </c>
      <c r="E564" s="1" t="s">
        <v>22</v>
      </c>
      <c r="F564" s="1" t="s">
        <v>604</v>
      </c>
      <c r="G564" s="1">
        <v>23</v>
      </c>
      <c r="H564" s="1">
        <v>99.99</v>
      </c>
      <c r="I564" s="1">
        <f t="shared" si="24"/>
        <v>2299.77</v>
      </c>
      <c r="J564" t="str">
        <f t="shared" si="25"/>
        <v>High</v>
      </c>
      <c r="K564" s="1"/>
      <c r="L564" s="1">
        <v>7.0000000000000007E-2</v>
      </c>
      <c r="M564" s="1">
        <v>19.989999999999998</v>
      </c>
      <c r="N564" s="1" t="s">
        <v>33</v>
      </c>
      <c r="O564" s="1" t="s">
        <v>34</v>
      </c>
      <c r="P564" s="2">
        <v>41731</v>
      </c>
      <c r="Q564" s="2" t="b">
        <f t="shared" si="26"/>
        <v>0</v>
      </c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</row>
    <row r="565" spans="1:35" ht="14.25" customHeight="1" x14ac:dyDescent="0.2">
      <c r="A565" s="1">
        <v>17795</v>
      </c>
      <c r="B565" s="1" t="s">
        <v>700</v>
      </c>
      <c r="C565" s="1" t="s">
        <v>51</v>
      </c>
      <c r="D565" s="2">
        <v>41730</v>
      </c>
      <c r="E565" s="1" t="s">
        <v>101</v>
      </c>
      <c r="F565" s="1" t="s">
        <v>755</v>
      </c>
      <c r="G565" s="1">
        <v>1</v>
      </c>
      <c r="H565" s="1">
        <v>11.33</v>
      </c>
      <c r="I565" s="1">
        <f t="shared" si="24"/>
        <v>11.33</v>
      </c>
      <c r="J565" t="str">
        <f t="shared" si="25"/>
        <v>Low</v>
      </c>
      <c r="K565" s="1"/>
      <c r="L565" s="1">
        <v>0.06</v>
      </c>
      <c r="M565" s="1">
        <v>6.12</v>
      </c>
      <c r="N565" s="1" t="s">
        <v>33</v>
      </c>
      <c r="O565" s="1" t="s">
        <v>72</v>
      </c>
      <c r="P565" s="2">
        <v>41732</v>
      </c>
      <c r="Q565" s="2" t="b">
        <f t="shared" si="26"/>
        <v>0</v>
      </c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</row>
    <row r="566" spans="1:35" ht="14.25" customHeight="1" x14ac:dyDescent="0.2">
      <c r="A566" s="1">
        <v>8295</v>
      </c>
      <c r="B566" s="1" t="s">
        <v>756</v>
      </c>
      <c r="C566" s="1" t="s">
        <v>30</v>
      </c>
      <c r="D566" s="2">
        <v>41730</v>
      </c>
      <c r="E566" s="1" t="s">
        <v>31</v>
      </c>
      <c r="F566" s="1" t="s">
        <v>114</v>
      </c>
      <c r="G566" s="1">
        <v>30</v>
      </c>
      <c r="H566" s="1">
        <v>35.99</v>
      </c>
      <c r="I566" s="1">
        <f t="shared" si="24"/>
        <v>1079.7</v>
      </c>
      <c r="J566" t="str">
        <f t="shared" si="25"/>
        <v>High</v>
      </c>
      <c r="K566" s="1"/>
      <c r="L566" s="1">
        <v>0.09</v>
      </c>
      <c r="M566" s="1">
        <v>1.1000000000000001</v>
      </c>
      <c r="N566" s="1" t="s">
        <v>33</v>
      </c>
      <c r="O566" s="1" t="s">
        <v>34</v>
      </c>
      <c r="P566" s="2">
        <v>41732</v>
      </c>
      <c r="Q566" s="2" t="b">
        <f t="shared" si="26"/>
        <v>0</v>
      </c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</row>
    <row r="567" spans="1:35" ht="14.25" customHeight="1" x14ac:dyDescent="0.2">
      <c r="A567" s="1">
        <v>8295</v>
      </c>
      <c r="B567" s="1" t="s">
        <v>756</v>
      </c>
      <c r="C567" s="1" t="s">
        <v>51</v>
      </c>
      <c r="D567" s="2">
        <v>41730</v>
      </c>
      <c r="E567" s="1" t="s">
        <v>31</v>
      </c>
      <c r="F567" s="1" t="s">
        <v>623</v>
      </c>
      <c r="G567" s="1">
        <v>7</v>
      </c>
      <c r="H567" s="1">
        <v>125.99</v>
      </c>
      <c r="I567" s="1">
        <f t="shared" si="24"/>
        <v>881.93</v>
      </c>
      <c r="J567" t="str">
        <f t="shared" si="25"/>
        <v>Low</v>
      </c>
      <c r="K567" s="1"/>
      <c r="L567" s="1">
        <v>0.01</v>
      </c>
      <c r="M567" s="1">
        <v>2.5</v>
      </c>
      <c r="N567" s="1" t="s">
        <v>33</v>
      </c>
      <c r="O567" s="1" t="s">
        <v>34</v>
      </c>
      <c r="P567" s="2">
        <v>41731</v>
      </c>
      <c r="Q567" s="2" t="b">
        <f t="shared" si="26"/>
        <v>0</v>
      </c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</row>
    <row r="568" spans="1:35" ht="14.25" customHeight="1" x14ac:dyDescent="0.2">
      <c r="A568" s="1">
        <v>10978</v>
      </c>
      <c r="B568" s="1" t="s">
        <v>208</v>
      </c>
      <c r="C568" s="1" t="s">
        <v>30</v>
      </c>
      <c r="D568" s="2">
        <v>41730</v>
      </c>
      <c r="E568" s="1" t="s">
        <v>38</v>
      </c>
      <c r="F568" s="1" t="s">
        <v>757</v>
      </c>
      <c r="G568" s="1">
        <v>9</v>
      </c>
      <c r="H568" s="1">
        <v>60.98</v>
      </c>
      <c r="I568" s="1">
        <f t="shared" si="24"/>
        <v>548.81999999999994</v>
      </c>
      <c r="J568" t="str">
        <f t="shared" si="25"/>
        <v>Low</v>
      </c>
      <c r="K568" s="1"/>
      <c r="L568" s="1">
        <v>0.06</v>
      </c>
      <c r="M568" s="1">
        <v>30</v>
      </c>
      <c r="N568" s="1" t="s">
        <v>45</v>
      </c>
      <c r="O568" s="1" t="s">
        <v>46</v>
      </c>
      <c r="P568" s="2">
        <v>41731</v>
      </c>
      <c r="Q568" s="2" t="b">
        <f t="shared" si="26"/>
        <v>0</v>
      </c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</row>
    <row r="569" spans="1:35" ht="14.25" customHeight="1" x14ac:dyDescent="0.2">
      <c r="A569" s="1">
        <v>53281</v>
      </c>
      <c r="B569" s="1" t="s">
        <v>735</v>
      </c>
      <c r="C569" s="1" t="s">
        <v>30</v>
      </c>
      <c r="D569" s="2">
        <v>41731</v>
      </c>
      <c r="E569" s="1" t="s">
        <v>38</v>
      </c>
      <c r="F569" s="1" t="s">
        <v>94</v>
      </c>
      <c r="G569" s="1">
        <v>40</v>
      </c>
      <c r="H569" s="1">
        <v>355.98</v>
      </c>
      <c r="I569" s="1">
        <f t="shared" si="24"/>
        <v>14239.2</v>
      </c>
      <c r="J569" t="str">
        <f t="shared" si="25"/>
        <v>High</v>
      </c>
      <c r="K569" s="1"/>
      <c r="L569" s="1">
        <v>0.08</v>
      </c>
      <c r="M569" s="1">
        <v>58.92</v>
      </c>
      <c r="N569" s="1" t="s">
        <v>45</v>
      </c>
      <c r="O569" s="1" t="s">
        <v>46</v>
      </c>
      <c r="P569" s="2">
        <v>41733</v>
      </c>
      <c r="Q569" s="2" t="b">
        <f t="shared" si="26"/>
        <v>0</v>
      </c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</row>
    <row r="570" spans="1:35" ht="14.25" customHeight="1" x14ac:dyDescent="0.2">
      <c r="A570" s="1">
        <v>48518</v>
      </c>
      <c r="B570" s="1" t="s">
        <v>758</v>
      </c>
      <c r="C570" s="1" t="s">
        <v>30</v>
      </c>
      <c r="D570" s="2">
        <v>41731</v>
      </c>
      <c r="E570" s="1" t="s">
        <v>101</v>
      </c>
      <c r="F570" s="1" t="s">
        <v>759</v>
      </c>
      <c r="G570" s="1">
        <v>17</v>
      </c>
      <c r="H570" s="1">
        <v>37.94</v>
      </c>
      <c r="I570" s="1">
        <f t="shared" si="24"/>
        <v>644.98</v>
      </c>
      <c r="J570" t="str">
        <f t="shared" si="25"/>
        <v>Low</v>
      </c>
      <c r="K570" s="1"/>
      <c r="L570" s="1">
        <v>0.1</v>
      </c>
      <c r="M570" s="1">
        <v>5.08</v>
      </c>
      <c r="N570" s="1" t="s">
        <v>25</v>
      </c>
      <c r="O570" s="1" t="s">
        <v>55</v>
      </c>
      <c r="P570" s="2">
        <v>41733</v>
      </c>
      <c r="Q570" s="2" t="b">
        <f t="shared" si="26"/>
        <v>0</v>
      </c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</row>
    <row r="571" spans="1:35" ht="14.25" customHeight="1" x14ac:dyDescent="0.2">
      <c r="A571" s="1">
        <v>2754</v>
      </c>
      <c r="B571" s="1" t="s">
        <v>735</v>
      </c>
      <c r="C571" s="1" t="s">
        <v>51</v>
      </c>
      <c r="D571" s="2">
        <v>41731</v>
      </c>
      <c r="E571" s="1" t="s">
        <v>31</v>
      </c>
      <c r="F571" s="1" t="s">
        <v>760</v>
      </c>
      <c r="G571" s="1">
        <v>16</v>
      </c>
      <c r="H571" s="1">
        <v>90.24</v>
      </c>
      <c r="I571" s="1">
        <f t="shared" si="24"/>
        <v>1443.84</v>
      </c>
      <c r="J571" t="str">
        <f t="shared" si="25"/>
        <v>High</v>
      </c>
      <c r="K571" s="1"/>
      <c r="L571" s="1">
        <v>0.04</v>
      </c>
      <c r="M571" s="1">
        <v>0.99</v>
      </c>
      <c r="N571" s="1" t="s">
        <v>33</v>
      </c>
      <c r="O571" s="1" t="s">
        <v>34</v>
      </c>
      <c r="P571" s="2">
        <v>41733</v>
      </c>
      <c r="Q571" s="2" t="b">
        <f t="shared" si="26"/>
        <v>0</v>
      </c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</row>
    <row r="572" spans="1:35" ht="14.25" customHeight="1" x14ac:dyDescent="0.2">
      <c r="A572" s="1">
        <v>2754</v>
      </c>
      <c r="B572" s="1" t="s">
        <v>735</v>
      </c>
      <c r="C572" s="1" t="s">
        <v>51</v>
      </c>
      <c r="D572" s="2">
        <v>41731</v>
      </c>
      <c r="E572" s="1" t="s">
        <v>31</v>
      </c>
      <c r="F572" s="1" t="s">
        <v>761</v>
      </c>
      <c r="G572" s="1">
        <v>11</v>
      </c>
      <c r="H572" s="1">
        <v>47.9</v>
      </c>
      <c r="I572" s="1">
        <f t="shared" si="24"/>
        <v>526.9</v>
      </c>
      <c r="J572" t="str">
        <f t="shared" si="25"/>
        <v>Low</v>
      </c>
      <c r="K572" s="1"/>
      <c r="L572" s="1">
        <v>0.09</v>
      </c>
      <c r="M572" s="1">
        <v>5.86</v>
      </c>
      <c r="N572" s="1" t="s">
        <v>25</v>
      </c>
      <c r="O572" s="1" t="s">
        <v>34</v>
      </c>
      <c r="P572" s="2">
        <v>41733</v>
      </c>
      <c r="Q572" s="2" t="b">
        <f t="shared" si="26"/>
        <v>0</v>
      </c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</row>
    <row r="573" spans="1:35" ht="14.25" customHeight="1" x14ac:dyDescent="0.2">
      <c r="A573" s="1">
        <v>22978</v>
      </c>
      <c r="B573" s="1" t="s">
        <v>762</v>
      </c>
      <c r="C573" s="1" t="s">
        <v>30</v>
      </c>
      <c r="D573" s="2">
        <v>41731</v>
      </c>
      <c r="E573" s="1" t="s">
        <v>101</v>
      </c>
      <c r="F573" s="1" t="s">
        <v>763</v>
      </c>
      <c r="G573" s="1">
        <v>28</v>
      </c>
      <c r="H573" s="1">
        <v>60.89</v>
      </c>
      <c r="I573" s="1">
        <f t="shared" si="24"/>
        <v>1704.92</v>
      </c>
      <c r="J573" t="str">
        <f t="shared" si="25"/>
        <v>High</v>
      </c>
      <c r="K573" s="1"/>
      <c r="L573" s="1">
        <v>0.03</v>
      </c>
      <c r="M573" s="1">
        <v>32.409999999999997</v>
      </c>
      <c r="N573" s="1" t="s">
        <v>45</v>
      </c>
      <c r="O573" s="1" t="s">
        <v>46</v>
      </c>
      <c r="P573" s="2">
        <v>41732</v>
      </c>
      <c r="Q573" s="2" t="b">
        <f t="shared" si="26"/>
        <v>0</v>
      </c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</row>
    <row r="574" spans="1:35" ht="14.25" customHeight="1" x14ac:dyDescent="0.2">
      <c r="A574" s="1">
        <v>44225</v>
      </c>
      <c r="B574" s="1" t="s">
        <v>603</v>
      </c>
      <c r="C574" s="1" t="s">
        <v>21</v>
      </c>
      <c r="D574" s="2">
        <v>41732</v>
      </c>
      <c r="E574" s="1" t="s">
        <v>31</v>
      </c>
      <c r="F574" s="1" t="s">
        <v>488</v>
      </c>
      <c r="G574" s="1">
        <v>29</v>
      </c>
      <c r="H574" s="1">
        <v>62.18</v>
      </c>
      <c r="I574" s="1">
        <f t="shared" si="24"/>
        <v>1803.22</v>
      </c>
      <c r="J574" t="str">
        <f t="shared" si="25"/>
        <v>High</v>
      </c>
      <c r="K574" s="1"/>
      <c r="L574" s="1">
        <v>0</v>
      </c>
      <c r="M574" s="1">
        <v>10.84</v>
      </c>
      <c r="N574" s="1" t="s">
        <v>33</v>
      </c>
      <c r="O574" s="1" t="s">
        <v>72</v>
      </c>
      <c r="P574" s="2">
        <v>41734</v>
      </c>
      <c r="Q574" s="2" t="b">
        <f t="shared" si="26"/>
        <v>0</v>
      </c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</row>
    <row r="575" spans="1:35" ht="14.25" customHeight="1" x14ac:dyDescent="0.2">
      <c r="A575" s="1">
        <v>25475</v>
      </c>
      <c r="B575" s="1" t="s">
        <v>680</v>
      </c>
      <c r="C575" s="1" t="s">
        <v>21</v>
      </c>
      <c r="D575" s="2">
        <v>41733</v>
      </c>
      <c r="E575" s="1" t="s">
        <v>38</v>
      </c>
      <c r="F575" s="1" t="s">
        <v>764</v>
      </c>
      <c r="G575" s="1">
        <v>49</v>
      </c>
      <c r="H575" s="1">
        <v>6.48</v>
      </c>
      <c r="I575" s="1">
        <f t="shared" si="24"/>
        <v>317.52000000000004</v>
      </c>
      <c r="J575" t="str">
        <f t="shared" si="25"/>
        <v>Low</v>
      </c>
      <c r="K575" s="1"/>
      <c r="L575" s="1">
        <v>0.06</v>
      </c>
      <c r="M575" s="1">
        <v>7.49</v>
      </c>
      <c r="N575" s="1" t="s">
        <v>33</v>
      </c>
      <c r="O575" s="1" t="s">
        <v>34</v>
      </c>
      <c r="P575" s="2">
        <v>41733</v>
      </c>
      <c r="Q575" s="2" t="b">
        <f t="shared" si="26"/>
        <v>0</v>
      </c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</row>
    <row r="576" spans="1:35" ht="14.25" customHeight="1" x14ac:dyDescent="0.2">
      <c r="A576" s="1">
        <v>22371</v>
      </c>
      <c r="B576" s="1" t="s">
        <v>475</v>
      </c>
      <c r="C576" s="1" t="s">
        <v>51</v>
      </c>
      <c r="D576" s="2">
        <v>41733</v>
      </c>
      <c r="E576" s="1" t="s">
        <v>31</v>
      </c>
      <c r="F576" s="1" t="s">
        <v>765</v>
      </c>
      <c r="G576" s="1">
        <v>8</v>
      </c>
      <c r="H576" s="1">
        <v>7.38</v>
      </c>
      <c r="I576" s="1">
        <f t="shared" si="24"/>
        <v>59.04</v>
      </c>
      <c r="J576" t="str">
        <f t="shared" si="25"/>
        <v>Low</v>
      </c>
      <c r="K576" s="1"/>
      <c r="L576" s="1">
        <v>0</v>
      </c>
      <c r="M576" s="1">
        <v>11.51</v>
      </c>
      <c r="N576" s="1" t="s">
        <v>33</v>
      </c>
      <c r="O576" s="1" t="s">
        <v>34</v>
      </c>
      <c r="P576" s="2">
        <v>41734</v>
      </c>
      <c r="Q576" s="2" t="b">
        <f t="shared" si="26"/>
        <v>0</v>
      </c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</row>
    <row r="577" spans="1:35" ht="14.25" customHeight="1" x14ac:dyDescent="0.2">
      <c r="A577" s="1">
        <v>46436</v>
      </c>
      <c r="B577" s="1" t="s">
        <v>766</v>
      </c>
      <c r="C577" s="1" t="s">
        <v>21</v>
      </c>
      <c r="D577" s="2">
        <v>41733</v>
      </c>
      <c r="E577" s="1" t="s">
        <v>43</v>
      </c>
      <c r="F577" s="1" t="s">
        <v>767</v>
      </c>
      <c r="G577" s="1">
        <v>46</v>
      </c>
      <c r="H577" s="1">
        <v>35.99</v>
      </c>
      <c r="I577" s="1">
        <f t="shared" si="24"/>
        <v>1655.5400000000002</v>
      </c>
      <c r="J577" t="str">
        <f t="shared" si="25"/>
        <v>High</v>
      </c>
      <c r="K577" s="1"/>
      <c r="L577" s="1">
        <v>0</v>
      </c>
      <c r="M577" s="1">
        <v>0.99</v>
      </c>
      <c r="N577" s="1" t="s">
        <v>33</v>
      </c>
      <c r="O577" s="1" t="s">
        <v>84</v>
      </c>
      <c r="P577" s="2">
        <v>41740</v>
      </c>
      <c r="Q577" s="2" t="b">
        <f t="shared" si="26"/>
        <v>0</v>
      </c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</row>
    <row r="578" spans="1:35" ht="14.25" customHeight="1" x14ac:dyDescent="0.2">
      <c r="A578" s="1">
        <v>42693</v>
      </c>
      <c r="B578" s="1" t="s">
        <v>361</v>
      </c>
      <c r="C578" s="1" t="s">
        <v>51</v>
      </c>
      <c r="D578" s="2">
        <v>41733</v>
      </c>
      <c r="E578" s="1" t="s">
        <v>31</v>
      </c>
      <c r="F578" s="1" t="s">
        <v>768</v>
      </c>
      <c r="G578" s="1">
        <v>33</v>
      </c>
      <c r="H578" s="1">
        <v>59.76</v>
      </c>
      <c r="I578" s="1">
        <f t="shared" ref="I578:I641" si="27">G578*H578</f>
        <v>1972.08</v>
      </c>
      <c r="J578" t="str">
        <f t="shared" ref="J578:J641" si="28">IF(I578&lt;1000,"Low","High")</f>
        <v>High</v>
      </c>
      <c r="K578" s="1"/>
      <c r="L578" s="1">
        <v>0.01</v>
      </c>
      <c r="M578" s="1">
        <v>9.7100000000000009</v>
      </c>
      <c r="N578" s="1" t="s">
        <v>33</v>
      </c>
      <c r="O578" s="1" t="s">
        <v>34</v>
      </c>
      <c r="P578" s="2">
        <v>41735</v>
      </c>
      <c r="Q578" s="2" t="b">
        <f t="shared" ref="Q578:Q641" si="29">AND(N578="Express Air",O578="Large Box")</f>
        <v>0</v>
      </c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</row>
    <row r="579" spans="1:35" ht="14.25" customHeight="1" x14ac:dyDescent="0.2">
      <c r="A579" s="1">
        <v>13959</v>
      </c>
      <c r="B579" s="1" t="s">
        <v>68</v>
      </c>
      <c r="C579" s="1" t="s">
        <v>51</v>
      </c>
      <c r="D579" s="2">
        <v>41733</v>
      </c>
      <c r="E579" s="1" t="s">
        <v>101</v>
      </c>
      <c r="F579" s="1" t="s">
        <v>392</v>
      </c>
      <c r="G579" s="1">
        <v>47</v>
      </c>
      <c r="H579" s="1">
        <v>4.91</v>
      </c>
      <c r="I579" s="1">
        <f t="shared" si="27"/>
        <v>230.77</v>
      </c>
      <c r="J579" t="str">
        <f t="shared" si="28"/>
        <v>Low</v>
      </c>
      <c r="K579" s="1"/>
      <c r="L579" s="1">
        <v>0.01</v>
      </c>
      <c r="M579" s="1">
        <v>0.5</v>
      </c>
      <c r="N579" s="1" t="s">
        <v>33</v>
      </c>
      <c r="O579" s="1" t="s">
        <v>34</v>
      </c>
      <c r="P579" s="2">
        <v>41735</v>
      </c>
      <c r="Q579" s="2" t="b">
        <f t="shared" si="29"/>
        <v>0</v>
      </c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</row>
    <row r="580" spans="1:35" ht="14.25" customHeight="1" x14ac:dyDescent="0.2">
      <c r="A580" s="1">
        <v>13959</v>
      </c>
      <c r="B580" s="1" t="s">
        <v>68</v>
      </c>
      <c r="C580" s="1" t="s">
        <v>51</v>
      </c>
      <c r="D580" s="2">
        <v>41733</v>
      </c>
      <c r="E580" s="1" t="s">
        <v>101</v>
      </c>
      <c r="F580" s="1" t="s">
        <v>612</v>
      </c>
      <c r="G580" s="1">
        <v>19</v>
      </c>
      <c r="H580" s="1">
        <v>4</v>
      </c>
      <c r="I580" s="1">
        <f t="shared" si="27"/>
        <v>76</v>
      </c>
      <c r="J580" t="str">
        <f t="shared" si="28"/>
        <v>Low</v>
      </c>
      <c r="K580" s="1"/>
      <c r="L580" s="1">
        <v>0.09</v>
      </c>
      <c r="M580" s="1">
        <v>1.3</v>
      </c>
      <c r="N580" s="1" t="s">
        <v>25</v>
      </c>
      <c r="O580" s="1" t="s">
        <v>55</v>
      </c>
      <c r="P580" s="2">
        <v>41735</v>
      </c>
      <c r="Q580" s="2" t="b">
        <f t="shared" si="29"/>
        <v>0</v>
      </c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</row>
    <row r="581" spans="1:35" ht="14.25" customHeight="1" x14ac:dyDescent="0.2">
      <c r="A581" s="1">
        <v>36452</v>
      </c>
      <c r="B581" s="1" t="s">
        <v>769</v>
      </c>
      <c r="C581" s="1" t="s">
        <v>21</v>
      </c>
      <c r="D581" s="2">
        <v>41734</v>
      </c>
      <c r="E581" s="1" t="s">
        <v>31</v>
      </c>
      <c r="F581" s="1" t="s">
        <v>770</v>
      </c>
      <c r="G581" s="1">
        <v>26</v>
      </c>
      <c r="H581" s="1">
        <v>22.38</v>
      </c>
      <c r="I581" s="1">
        <f t="shared" si="27"/>
        <v>581.88</v>
      </c>
      <c r="J581" t="str">
        <f t="shared" si="28"/>
        <v>Low</v>
      </c>
      <c r="K581" s="1"/>
      <c r="L581" s="1">
        <v>0.1</v>
      </c>
      <c r="M581" s="1">
        <v>15.1</v>
      </c>
      <c r="N581" s="1" t="s">
        <v>33</v>
      </c>
      <c r="O581" s="1" t="s">
        <v>34</v>
      </c>
      <c r="P581" s="2">
        <v>41735</v>
      </c>
      <c r="Q581" s="2" t="b">
        <f t="shared" si="29"/>
        <v>0</v>
      </c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</row>
    <row r="582" spans="1:35" ht="14.25" customHeight="1" x14ac:dyDescent="0.2">
      <c r="A582" s="1">
        <v>36452</v>
      </c>
      <c r="B582" s="1" t="s">
        <v>769</v>
      </c>
      <c r="C582" s="1" t="s">
        <v>51</v>
      </c>
      <c r="D582" s="2">
        <v>41734</v>
      </c>
      <c r="E582" s="1" t="s">
        <v>31</v>
      </c>
      <c r="F582" s="1" t="s">
        <v>771</v>
      </c>
      <c r="G582" s="1">
        <v>18</v>
      </c>
      <c r="H582" s="1">
        <v>6.98</v>
      </c>
      <c r="I582" s="1">
        <f t="shared" si="27"/>
        <v>125.64000000000001</v>
      </c>
      <c r="J582" t="str">
        <f t="shared" si="28"/>
        <v>Low</v>
      </c>
      <c r="K582" s="1"/>
      <c r="L582" s="1">
        <v>0.04</v>
      </c>
      <c r="M582" s="1">
        <v>2.83</v>
      </c>
      <c r="N582" s="1" t="s">
        <v>33</v>
      </c>
      <c r="O582" s="1" t="s">
        <v>84</v>
      </c>
      <c r="P582" s="2">
        <v>41736</v>
      </c>
      <c r="Q582" s="2" t="b">
        <f t="shared" si="29"/>
        <v>0</v>
      </c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</row>
    <row r="583" spans="1:35" ht="14.25" customHeight="1" x14ac:dyDescent="0.2">
      <c r="A583" s="1">
        <v>13765</v>
      </c>
      <c r="B583" s="1" t="s">
        <v>772</v>
      </c>
      <c r="C583" s="1" t="s">
        <v>21</v>
      </c>
      <c r="D583" s="2">
        <v>41734</v>
      </c>
      <c r="E583" s="1" t="s">
        <v>22</v>
      </c>
      <c r="F583" s="1" t="s">
        <v>773</v>
      </c>
      <c r="G583" s="1">
        <v>45</v>
      </c>
      <c r="H583" s="1">
        <v>36.549999999999997</v>
      </c>
      <c r="I583" s="1">
        <f t="shared" si="27"/>
        <v>1644.7499999999998</v>
      </c>
      <c r="J583" t="str">
        <f t="shared" si="28"/>
        <v>High</v>
      </c>
      <c r="K583" s="1"/>
      <c r="L583" s="1">
        <v>0.1</v>
      </c>
      <c r="M583" s="1">
        <v>13.89</v>
      </c>
      <c r="N583" s="1" t="s">
        <v>33</v>
      </c>
      <c r="O583" s="1" t="s">
        <v>55</v>
      </c>
      <c r="P583" s="2">
        <v>41736</v>
      </c>
      <c r="Q583" s="2" t="b">
        <f t="shared" si="29"/>
        <v>0</v>
      </c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</row>
    <row r="584" spans="1:35" ht="14.25" customHeight="1" x14ac:dyDescent="0.2">
      <c r="A584" s="1">
        <v>50016</v>
      </c>
      <c r="B584" s="1" t="s">
        <v>774</v>
      </c>
      <c r="C584" s="1" t="s">
        <v>51</v>
      </c>
      <c r="D584" s="2">
        <v>41734</v>
      </c>
      <c r="E584" s="1" t="s">
        <v>31</v>
      </c>
      <c r="F584" s="1" t="s">
        <v>775</v>
      </c>
      <c r="G584" s="1">
        <v>15</v>
      </c>
      <c r="H584" s="1">
        <v>85.99</v>
      </c>
      <c r="I584" s="1">
        <f t="shared" si="27"/>
        <v>1289.8499999999999</v>
      </c>
      <c r="J584" t="str">
        <f t="shared" si="28"/>
        <v>High</v>
      </c>
      <c r="K584" s="1"/>
      <c r="L584" s="1">
        <v>0.05</v>
      </c>
      <c r="M584" s="1">
        <v>0.99</v>
      </c>
      <c r="N584" s="1" t="s">
        <v>33</v>
      </c>
      <c r="O584" s="1" t="s">
        <v>55</v>
      </c>
      <c r="P584" s="2">
        <v>41736</v>
      </c>
      <c r="Q584" s="2" t="b">
        <f t="shared" si="29"/>
        <v>0</v>
      </c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</row>
    <row r="585" spans="1:35" ht="14.25" customHeight="1" x14ac:dyDescent="0.2">
      <c r="A585" s="1">
        <v>10851</v>
      </c>
      <c r="B585" s="1" t="s">
        <v>776</v>
      </c>
      <c r="C585" s="1" t="s">
        <v>51</v>
      </c>
      <c r="D585" s="2">
        <v>41735</v>
      </c>
      <c r="E585" s="1" t="s">
        <v>31</v>
      </c>
      <c r="F585" s="1" t="s">
        <v>777</v>
      </c>
      <c r="G585" s="1">
        <v>50</v>
      </c>
      <c r="H585" s="1">
        <v>12.88</v>
      </c>
      <c r="I585" s="1">
        <f t="shared" si="27"/>
        <v>644</v>
      </c>
      <c r="J585" t="str">
        <f t="shared" si="28"/>
        <v>Low</v>
      </c>
      <c r="K585" s="1"/>
      <c r="L585" s="1">
        <v>0.09</v>
      </c>
      <c r="M585" s="1">
        <v>4.59</v>
      </c>
      <c r="N585" s="1" t="s">
        <v>33</v>
      </c>
      <c r="O585" s="1" t="s">
        <v>55</v>
      </c>
      <c r="P585" s="2">
        <v>41735</v>
      </c>
      <c r="Q585" s="2" t="b">
        <f t="shared" si="29"/>
        <v>0</v>
      </c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</row>
    <row r="586" spans="1:35" ht="14.25" customHeight="1" x14ac:dyDescent="0.2">
      <c r="A586" s="1">
        <v>26918</v>
      </c>
      <c r="B586" s="1" t="s">
        <v>304</v>
      </c>
      <c r="C586" s="1" t="s">
        <v>21</v>
      </c>
      <c r="D586" s="2">
        <v>41735</v>
      </c>
      <c r="E586" s="1" t="s">
        <v>43</v>
      </c>
      <c r="F586" s="1" t="s">
        <v>690</v>
      </c>
      <c r="G586" s="1">
        <v>16</v>
      </c>
      <c r="H586" s="1">
        <v>4.84</v>
      </c>
      <c r="I586" s="1">
        <f t="shared" si="27"/>
        <v>77.44</v>
      </c>
      <c r="J586" t="str">
        <f t="shared" si="28"/>
        <v>Low</v>
      </c>
      <c r="K586" s="1"/>
      <c r="L586" s="1">
        <v>0.05</v>
      </c>
      <c r="M586" s="1">
        <v>0.71</v>
      </c>
      <c r="N586" s="1" t="s">
        <v>33</v>
      </c>
      <c r="O586" s="1" t="s">
        <v>55</v>
      </c>
      <c r="P586" s="2">
        <v>41744</v>
      </c>
      <c r="Q586" s="2" t="b">
        <f t="shared" si="29"/>
        <v>0</v>
      </c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</row>
    <row r="587" spans="1:35" ht="14.25" customHeight="1" x14ac:dyDescent="0.2">
      <c r="A587" s="1">
        <v>40544</v>
      </c>
      <c r="B587" s="1" t="s">
        <v>778</v>
      </c>
      <c r="C587" s="1" t="s">
        <v>21</v>
      </c>
      <c r="D587" s="2">
        <v>41735</v>
      </c>
      <c r="E587" s="1" t="s">
        <v>43</v>
      </c>
      <c r="F587" s="1" t="s">
        <v>465</v>
      </c>
      <c r="G587" s="1">
        <v>39</v>
      </c>
      <c r="H587" s="1">
        <v>60.65</v>
      </c>
      <c r="I587" s="1">
        <f t="shared" si="27"/>
        <v>2365.35</v>
      </c>
      <c r="J587" t="str">
        <f t="shared" si="28"/>
        <v>High</v>
      </c>
      <c r="K587" s="1"/>
      <c r="L587" s="1">
        <v>0.06</v>
      </c>
      <c r="M587" s="1">
        <v>12.23</v>
      </c>
      <c r="N587" s="1" t="s">
        <v>33</v>
      </c>
      <c r="O587" s="1" t="s">
        <v>72</v>
      </c>
      <c r="P587" s="2">
        <v>41737</v>
      </c>
      <c r="Q587" s="2" t="b">
        <f t="shared" si="29"/>
        <v>0</v>
      </c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</row>
    <row r="588" spans="1:35" ht="14.25" customHeight="1" x14ac:dyDescent="0.2">
      <c r="A588" s="1">
        <v>14114</v>
      </c>
      <c r="B588" s="1" t="s">
        <v>779</v>
      </c>
      <c r="C588" s="1" t="s">
        <v>51</v>
      </c>
      <c r="D588" s="2">
        <v>41735</v>
      </c>
      <c r="E588" s="1" t="s">
        <v>38</v>
      </c>
      <c r="F588" s="1" t="s">
        <v>780</v>
      </c>
      <c r="G588" s="1">
        <v>29</v>
      </c>
      <c r="H588" s="1">
        <v>2.1800000000000002</v>
      </c>
      <c r="I588" s="1">
        <f t="shared" si="27"/>
        <v>63.220000000000006</v>
      </c>
      <c r="J588" t="str">
        <f t="shared" si="28"/>
        <v>Low</v>
      </c>
      <c r="K588" s="1"/>
      <c r="L588" s="1">
        <v>0.03</v>
      </c>
      <c r="M588" s="1">
        <v>1.38</v>
      </c>
      <c r="N588" s="1" t="s">
        <v>33</v>
      </c>
      <c r="O588" s="1" t="s">
        <v>55</v>
      </c>
      <c r="P588" s="2">
        <v>41735</v>
      </c>
      <c r="Q588" s="2" t="b">
        <f t="shared" si="29"/>
        <v>0</v>
      </c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</row>
    <row r="589" spans="1:35" ht="14.25" customHeight="1" x14ac:dyDescent="0.2">
      <c r="A589" s="1">
        <v>42599</v>
      </c>
      <c r="B589" s="1" t="s">
        <v>781</v>
      </c>
      <c r="C589" s="1" t="s">
        <v>30</v>
      </c>
      <c r="D589" s="2">
        <v>41735</v>
      </c>
      <c r="E589" s="1" t="s">
        <v>101</v>
      </c>
      <c r="F589" s="1" t="s">
        <v>782</v>
      </c>
      <c r="G589" s="1">
        <v>31</v>
      </c>
      <c r="H589" s="1">
        <v>300.98</v>
      </c>
      <c r="I589" s="1">
        <f t="shared" si="27"/>
        <v>9330.380000000001</v>
      </c>
      <c r="J589" t="str">
        <f t="shared" si="28"/>
        <v>High</v>
      </c>
      <c r="K589" s="1"/>
      <c r="L589" s="1">
        <v>0.04</v>
      </c>
      <c r="M589" s="1">
        <v>54.92</v>
      </c>
      <c r="N589" s="1" t="s">
        <v>45</v>
      </c>
      <c r="O589" s="1" t="s">
        <v>63</v>
      </c>
      <c r="P589" s="2">
        <v>41736</v>
      </c>
      <c r="Q589" s="2" t="b">
        <f t="shared" si="29"/>
        <v>0</v>
      </c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</row>
    <row r="590" spans="1:35" ht="14.25" customHeight="1" x14ac:dyDescent="0.2">
      <c r="A590" s="1">
        <v>14114</v>
      </c>
      <c r="B590" s="1" t="s">
        <v>779</v>
      </c>
      <c r="C590" s="1" t="s">
        <v>30</v>
      </c>
      <c r="D590" s="2">
        <v>41735</v>
      </c>
      <c r="E590" s="1" t="s">
        <v>38</v>
      </c>
      <c r="F590" s="1" t="s">
        <v>565</v>
      </c>
      <c r="G590" s="1">
        <v>38</v>
      </c>
      <c r="H590" s="1">
        <v>170.98</v>
      </c>
      <c r="I590" s="1">
        <f t="shared" si="27"/>
        <v>6497.24</v>
      </c>
      <c r="J590" t="str">
        <f t="shared" si="28"/>
        <v>High</v>
      </c>
      <c r="K590" s="1"/>
      <c r="L590" s="1">
        <v>0.01</v>
      </c>
      <c r="M590" s="1">
        <v>35.89</v>
      </c>
      <c r="N590" s="1" t="s">
        <v>45</v>
      </c>
      <c r="O590" s="1" t="s">
        <v>63</v>
      </c>
      <c r="P590" s="2">
        <v>41737</v>
      </c>
      <c r="Q590" s="2" t="b">
        <f t="shared" si="29"/>
        <v>0</v>
      </c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</row>
    <row r="591" spans="1:35" ht="14.25" customHeight="1" x14ac:dyDescent="0.2">
      <c r="A591" s="1">
        <v>14114</v>
      </c>
      <c r="B591" s="1" t="s">
        <v>779</v>
      </c>
      <c r="C591" s="1" t="s">
        <v>51</v>
      </c>
      <c r="D591" s="2">
        <v>41735</v>
      </c>
      <c r="E591" s="1" t="s">
        <v>38</v>
      </c>
      <c r="F591" s="1" t="s">
        <v>783</v>
      </c>
      <c r="G591" s="1">
        <v>41</v>
      </c>
      <c r="H591" s="1">
        <v>5.77</v>
      </c>
      <c r="I591" s="1">
        <f t="shared" si="27"/>
        <v>236.57</v>
      </c>
      <c r="J591" t="str">
        <f t="shared" si="28"/>
        <v>Low</v>
      </c>
      <c r="K591" s="1"/>
      <c r="L591" s="1">
        <v>0.05</v>
      </c>
      <c r="M591" s="1">
        <v>5.92</v>
      </c>
      <c r="N591" s="1" t="s">
        <v>33</v>
      </c>
      <c r="O591" s="1" t="s">
        <v>72</v>
      </c>
      <c r="P591" s="2">
        <v>41735</v>
      </c>
      <c r="Q591" s="2" t="b">
        <f t="shared" si="29"/>
        <v>0</v>
      </c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</row>
    <row r="592" spans="1:35" ht="14.25" customHeight="1" x14ac:dyDescent="0.2">
      <c r="A592" s="1">
        <v>10851</v>
      </c>
      <c r="B592" s="1" t="s">
        <v>776</v>
      </c>
      <c r="C592" s="1" t="s">
        <v>30</v>
      </c>
      <c r="D592" s="2">
        <v>41735</v>
      </c>
      <c r="E592" s="1" t="s">
        <v>31</v>
      </c>
      <c r="F592" s="1" t="s">
        <v>784</v>
      </c>
      <c r="G592" s="1">
        <v>14</v>
      </c>
      <c r="H592" s="1">
        <v>45.99</v>
      </c>
      <c r="I592" s="1">
        <f t="shared" si="27"/>
        <v>643.86</v>
      </c>
      <c r="J592" t="str">
        <f t="shared" si="28"/>
        <v>Low</v>
      </c>
      <c r="K592" s="1"/>
      <c r="L592" s="1">
        <v>0.02</v>
      </c>
      <c r="M592" s="1">
        <v>4.99</v>
      </c>
      <c r="N592" s="1" t="s">
        <v>25</v>
      </c>
      <c r="O592" s="1" t="s">
        <v>34</v>
      </c>
      <c r="P592" s="2">
        <v>41736</v>
      </c>
      <c r="Q592" s="2" t="b">
        <f t="shared" si="29"/>
        <v>0</v>
      </c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</row>
    <row r="593" spans="1:35" ht="14.25" customHeight="1" x14ac:dyDescent="0.2">
      <c r="A593" s="1">
        <v>5921</v>
      </c>
      <c r="B593" s="1" t="s">
        <v>785</v>
      </c>
      <c r="C593" s="1" t="s">
        <v>21</v>
      </c>
      <c r="D593" s="2">
        <v>41735</v>
      </c>
      <c r="E593" s="1" t="s">
        <v>43</v>
      </c>
      <c r="F593" s="1" t="s">
        <v>241</v>
      </c>
      <c r="G593" s="1">
        <v>27</v>
      </c>
      <c r="H593" s="1">
        <v>13.43</v>
      </c>
      <c r="I593" s="1">
        <f t="shared" si="27"/>
        <v>362.61</v>
      </c>
      <c r="J593" t="str">
        <f t="shared" si="28"/>
        <v>Low</v>
      </c>
      <c r="K593" s="1"/>
      <c r="L593" s="1">
        <v>0.01</v>
      </c>
      <c r="M593" s="1">
        <v>5.5</v>
      </c>
      <c r="N593" s="1" t="s">
        <v>25</v>
      </c>
      <c r="O593" s="1" t="s">
        <v>34</v>
      </c>
      <c r="P593" s="2">
        <v>41742</v>
      </c>
      <c r="Q593" s="2" t="b">
        <f t="shared" si="29"/>
        <v>0</v>
      </c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</row>
    <row r="594" spans="1:35" ht="14.25" customHeight="1" x14ac:dyDescent="0.2">
      <c r="A594" s="1">
        <v>14530</v>
      </c>
      <c r="B594" s="1" t="s">
        <v>786</v>
      </c>
      <c r="C594" s="1" t="s">
        <v>21</v>
      </c>
      <c r="D594" s="2">
        <v>41735</v>
      </c>
      <c r="E594" s="1" t="s">
        <v>31</v>
      </c>
      <c r="F594" s="1" t="s">
        <v>787</v>
      </c>
      <c r="G594" s="1">
        <v>17</v>
      </c>
      <c r="H594" s="1">
        <v>89.83</v>
      </c>
      <c r="I594" s="1">
        <f t="shared" si="27"/>
        <v>1527.11</v>
      </c>
      <c r="J594" t="str">
        <f t="shared" si="28"/>
        <v>High</v>
      </c>
      <c r="K594" s="1"/>
      <c r="L594" s="1">
        <v>0.06</v>
      </c>
      <c r="M594" s="1">
        <v>35</v>
      </c>
      <c r="N594" s="1" t="s">
        <v>33</v>
      </c>
      <c r="O594" s="1" t="s">
        <v>26</v>
      </c>
      <c r="P594" s="2">
        <v>41737</v>
      </c>
      <c r="Q594" s="2" t="b">
        <f t="shared" si="29"/>
        <v>0</v>
      </c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</row>
    <row r="595" spans="1:35" ht="14.25" customHeight="1" x14ac:dyDescent="0.2">
      <c r="A595" s="1">
        <v>14530</v>
      </c>
      <c r="B595" s="1" t="s">
        <v>786</v>
      </c>
      <c r="C595" s="1" t="s">
        <v>21</v>
      </c>
      <c r="D595" s="2">
        <v>41735</v>
      </c>
      <c r="E595" s="1" t="s">
        <v>31</v>
      </c>
      <c r="F595" s="1" t="s">
        <v>241</v>
      </c>
      <c r="G595" s="1">
        <v>49</v>
      </c>
      <c r="H595" s="1">
        <v>13.43</v>
      </c>
      <c r="I595" s="1">
        <f t="shared" si="27"/>
        <v>658.06999999999994</v>
      </c>
      <c r="J595" t="str">
        <f t="shared" si="28"/>
        <v>Low</v>
      </c>
      <c r="K595" s="1"/>
      <c r="L595" s="1">
        <v>0.1</v>
      </c>
      <c r="M595" s="1">
        <v>5.5</v>
      </c>
      <c r="N595" s="1" t="s">
        <v>33</v>
      </c>
      <c r="O595" s="1" t="s">
        <v>34</v>
      </c>
      <c r="P595" s="2">
        <v>41737</v>
      </c>
      <c r="Q595" s="2" t="b">
        <f t="shared" si="29"/>
        <v>0</v>
      </c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</row>
    <row r="596" spans="1:35" ht="14.25" customHeight="1" x14ac:dyDescent="0.2">
      <c r="A596" s="1">
        <v>14530</v>
      </c>
      <c r="B596" s="1" t="s">
        <v>786</v>
      </c>
      <c r="C596" s="1" t="s">
        <v>51</v>
      </c>
      <c r="D596" s="2">
        <v>41735</v>
      </c>
      <c r="E596" s="1" t="s">
        <v>31</v>
      </c>
      <c r="F596" s="1" t="s">
        <v>421</v>
      </c>
      <c r="G596" s="1">
        <v>44</v>
      </c>
      <c r="H596" s="1">
        <v>125.99</v>
      </c>
      <c r="I596" s="1">
        <f t="shared" si="27"/>
        <v>5543.5599999999995</v>
      </c>
      <c r="J596" t="str">
        <f t="shared" si="28"/>
        <v>High</v>
      </c>
      <c r="K596" s="1"/>
      <c r="L596" s="1">
        <v>0.01</v>
      </c>
      <c r="M596" s="1">
        <v>7.69</v>
      </c>
      <c r="N596" s="1" t="s">
        <v>33</v>
      </c>
      <c r="O596" s="1" t="s">
        <v>34</v>
      </c>
      <c r="P596" s="2">
        <v>41735</v>
      </c>
      <c r="Q596" s="2" t="b">
        <f t="shared" si="29"/>
        <v>0</v>
      </c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</row>
    <row r="597" spans="1:35" ht="14.25" customHeight="1" x14ac:dyDescent="0.2">
      <c r="A597" s="1">
        <v>35361</v>
      </c>
      <c r="B597" s="1" t="s">
        <v>788</v>
      </c>
      <c r="C597" s="1" t="s">
        <v>21</v>
      </c>
      <c r="D597" s="2">
        <v>41735</v>
      </c>
      <c r="E597" s="1" t="s">
        <v>101</v>
      </c>
      <c r="F597" s="1" t="s">
        <v>269</v>
      </c>
      <c r="G597" s="1">
        <v>40</v>
      </c>
      <c r="H597" s="1">
        <v>18.97</v>
      </c>
      <c r="I597" s="1">
        <f t="shared" si="27"/>
        <v>758.8</v>
      </c>
      <c r="J597" t="str">
        <f t="shared" si="28"/>
        <v>Low</v>
      </c>
      <c r="K597" s="1"/>
      <c r="L597" s="1">
        <v>0.09</v>
      </c>
      <c r="M597" s="1">
        <v>9.0299999999999994</v>
      </c>
      <c r="N597" s="1" t="s">
        <v>25</v>
      </c>
      <c r="O597" s="1" t="s">
        <v>34</v>
      </c>
      <c r="P597" s="2">
        <v>41736</v>
      </c>
      <c r="Q597" s="2" t="b">
        <f t="shared" si="29"/>
        <v>0</v>
      </c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</row>
    <row r="598" spans="1:35" ht="14.25" customHeight="1" x14ac:dyDescent="0.2">
      <c r="A598" s="1">
        <v>35361</v>
      </c>
      <c r="B598" s="1" t="s">
        <v>788</v>
      </c>
      <c r="C598" s="1" t="s">
        <v>51</v>
      </c>
      <c r="D598" s="2">
        <v>41735</v>
      </c>
      <c r="E598" s="1" t="s">
        <v>101</v>
      </c>
      <c r="F598" s="1" t="s">
        <v>380</v>
      </c>
      <c r="G598" s="1">
        <v>37</v>
      </c>
      <c r="H598" s="1">
        <v>8.34</v>
      </c>
      <c r="I598" s="1">
        <f t="shared" si="27"/>
        <v>308.58</v>
      </c>
      <c r="J598" t="str">
        <f t="shared" si="28"/>
        <v>Low</v>
      </c>
      <c r="K598" s="1"/>
      <c r="L598" s="1">
        <v>0</v>
      </c>
      <c r="M598" s="1">
        <v>4.82</v>
      </c>
      <c r="N598" s="1" t="s">
        <v>33</v>
      </c>
      <c r="O598" s="1" t="s">
        <v>34</v>
      </c>
      <c r="P598" s="2">
        <v>41736</v>
      </c>
      <c r="Q598" s="2" t="b">
        <f t="shared" si="29"/>
        <v>0</v>
      </c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</row>
    <row r="599" spans="1:35" ht="14.25" customHeight="1" x14ac:dyDescent="0.2">
      <c r="A599" s="1">
        <v>8994</v>
      </c>
      <c r="B599" s="1" t="s">
        <v>719</v>
      </c>
      <c r="C599" s="1" t="s">
        <v>21</v>
      </c>
      <c r="D599" s="2">
        <v>41736</v>
      </c>
      <c r="E599" s="1" t="s">
        <v>43</v>
      </c>
      <c r="F599" s="1" t="s">
        <v>789</v>
      </c>
      <c r="G599" s="1">
        <v>36</v>
      </c>
      <c r="H599" s="1">
        <v>40.479999999999997</v>
      </c>
      <c r="I599" s="1">
        <f t="shared" si="27"/>
        <v>1457.28</v>
      </c>
      <c r="J599" t="str">
        <f t="shared" si="28"/>
        <v>High</v>
      </c>
      <c r="K599" s="1"/>
      <c r="L599" s="1">
        <v>0.1</v>
      </c>
      <c r="M599" s="1">
        <v>19.989999999999998</v>
      </c>
      <c r="N599" s="1" t="s">
        <v>33</v>
      </c>
      <c r="O599" s="1" t="s">
        <v>34</v>
      </c>
      <c r="P599" s="2">
        <v>41738</v>
      </c>
      <c r="Q599" s="2" t="b">
        <f t="shared" si="29"/>
        <v>0</v>
      </c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</row>
    <row r="600" spans="1:35" ht="14.25" customHeight="1" x14ac:dyDescent="0.2">
      <c r="A600" s="1">
        <v>3777</v>
      </c>
      <c r="B600" s="1" t="s">
        <v>790</v>
      </c>
      <c r="C600" s="1" t="s">
        <v>21</v>
      </c>
      <c r="D600" s="2">
        <v>41736</v>
      </c>
      <c r="E600" s="1" t="s">
        <v>101</v>
      </c>
      <c r="F600" s="1" t="s">
        <v>791</v>
      </c>
      <c r="G600" s="1">
        <v>14</v>
      </c>
      <c r="H600" s="1">
        <v>17.670000000000002</v>
      </c>
      <c r="I600" s="1">
        <f t="shared" si="27"/>
        <v>247.38000000000002</v>
      </c>
      <c r="J600" t="str">
        <f t="shared" si="28"/>
        <v>Low</v>
      </c>
      <c r="K600" s="1"/>
      <c r="L600" s="1">
        <v>0.06</v>
      </c>
      <c r="M600" s="1">
        <v>8.99</v>
      </c>
      <c r="N600" s="1" t="s">
        <v>25</v>
      </c>
      <c r="O600" s="1" t="s">
        <v>84</v>
      </c>
      <c r="P600" s="2">
        <v>41737</v>
      </c>
      <c r="Q600" s="2" t="b">
        <f t="shared" si="29"/>
        <v>0</v>
      </c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</row>
    <row r="601" spans="1:35" ht="14.25" customHeight="1" x14ac:dyDescent="0.2">
      <c r="A601" s="1">
        <v>34432</v>
      </c>
      <c r="B601" s="1" t="s">
        <v>792</v>
      </c>
      <c r="C601" s="1" t="s">
        <v>51</v>
      </c>
      <c r="D601" s="2">
        <v>41736</v>
      </c>
      <c r="E601" s="1" t="s">
        <v>22</v>
      </c>
      <c r="F601" s="1" t="s">
        <v>793</v>
      </c>
      <c r="G601" s="1">
        <v>20</v>
      </c>
      <c r="H601" s="1">
        <v>12.53</v>
      </c>
      <c r="I601" s="1">
        <f t="shared" si="27"/>
        <v>250.6</v>
      </c>
      <c r="J601" t="str">
        <f t="shared" si="28"/>
        <v>Low</v>
      </c>
      <c r="K601" s="1"/>
      <c r="L601" s="1">
        <v>0.08</v>
      </c>
      <c r="M601" s="1">
        <v>0.5</v>
      </c>
      <c r="N601" s="1" t="s">
        <v>33</v>
      </c>
      <c r="O601" s="1" t="s">
        <v>34</v>
      </c>
      <c r="P601" s="2">
        <v>41737</v>
      </c>
      <c r="Q601" s="2" t="b">
        <f t="shared" si="29"/>
        <v>0</v>
      </c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</row>
    <row r="602" spans="1:35" ht="14.25" customHeight="1" x14ac:dyDescent="0.2">
      <c r="A602" s="1">
        <v>34432</v>
      </c>
      <c r="B602" s="1" t="s">
        <v>792</v>
      </c>
      <c r="C602" s="1" t="s">
        <v>21</v>
      </c>
      <c r="D602" s="2">
        <v>41736</v>
      </c>
      <c r="E602" s="1" t="s">
        <v>22</v>
      </c>
      <c r="F602" s="1" t="s">
        <v>407</v>
      </c>
      <c r="G602" s="1">
        <v>3</v>
      </c>
      <c r="H602" s="1">
        <v>178.47</v>
      </c>
      <c r="I602" s="1">
        <f t="shared" si="27"/>
        <v>535.41</v>
      </c>
      <c r="J602" t="str">
        <f t="shared" si="28"/>
        <v>Low</v>
      </c>
      <c r="K602" s="1"/>
      <c r="L602" s="1">
        <v>0.02</v>
      </c>
      <c r="M602" s="1">
        <v>19.989999999999998</v>
      </c>
      <c r="N602" s="1" t="s">
        <v>33</v>
      </c>
      <c r="O602" s="1" t="s">
        <v>34</v>
      </c>
      <c r="P602" s="2">
        <v>41737</v>
      </c>
      <c r="Q602" s="2" t="b">
        <f t="shared" si="29"/>
        <v>0</v>
      </c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</row>
    <row r="603" spans="1:35" ht="14.25" customHeight="1" x14ac:dyDescent="0.2">
      <c r="A603" s="1">
        <v>5509</v>
      </c>
      <c r="B603" s="1" t="s">
        <v>745</v>
      </c>
      <c r="C603" s="1" t="s">
        <v>51</v>
      </c>
      <c r="D603" s="2">
        <v>41736</v>
      </c>
      <c r="E603" s="1" t="s">
        <v>43</v>
      </c>
      <c r="F603" s="1" t="s">
        <v>794</v>
      </c>
      <c r="G603" s="1">
        <v>11</v>
      </c>
      <c r="H603" s="1">
        <v>5.58</v>
      </c>
      <c r="I603" s="1">
        <f t="shared" si="27"/>
        <v>61.38</v>
      </c>
      <c r="J603" t="str">
        <f t="shared" si="28"/>
        <v>Low</v>
      </c>
      <c r="K603" s="1"/>
      <c r="L603" s="1">
        <v>0.02</v>
      </c>
      <c r="M603" s="1">
        <v>5.3</v>
      </c>
      <c r="N603" s="1" t="s">
        <v>33</v>
      </c>
      <c r="O603" s="1" t="s">
        <v>34</v>
      </c>
      <c r="P603" s="2">
        <v>41741</v>
      </c>
      <c r="Q603" s="2" t="b">
        <f t="shared" si="29"/>
        <v>0</v>
      </c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</row>
    <row r="604" spans="1:35" ht="14.25" customHeight="1" x14ac:dyDescent="0.2">
      <c r="A604" s="1">
        <v>5509</v>
      </c>
      <c r="B604" s="1" t="s">
        <v>745</v>
      </c>
      <c r="C604" s="1" t="s">
        <v>30</v>
      </c>
      <c r="D604" s="2">
        <v>41736</v>
      </c>
      <c r="E604" s="1" t="s">
        <v>43</v>
      </c>
      <c r="F604" s="1" t="s">
        <v>795</v>
      </c>
      <c r="G604" s="1">
        <v>21</v>
      </c>
      <c r="H604" s="1">
        <v>40.89</v>
      </c>
      <c r="I604" s="1">
        <f t="shared" si="27"/>
        <v>858.69</v>
      </c>
      <c r="J604" t="str">
        <f t="shared" si="28"/>
        <v>Low</v>
      </c>
      <c r="K604" s="1"/>
      <c r="L604" s="1">
        <v>0.03</v>
      </c>
      <c r="M604" s="1">
        <v>18.98</v>
      </c>
      <c r="N604" s="1" t="s">
        <v>33</v>
      </c>
      <c r="O604" s="1" t="s">
        <v>34</v>
      </c>
      <c r="P604" s="2">
        <v>41743</v>
      </c>
      <c r="Q604" s="2" t="b">
        <f t="shared" si="29"/>
        <v>0</v>
      </c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</row>
    <row r="605" spans="1:35" ht="14.25" customHeight="1" x14ac:dyDescent="0.2">
      <c r="A605" s="1">
        <v>10277</v>
      </c>
      <c r="B605" s="1" t="s">
        <v>796</v>
      </c>
      <c r="C605" s="1" t="s">
        <v>21</v>
      </c>
      <c r="D605" s="2">
        <v>41736</v>
      </c>
      <c r="E605" s="1" t="s">
        <v>101</v>
      </c>
      <c r="F605" s="1" t="s">
        <v>797</v>
      </c>
      <c r="G605" s="1">
        <v>36</v>
      </c>
      <c r="H605" s="1">
        <v>65.989999999999995</v>
      </c>
      <c r="I605" s="1">
        <f t="shared" si="27"/>
        <v>2375.64</v>
      </c>
      <c r="J605" t="str">
        <f t="shared" si="28"/>
        <v>High</v>
      </c>
      <c r="K605" s="1"/>
      <c r="L605" s="1">
        <v>0</v>
      </c>
      <c r="M605" s="1">
        <v>5.26</v>
      </c>
      <c r="N605" s="1" t="s">
        <v>33</v>
      </c>
      <c r="O605" s="1" t="s">
        <v>34</v>
      </c>
      <c r="P605" s="2">
        <v>41737</v>
      </c>
      <c r="Q605" s="2" t="b">
        <f t="shared" si="29"/>
        <v>0</v>
      </c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</row>
    <row r="606" spans="1:35" ht="14.25" customHeight="1" x14ac:dyDescent="0.2">
      <c r="A606" s="1">
        <v>31171</v>
      </c>
      <c r="B606" s="1" t="s">
        <v>798</v>
      </c>
      <c r="C606" s="1" t="s">
        <v>51</v>
      </c>
      <c r="D606" s="2">
        <v>41737</v>
      </c>
      <c r="E606" s="1" t="s">
        <v>22</v>
      </c>
      <c r="F606" s="1" t="s">
        <v>692</v>
      </c>
      <c r="G606" s="1">
        <v>37</v>
      </c>
      <c r="H606" s="1">
        <v>4.55</v>
      </c>
      <c r="I606" s="1">
        <f t="shared" si="27"/>
        <v>168.35</v>
      </c>
      <c r="J606" t="str">
        <f t="shared" si="28"/>
        <v>Low</v>
      </c>
      <c r="K606" s="1"/>
      <c r="L606" s="1">
        <v>0.08</v>
      </c>
      <c r="M606" s="1">
        <v>1.49</v>
      </c>
      <c r="N606" s="1" t="s">
        <v>33</v>
      </c>
      <c r="O606" s="1" t="s">
        <v>34</v>
      </c>
      <c r="P606" s="2">
        <v>41738</v>
      </c>
      <c r="Q606" s="2" t="b">
        <f t="shared" si="29"/>
        <v>0</v>
      </c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</row>
    <row r="607" spans="1:35" ht="14.25" customHeight="1" x14ac:dyDescent="0.2">
      <c r="A607" s="1">
        <v>12768</v>
      </c>
      <c r="B607" s="1" t="s">
        <v>799</v>
      </c>
      <c r="C607" s="1" t="s">
        <v>30</v>
      </c>
      <c r="D607" s="2">
        <v>41737</v>
      </c>
      <c r="E607" s="1" t="s">
        <v>38</v>
      </c>
      <c r="F607" s="1" t="s">
        <v>800</v>
      </c>
      <c r="G607" s="1">
        <v>34</v>
      </c>
      <c r="H607" s="1">
        <v>42.98</v>
      </c>
      <c r="I607" s="1">
        <f t="shared" si="27"/>
        <v>1461.32</v>
      </c>
      <c r="J607" t="str">
        <f t="shared" si="28"/>
        <v>High</v>
      </c>
      <c r="K607" s="1"/>
      <c r="L607" s="1">
        <v>0.01</v>
      </c>
      <c r="M607" s="1">
        <v>4.62</v>
      </c>
      <c r="N607" s="1" t="s">
        <v>25</v>
      </c>
      <c r="O607" s="1" t="s">
        <v>34</v>
      </c>
      <c r="P607" s="2">
        <v>41739</v>
      </c>
      <c r="Q607" s="2" t="b">
        <f t="shared" si="29"/>
        <v>0</v>
      </c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</row>
    <row r="608" spans="1:35" ht="14.25" customHeight="1" x14ac:dyDescent="0.2">
      <c r="A608" s="1">
        <v>2722</v>
      </c>
      <c r="B608" s="1" t="s">
        <v>801</v>
      </c>
      <c r="C608" s="1" t="s">
        <v>21</v>
      </c>
      <c r="D608" s="2">
        <v>41737</v>
      </c>
      <c r="E608" s="1" t="s">
        <v>43</v>
      </c>
      <c r="F608" s="1" t="s">
        <v>802</v>
      </c>
      <c r="G608" s="1">
        <v>46</v>
      </c>
      <c r="H608" s="1">
        <v>40.97</v>
      </c>
      <c r="I608" s="1">
        <f t="shared" si="27"/>
        <v>1884.62</v>
      </c>
      <c r="J608" t="str">
        <f t="shared" si="28"/>
        <v>High</v>
      </c>
      <c r="K608" s="1"/>
      <c r="L608" s="1">
        <v>0.06</v>
      </c>
      <c r="M608" s="1">
        <v>1.99</v>
      </c>
      <c r="N608" s="1" t="s">
        <v>33</v>
      </c>
      <c r="O608" s="1" t="s">
        <v>84</v>
      </c>
      <c r="P608" s="2">
        <v>41741</v>
      </c>
      <c r="Q608" s="2" t="b">
        <f t="shared" si="29"/>
        <v>0</v>
      </c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</row>
    <row r="609" spans="1:35" ht="14.25" customHeight="1" x14ac:dyDescent="0.2">
      <c r="A609" s="1">
        <v>1189</v>
      </c>
      <c r="B609" s="1" t="s">
        <v>280</v>
      </c>
      <c r="C609" s="1" t="s">
        <v>21</v>
      </c>
      <c r="D609" s="2">
        <v>41737</v>
      </c>
      <c r="E609" s="1" t="s">
        <v>38</v>
      </c>
      <c r="F609" s="1" t="s">
        <v>803</v>
      </c>
      <c r="G609" s="1">
        <v>27</v>
      </c>
      <c r="H609" s="1">
        <v>4.42</v>
      </c>
      <c r="I609" s="1">
        <f t="shared" si="27"/>
        <v>119.34</v>
      </c>
      <c r="J609" t="str">
        <f t="shared" si="28"/>
        <v>Low</v>
      </c>
      <c r="K609" s="1"/>
      <c r="L609" s="1">
        <v>0</v>
      </c>
      <c r="M609" s="1">
        <v>4.99</v>
      </c>
      <c r="N609" s="1" t="s">
        <v>33</v>
      </c>
      <c r="O609" s="1" t="s">
        <v>34</v>
      </c>
      <c r="P609" s="2">
        <v>41738</v>
      </c>
      <c r="Q609" s="2" t="b">
        <f t="shared" si="29"/>
        <v>0</v>
      </c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</row>
    <row r="610" spans="1:35" ht="14.25" customHeight="1" x14ac:dyDescent="0.2">
      <c r="A610" s="1">
        <v>13028</v>
      </c>
      <c r="B610" s="1" t="s">
        <v>804</v>
      </c>
      <c r="C610" s="1" t="s">
        <v>51</v>
      </c>
      <c r="D610" s="2">
        <v>41737</v>
      </c>
      <c r="E610" s="1" t="s">
        <v>38</v>
      </c>
      <c r="F610" s="1" t="s">
        <v>805</v>
      </c>
      <c r="G610" s="1">
        <v>39</v>
      </c>
      <c r="H610" s="1">
        <v>35.44</v>
      </c>
      <c r="I610" s="1">
        <f t="shared" si="27"/>
        <v>1382.1599999999999</v>
      </c>
      <c r="J610" t="str">
        <f t="shared" si="28"/>
        <v>High</v>
      </c>
      <c r="K610" s="1"/>
      <c r="L610" s="1">
        <v>0.05</v>
      </c>
      <c r="M610" s="1">
        <v>5.09</v>
      </c>
      <c r="N610" s="1" t="s">
        <v>33</v>
      </c>
      <c r="O610" s="1" t="s">
        <v>34</v>
      </c>
      <c r="P610" s="2">
        <v>41738</v>
      </c>
      <c r="Q610" s="2" t="b">
        <f t="shared" si="29"/>
        <v>0</v>
      </c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</row>
    <row r="611" spans="1:35" ht="14.25" customHeight="1" x14ac:dyDescent="0.2">
      <c r="A611" s="1">
        <v>36838</v>
      </c>
      <c r="B611" s="1" t="s">
        <v>369</v>
      </c>
      <c r="C611" s="1" t="s">
        <v>30</v>
      </c>
      <c r="D611" s="2">
        <v>41737</v>
      </c>
      <c r="E611" s="1" t="s">
        <v>43</v>
      </c>
      <c r="F611" s="1" t="s">
        <v>356</v>
      </c>
      <c r="G611" s="1">
        <v>3</v>
      </c>
      <c r="H611" s="1">
        <v>6.3</v>
      </c>
      <c r="I611" s="1">
        <f t="shared" si="27"/>
        <v>18.899999999999999</v>
      </c>
      <c r="J611" t="str">
        <f t="shared" si="28"/>
        <v>Low</v>
      </c>
      <c r="K611" s="1"/>
      <c r="L611" s="1">
        <v>0.06</v>
      </c>
      <c r="M611" s="1">
        <v>0.5</v>
      </c>
      <c r="N611" s="1" t="s">
        <v>25</v>
      </c>
      <c r="O611" s="1" t="s">
        <v>34</v>
      </c>
      <c r="P611" s="2">
        <v>41746</v>
      </c>
      <c r="Q611" s="2" t="b">
        <f t="shared" si="29"/>
        <v>0</v>
      </c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</row>
    <row r="612" spans="1:35" ht="14.25" customHeight="1" x14ac:dyDescent="0.2">
      <c r="A612" s="1">
        <v>39815</v>
      </c>
      <c r="B612" s="1" t="s">
        <v>806</v>
      </c>
      <c r="C612" s="1" t="s">
        <v>30</v>
      </c>
      <c r="D612" s="2">
        <v>41738</v>
      </c>
      <c r="E612" s="1" t="s">
        <v>43</v>
      </c>
      <c r="F612" s="1" t="s">
        <v>807</v>
      </c>
      <c r="G612" s="1">
        <v>43</v>
      </c>
      <c r="H612" s="1">
        <v>115.99</v>
      </c>
      <c r="I612" s="1">
        <f t="shared" si="27"/>
        <v>4987.57</v>
      </c>
      <c r="J612" t="str">
        <f t="shared" si="28"/>
        <v>High</v>
      </c>
      <c r="K612" s="1"/>
      <c r="L612" s="1">
        <v>0.05</v>
      </c>
      <c r="M612" s="1">
        <v>8.99</v>
      </c>
      <c r="N612" s="1" t="s">
        <v>33</v>
      </c>
      <c r="O612" s="1" t="s">
        <v>34</v>
      </c>
      <c r="P612" s="2">
        <v>41742</v>
      </c>
      <c r="Q612" s="2" t="b">
        <f t="shared" si="29"/>
        <v>0</v>
      </c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</row>
    <row r="613" spans="1:35" ht="14.25" customHeight="1" x14ac:dyDescent="0.2">
      <c r="A613" s="1">
        <v>40258</v>
      </c>
      <c r="B613" s="1" t="s">
        <v>778</v>
      </c>
      <c r="C613" s="1" t="s">
        <v>51</v>
      </c>
      <c r="D613" s="2">
        <v>41738</v>
      </c>
      <c r="E613" s="1" t="s">
        <v>22</v>
      </c>
      <c r="F613" s="1" t="s">
        <v>253</v>
      </c>
      <c r="G613" s="1">
        <v>31</v>
      </c>
      <c r="H613" s="1">
        <v>14.81</v>
      </c>
      <c r="I613" s="1">
        <f t="shared" si="27"/>
        <v>459.11</v>
      </c>
      <c r="J613" t="str">
        <f t="shared" si="28"/>
        <v>Low</v>
      </c>
      <c r="K613" s="1"/>
      <c r="L613" s="1">
        <v>0.05</v>
      </c>
      <c r="M613" s="1">
        <v>13.32</v>
      </c>
      <c r="N613" s="1" t="s">
        <v>33</v>
      </c>
      <c r="O613" s="1" t="s">
        <v>34</v>
      </c>
      <c r="P613" s="2">
        <v>41740</v>
      </c>
      <c r="Q613" s="2" t="b">
        <f t="shared" si="29"/>
        <v>0</v>
      </c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</row>
    <row r="614" spans="1:35" ht="14.25" customHeight="1" x14ac:dyDescent="0.2">
      <c r="A614" s="1">
        <v>40258</v>
      </c>
      <c r="B614" s="1" t="s">
        <v>778</v>
      </c>
      <c r="C614" s="1" t="s">
        <v>51</v>
      </c>
      <c r="D614" s="2">
        <v>41738</v>
      </c>
      <c r="E614" s="1" t="s">
        <v>22</v>
      </c>
      <c r="F614" s="1" t="s">
        <v>808</v>
      </c>
      <c r="G614" s="1">
        <v>29</v>
      </c>
      <c r="H614" s="1">
        <v>2.78</v>
      </c>
      <c r="I614" s="1">
        <f t="shared" si="27"/>
        <v>80.61999999999999</v>
      </c>
      <c r="J614" t="str">
        <f t="shared" si="28"/>
        <v>Low</v>
      </c>
      <c r="K614" s="1"/>
      <c r="L614" s="1">
        <v>0.08</v>
      </c>
      <c r="M614" s="1">
        <v>1.25</v>
      </c>
      <c r="N614" s="1" t="s">
        <v>33</v>
      </c>
      <c r="O614" s="1" t="s">
        <v>55</v>
      </c>
      <c r="P614" s="2">
        <v>41739</v>
      </c>
      <c r="Q614" s="2" t="b">
        <f t="shared" si="29"/>
        <v>0</v>
      </c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</row>
    <row r="615" spans="1:35" ht="14.25" customHeight="1" x14ac:dyDescent="0.2">
      <c r="A615" s="1">
        <v>8646</v>
      </c>
      <c r="B615" s="1" t="s">
        <v>809</v>
      </c>
      <c r="C615" s="1" t="s">
        <v>51</v>
      </c>
      <c r="D615" s="2">
        <v>41738</v>
      </c>
      <c r="E615" s="1" t="s">
        <v>31</v>
      </c>
      <c r="F615" s="1" t="s">
        <v>810</v>
      </c>
      <c r="G615" s="1">
        <v>8</v>
      </c>
      <c r="H615" s="1">
        <v>4.4800000000000004</v>
      </c>
      <c r="I615" s="1">
        <f t="shared" si="27"/>
        <v>35.840000000000003</v>
      </c>
      <c r="J615" t="str">
        <f t="shared" si="28"/>
        <v>Low</v>
      </c>
      <c r="K615" s="1"/>
      <c r="L615" s="1">
        <v>0.03</v>
      </c>
      <c r="M615" s="1">
        <v>49</v>
      </c>
      <c r="N615" s="1" t="s">
        <v>33</v>
      </c>
      <c r="O615" s="1" t="s">
        <v>26</v>
      </c>
      <c r="P615" s="2">
        <v>41740</v>
      </c>
      <c r="Q615" s="2" t="b">
        <f t="shared" si="29"/>
        <v>0</v>
      </c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</row>
    <row r="616" spans="1:35" ht="14.25" customHeight="1" x14ac:dyDescent="0.2">
      <c r="A616" s="1">
        <v>8646</v>
      </c>
      <c r="B616" s="1" t="s">
        <v>809</v>
      </c>
      <c r="C616" s="1" t="s">
        <v>51</v>
      </c>
      <c r="D616" s="2">
        <v>41738</v>
      </c>
      <c r="E616" s="1" t="s">
        <v>31</v>
      </c>
      <c r="F616" s="1" t="s">
        <v>195</v>
      </c>
      <c r="G616" s="1">
        <v>41</v>
      </c>
      <c r="H616" s="1">
        <v>350.99</v>
      </c>
      <c r="I616" s="1">
        <f t="shared" si="27"/>
        <v>14390.59</v>
      </c>
      <c r="J616" t="str">
        <f t="shared" si="28"/>
        <v>High</v>
      </c>
      <c r="K616" s="1"/>
      <c r="L616" s="1">
        <v>0.06</v>
      </c>
      <c r="M616" s="1">
        <v>39</v>
      </c>
      <c r="N616" s="1" t="s">
        <v>45</v>
      </c>
      <c r="O616" s="1" t="s">
        <v>46</v>
      </c>
      <c r="P616" s="2">
        <v>41740</v>
      </c>
      <c r="Q616" s="2" t="b">
        <f t="shared" si="29"/>
        <v>0</v>
      </c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</row>
    <row r="617" spans="1:35" ht="14.25" customHeight="1" x14ac:dyDescent="0.2">
      <c r="A617" s="1">
        <v>8646</v>
      </c>
      <c r="B617" s="1" t="s">
        <v>809</v>
      </c>
      <c r="C617" s="1" t="s">
        <v>21</v>
      </c>
      <c r="D617" s="2">
        <v>41738</v>
      </c>
      <c r="E617" s="1" t="s">
        <v>31</v>
      </c>
      <c r="F617" s="1" t="s">
        <v>193</v>
      </c>
      <c r="G617" s="1">
        <v>26</v>
      </c>
      <c r="H617" s="1">
        <v>40.98</v>
      </c>
      <c r="I617" s="1">
        <f t="shared" si="27"/>
        <v>1065.48</v>
      </c>
      <c r="J617" t="str">
        <f t="shared" si="28"/>
        <v>High</v>
      </c>
      <c r="K617" s="1"/>
      <c r="L617" s="1">
        <v>0.09</v>
      </c>
      <c r="M617" s="1">
        <v>6.5</v>
      </c>
      <c r="N617" s="1" t="s">
        <v>25</v>
      </c>
      <c r="O617" s="1" t="s">
        <v>34</v>
      </c>
      <c r="P617" s="2">
        <v>41740</v>
      </c>
      <c r="Q617" s="2" t="b">
        <f t="shared" si="29"/>
        <v>0</v>
      </c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</row>
    <row r="618" spans="1:35" ht="14.25" customHeight="1" x14ac:dyDescent="0.2">
      <c r="A618" s="1">
        <v>8646</v>
      </c>
      <c r="B618" s="1" t="s">
        <v>809</v>
      </c>
      <c r="C618" s="1" t="s">
        <v>30</v>
      </c>
      <c r="D618" s="2">
        <v>41738</v>
      </c>
      <c r="E618" s="1" t="s">
        <v>31</v>
      </c>
      <c r="F618" s="1" t="s">
        <v>811</v>
      </c>
      <c r="G618" s="1">
        <v>29</v>
      </c>
      <c r="H618" s="1">
        <v>349.45</v>
      </c>
      <c r="I618" s="1">
        <f t="shared" si="27"/>
        <v>10134.049999999999</v>
      </c>
      <c r="J618" t="str">
        <f t="shared" si="28"/>
        <v>High</v>
      </c>
      <c r="K618" s="1"/>
      <c r="L618" s="1">
        <v>0.09</v>
      </c>
      <c r="M618" s="1">
        <v>60</v>
      </c>
      <c r="N618" s="1" t="s">
        <v>45</v>
      </c>
      <c r="O618" s="1" t="s">
        <v>46</v>
      </c>
      <c r="P618" s="2">
        <v>41739</v>
      </c>
      <c r="Q618" s="2" t="b">
        <f t="shared" si="29"/>
        <v>0</v>
      </c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</row>
    <row r="619" spans="1:35" ht="14.25" customHeight="1" x14ac:dyDescent="0.2">
      <c r="A619" s="1">
        <v>27491</v>
      </c>
      <c r="B619" s="1" t="s">
        <v>812</v>
      </c>
      <c r="C619" s="1" t="s">
        <v>51</v>
      </c>
      <c r="D619" s="2">
        <v>41738</v>
      </c>
      <c r="E619" s="1" t="s">
        <v>22</v>
      </c>
      <c r="F619" s="1" t="s">
        <v>210</v>
      </c>
      <c r="G619" s="1">
        <v>11</v>
      </c>
      <c r="H619" s="1">
        <v>90.48</v>
      </c>
      <c r="I619" s="1">
        <f t="shared" si="27"/>
        <v>995.28000000000009</v>
      </c>
      <c r="J619" t="str">
        <f t="shared" si="28"/>
        <v>Low</v>
      </c>
      <c r="K619" s="1"/>
      <c r="L619" s="1">
        <v>0.04</v>
      </c>
      <c r="M619" s="1">
        <v>19.989999999999998</v>
      </c>
      <c r="N619" s="1" t="s">
        <v>33</v>
      </c>
      <c r="O619" s="1" t="s">
        <v>34</v>
      </c>
      <c r="P619" s="2">
        <v>41740</v>
      </c>
      <c r="Q619" s="2" t="b">
        <f t="shared" si="29"/>
        <v>0</v>
      </c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</row>
    <row r="620" spans="1:35" ht="14.25" customHeight="1" x14ac:dyDescent="0.2">
      <c r="A620" s="1">
        <v>27491</v>
      </c>
      <c r="B620" s="1" t="s">
        <v>812</v>
      </c>
      <c r="C620" s="1" t="s">
        <v>21</v>
      </c>
      <c r="D620" s="2">
        <v>41738</v>
      </c>
      <c r="E620" s="1" t="s">
        <v>22</v>
      </c>
      <c r="F620" s="1" t="s">
        <v>813</v>
      </c>
      <c r="G620" s="1">
        <v>36</v>
      </c>
      <c r="H620" s="1">
        <v>9.77</v>
      </c>
      <c r="I620" s="1">
        <f t="shared" si="27"/>
        <v>351.71999999999997</v>
      </c>
      <c r="J620" t="str">
        <f t="shared" si="28"/>
        <v>Low</v>
      </c>
      <c r="K620" s="1"/>
      <c r="L620" s="1">
        <v>0.02</v>
      </c>
      <c r="M620" s="1">
        <v>6.02</v>
      </c>
      <c r="N620" s="1" t="s">
        <v>33</v>
      </c>
      <c r="O620" s="1" t="s">
        <v>72</v>
      </c>
      <c r="P620" s="2">
        <v>41739</v>
      </c>
      <c r="Q620" s="2" t="b">
        <f t="shared" si="29"/>
        <v>0</v>
      </c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</row>
    <row r="621" spans="1:35" ht="14.25" customHeight="1" x14ac:dyDescent="0.2">
      <c r="A621" s="1">
        <v>27491</v>
      </c>
      <c r="B621" s="1" t="s">
        <v>812</v>
      </c>
      <c r="C621" s="1" t="s">
        <v>30</v>
      </c>
      <c r="D621" s="2">
        <v>41738</v>
      </c>
      <c r="E621" s="1" t="s">
        <v>22</v>
      </c>
      <c r="F621" s="1" t="s">
        <v>514</v>
      </c>
      <c r="G621" s="1">
        <v>2</v>
      </c>
      <c r="H621" s="1">
        <v>34.99</v>
      </c>
      <c r="I621" s="1">
        <f t="shared" si="27"/>
        <v>69.98</v>
      </c>
      <c r="J621" t="str">
        <f t="shared" si="28"/>
        <v>Low</v>
      </c>
      <c r="K621" s="1"/>
      <c r="L621" s="1">
        <v>0.09</v>
      </c>
      <c r="M621" s="1">
        <v>7.73</v>
      </c>
      <c r="N621" s="1" t="s">
        <v>33</v>
      </c>
      <c r="O621" s="1" t="s">
        <v>34</v>
      </c>
      <c r="P621" s="2">
        <v>41740</v>
      </c>
      <c r="Q621" s="2" t="b">
        <f t="shared" si="29"/>
        <v>0</v>
      </c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</row>
    <row r="622" spans="1:35" ht="14.25" customHeight="1" x14ac:dyDescent="0.2">
      <c r="A622" s="1">
        <v>11174</v>
      </c>
      <c r="B622" s="1" t="s">
        <v>814</v>
      </c>
      <c r="C622" s="1" t="s">
        <v>21</v>
      </c>
      <c r="D622" s="2">
        <v>41738</v>
      </c>
      <c r="E622" s="1" t="s">
        <v>101</v>
      </c>
      <c r="F622" s="1" t="s">
        <v>815</v>
      </c>
      <c r="G622" s="1">
        <v>30</v>
      </c>
      <c r="H622" s="1">
        <v>125.99</v>
      </c>
      <c r="I622" s="1">
        <f t="shared" si="27"/>
        <v>3779.7</v>
      </c>
      <c r="J622" t="str">
        <f t="shared" si="28"/>
        <v>High</v>
      </c>
      <c r="K622" s="1"/>
      <c r="L622" s="1">
        <v>7.0000000000000007E-2</v>
      </c>
      <c r="M622" s="1">
        <v>7.69</v>
      </c>
      <c r="N622" s="1" t="s">
        <v>33</v>
      </c>
      <c r="O622" s="1" t="s">
        <v>34</v>
      </c>
      <c r="P622" s="2">
        <v>41739</v>
      </c>
      <c r="Q622" s="2" t="b">
        <f t="shared" si="29"/>
        <v>0</v>
      </c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</row>
    <row r="623" spans="1:35" ht="14.25" customHeight="1" x14ac:dyDescent="0.2">
      <c r="A623" s="1">
        <v>45120</v>
      </c>
      <c r="B623" s="1" t="s">
        <v>673</v>
      </c>
      <c r="C623" s="1" t="s">
        <v>51</v>
      </c>
      <c r="D623" s="2">
        <v>41738</v>
      </c>
      <c r="E623" s="1" t="s">
        <v>38</v>
      </c>
      <c r="F623" s="1" t="s">
        <v>599</v>
      </c>
      <c r="G623" s="1">
        <v>39</v>
      </c>
      <c r="H623" s="1">
        <v>400.97</v>
      </c>
      <c r="I623" s="1">
        <f t="shared" si="27"/>
        <v>15637.830000000002</v>
      </c>
      <c r="J623" t="str">
        <f t="shared" si="28"/>
        <v>High</v>
      </c>
      <c r="K623" s="1"/>
      <c r="L623" s="1">
        <v>7.0000000000000007E-2</v>
      </c>
      <c r="M623" s="1">
        <v>48.26</v>
      </c>
      <c r="N623" s="1" t="s">
        <v>45</v>
      </c>
      <c r="O623" s="1" t="s">
        <v>63</v>
      </c>
      <c r="P623" s="2">
        <v>41739</v>
      </c>
      <c r="Q623" s="2" t="b">
        <f t="shared" si="29"/>
        <v>0</v>
      </c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</row>
    <row r="624" spans="1:35" ht="14.25" customHeight="1" x14ac:dyDescent="0.2">
      <c r="A624" s="1">
        <v>58914</v>
      </c>
      <c r="B624" s="1" t="s">
        <v>68</v>
      </c>
      <c r="C624" s="1" t="s">
        <v>30</v>
      </c>
      <c r="D624" s="2">
        <v>41738</v>
      </c>
      <c r="E624" s="1" t="s">
        <v>43</v>
      </c>
      <c r="F624" s="1" t="s">
        <v>816</v>
      </c>
      <c r="G624" s="1">
        <v>46</v>
      </c>
      <c r="H624" s="1">
        <v>2.12</v>
      </c>
      <c r="I624" s="1">
        <f t="shared" si="27"/>
        <v>97.52000000000001</v>
      </c>
      <c r="J624" t="str">
        <f t="shared" si="28"/>
        <v>Low</v>
      </c>
      <c r="K624" s="1"/>
      <c r="L624" s="1">
        <v>7.0000000000000007E-2</v>
      </c>
      <c r="M624" s="1">
        <v>1.99</v>
      </c>
      <c r="N624" s="1" t="s">
        <v>33</v>
      </c>
      <c r="O624" s="1" t="s">
        <v>84</v>
      </c>
      <c r="P624" s="2">
        <v>41740</v>
      </c>
      <c r="Q624" s="2" t="b">
        <f t="shared" si="29"/>
        <v>0</v>
      </c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</row>
    <row r="625" spans="1:35" ht="14.25" customHeight="1" x14ac:dyDescent="0.2">
      <c r="A625" s="1">
        <v>58914</v>
      </c>
      <c r="B625" s="1" t="s">
        <v>68</v>
      </c>
      <c r="C625" s="1" t="s">
        <v>30</v>
      </c>
      <c r="D625" s="2">
        <v>41738</v>
      </c>
      <c r="E625" s="1" t="s">
        <v>43</v>
      </c>
      <c r="F625" s="1" t="s">
        <v>817</v>
      </c>
      <c r="G625" s="1">
        <v>11</v>
      </c>
      <c r="H625" s="1">
        <v>1.76</v>
      </c>
      <c r="I625" s="1">
        <f t="shared" si="27"/>
        <v>19.36</v>
      </c>
      <c r="J625" t="str">
        <f t="shared" si="28"/>
        <v>Low</v>
      </c>
      <c r="K625" s="1"/>
      <c r="L625" s="1">
        <v>7.0000000000000007E-2</v>
      </c>
      <c r="M625" s="1">
        <v>0.7</v>
      </c>
      <c r="N625" s="1" t="s">
        <v>33</v>
      </c>
      <c r="O625" s="1" t="s">
        <v>55</v>
      </c>
      <c r="P625" s="2">
        <v>41745</v>
      </c>
      <c r="Q625" s="2" t="b">
        <f t="shared" si="29"/>
        <v>0</v>
      </c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</row>
    <row r="626" spans="1:35" ht="14.25" customHeight="1" x14ac:dyDescent="0.2">
      <c r="A626" s="1">
        <v>20838</v>
      </c>
      <c r="B626" s="1" t="s">
        <v>818</v>
      </c>
      <c r="C626" s="1" t="s">
        <v>51</v>
      </c>
      <c r="D626" s="2">
        <v>41739</v>
      </c>
      <c r="E626" s="1" t="s">
        <v>22</v>
      </c>
      <c r="F626" s="1" t="s">
        <v>124</v>
      </c>
      <c r="G626" s="1">
        <v>5</v>
      </c>
      <c r="H626" s="1">
        <v>3.28</v>
      </c>
      <c r="I626" s="1">
        <f t="shared" si="27"/>
        <v>16.399999999999999</v>
      </c>
      <c r="J626" t="str">
        <f t="shared" si="28"/>
        <v>Low</v>
      </c>
      <c r="K626" s="1"/>
      <c r="L626" s="1">
        <v>0.05</v>
      </c>
      <c r="M626" s="1">
        <v>3.97</v>
      </c>
      <c r="N626" s="1" t="s">
        <v>33</v>
      </c>
      <c r="O626" s="1" t="s">
        <v>55</v>
      </c>
      <c r="P626" s="2">
        <v>41740</v>
      </c>
      <c r="Q626" s="2" t="b">
        <f t="shared" si="29"/>
        <v>0</v>
      </c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</row>
    <row r="627" spans="1:35" ht="14.25" customHeight="1" x14ac:dyDescent="0.2">
      <c r="A627" s="1">
        <v>20838</v>
      </c>
      <c r="B627" s="1" t="s">
        <v>818</v>
      </c>
      <c r="C627" s="1" t="s">
        <v>30</v>
      </c>
      <c r="D627" s="2">
        <v>41739</v>
      </c>
      <c r="E627" s="1" t="s">
        <v>22</v>
      </c>
      <c r="F627" s="1" t="s">
        <v>819</v>
      </c>
      <c r="G627" s="1">
        <v>21</v>
      </c>
      <c r="H627" s="1">
        <v>10.98</v>
      </c>
      <c r="I627" s="1">
        <f t="shared" si="27"/>
        <v>230.58</v>
      </c>
      <c r="J627" t="str">
        <f t="shared" si="28"/>
        <v>Low</v>
      </c>
      <c r="K627" s="1"/>
      <c r="L627" s="1">
        <v>0.03</v>
      </c>
      <c r="M627" s="1">
        <v>3.37</v>
      </c>
      <c r="N627" s="1" t="s">
        <v>33</v>
      </c>
      <c r="O627" s="1" t="s">
        <v>84</v>
      </c>
      <c r="P627" s="2">
        <v>41740</v>
      </c>
      <c r="Q627" s="2" t="b">
        <f t="shared" si="29"/>
        <v>0</v>
      </c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</row>
    <row r="628" spans="1:35" ht="14.25" customHeight="1" x14ac:dyDescent="0.2">
      <c r="A628" s="1">
        <v>27456</v>
      </c>
      <c r="B628" s="1" t="s">
        <v>820</v>
      </c>
      <c r="C628" s="1" t="s">
        <v>30</v>
      </c>
      <c r="D628" s="2">
        <v>41739</v>
      </c>
      <c r="E628" s="1" t="s">
        <v>22</v>
      </c>
      <c r="F628" s="1" t="s">
        <v>247</v>
      </c>
      <c r="G628" s="1">
        <v>29</v>
      </c>
      <c r="H628" s="1">
        <v>328.14</v>
      </c>
      <c r="I628" s="1">
        <f t="shared" si="27"/>
        <v>9516.06</v>
      </c>
      <c r="J628" t="str">
        <f t="shared" si="28"/>
        <v>High</v>
      </c>
      <c r="K628" s="1"/>
      <c r="L628" s="1">
        <v>0.05</v>
      </c>
      <c r="M628" s="1">
        <v>91.05</v>
      </c>
      <c r="N628" s="1" t="s">
        <v>45</v>
      </c>
      <c r="O628" s="1" t="s">
        <v>46</v>
      </c>
      <c r="P628" s="2">
        <v>41740</v>
      </c>
      <c r="Q628" s="2" t="b">
        <f t="shared" si="29"/>
        <v>0</v>
      </c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</row>
    <row r="629" spans="1:35" ht="14.25" customHeight="1" x14ac:dyDescent="0.2">
      <c r="A629" s="1">
        <v>29219</v>
      </c>
      <c r="B629" s="1" t="s">
        <v>696</v>
      </c>
      <c r="C629" s="1" t="s">
        <v>51</v>
      </c>
      <c r="D629" s="2">
        <v>41739</v>
      </c>
      <c r="E629" s="1" t="s">
        <v>22</v>
      </c>
      <c r="F629" s="1" t="s">
        <v>821</v>
      </c>
      <c r="G629" s="1">
        <v>29</v>
      </c>
      <c r="H629" s="1">
        <v>7.08</v>
      </c>
      <c r="I629" s="1">
        <f t="shared" si="27"/>
        <v>205.32</v>
      </c>
      <c r="J629" t="str">
        <f t="shared" si="28"/>
        <v>Low</v>
      </c>
      <c r="K629" s="1"/>
      <c r="L629" s="1">
        <v>0.04</v>
      </c>
      <c r="M629" s="1">
        <v>2.35</v>
      </c>
      <c r="N629" s="1" t="s">
        <v>33</v>
      </c>
      <c r="O629" s="1" t="s">
        <v>55</v>
      </c>
      <c r="P629" s="2">
        <v>41740</v>
      </c>
      <c r="Q629" s="2" t="b">
        <f t="shared" si="29"/>
        <v>0</v>
      </c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</row>
    <row r="630" spans="1:35" ht="14.25" customHeight="1" x14ac:dyDescent="0.2">
      <c r="A630" s="1">
        <v>43269</v>
      </c>
      <c r="B630" s="1" t="s">
        <v>543</v>
      </c>
      <c r="C630" s="1" t="s">
        <v>30</v>
      </c>
      <c r="D630" s="2">
        <v>41739</v>
      </c>
      <c r="E630" s="1" t="s">
        <v>38</v>
      </c>
      <c r="F630" s="1" t="s">
        <v>266</v>
      </c>
      <c r="G630" s="1">
        <v>16</v>
      </c>
      <c r="H630" s="1">
        <v>48.91</v>
      </c>
      <c r="I630" s="1">
        <f t="shared" si="27"/>
        <v>782.56</v>
      </c>
      <c r="J630" t="str">
        <f t="shared" si="28"/>
        <v>Low</v>
      </c>
      <c r="K630" s="1"/>
      <c r="L630" s="1">
        <v>0</v>
      </c>
      <c r="M630" s="1">
        <v>5.81</v>
      </c>
      <c r="N630" s="1" t="s">
        <v>33</v>
      </c>
      <c r="O630" s="1" t="s">
        <v>34</v>
      </c>
      <c r="P630" s="2">
        <v>41741</v>
      </c>
      <c r="Q630" s="2" t="b">
        <f t="shared" si="29"/>
        <v>0</v>
      </c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</row>
    <row r="631" spans="1:35" ht="14.25" customHeight="1" x14ac:dyDescent="0.2">
      <c r="A631" s="1">
        <v>43269</v>
      </c>
      <c r="B631" s="1" t="s">
        <v>543</v>
      </c>
      <c r="C631" s="1" t="s">
        <v>30</v>
      </c>
      <c r="D631" s="2">
        <v>41739</v>
      </c>
      <c r="E631" s="1" t="s">
        <v>38</v>
      </c>
      <c r="F631" s="1" t="s">
        <v>822</v>
      </c>
      <c r="G631" s="1">
        <v>24</v>
      </c>
      <c r="H631" s="1">
        <v>165.98</v>
      </c>
      <c r="I631" s="1">
        <f t="shared" si="27"/>
        <v>3983.5199999999995</v>
      </c>
      <c r="J631" t="str">
        <f t="shared" si="28"/>
        <v>High</v>
      </c>
      <c r="K631" s="1"/>
      <c r="L631" s="1">
        <v>0.08</v>
      </c>
      <c r="M631" s="1">
        <v>19.989999999999998</v>
      </c>
      <c r="N631" s="1" t="s">
        <v>33</v>
      </c>
      <c r="O631" s="1" t="s">
        <v>34</v>
      </c>
      <c r="P631" s="2">
        <v>41741</v>
      </c>
      <c r="Q631" s="2" t="b">
        <f t="shared" si="29"/>
        <v>0</v>
      </c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</row>
    <row r="632" spans="1:35" ht="14.25" customHeight="1" x14ac:dyDescent="0.2">
      <c r="A632" s="1">
        <v>51047</v>
      </c>
      <c r="B632" s="1" t="s">
        <v>823</v>
      </c>
      <c r="C632" s="1" t="s">
        <v>51</v>
      </c>
      <c r="D632" s="2">
        <v>41739</v>
      </c>
      <c r="E632" s="1" t="s">
        <v>101</v>
      </c>
      <c r="F632" s="1" t="s">
        <v>824</v>
      </c>
      <c r="G632" s="1">
        <v>28</v>
      </c>
      <c r="H632" s="1">
        <v>1.76</v>
      </c>
      <c r="I632" s="1">
        <f t="shared" si="27"/>
        <v>49.28</v>
      </c>
      <c r="J632" t="str">
        <f t="shared" si="28"/>
        <v>Low</v>
      </c>
      <c r="K632" s="1"/>
      <c r="L632" s="1">
        <v>0.02</v>
      </c>
      <c r="M632" s="1">
        <v>4.8600000000000003</v>
      </c>
      <c r="N632" s="1" t="s">
        <v>25</v>
      </c>
      <c r="O632" s="1" t="s">
        <v>34</v>
      </c>
      <c r="P632" s="2">
        <v>41740</v>
      </c>
      <c r="Q632" s="2" t="b">
        <f t="shared" si="29"/>
        <v>0</v>
      </c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</row>
    <row r="633" spans="1:35" ht="14.25" customHeight="1" x14ac:dyDescent="0.2">
      <c r="A633" s="1">
        <v>51047</v>
      </c>
      <c r="B633" s="1" t="s">
        <v>823</v>
      </c>
      <c r="C633" s="1" t="s">
        <v>51</v>
      </c>
      <c r="D633" s="2">
        <v>41739</v>
      </c>
      <c r="E633" s="1" t="s">
        <v>101</v>
      </c>
      <c r="F633" s="1" t="s">
        <v>489</v>
      </c>
      <c r="G633" s="1">
        <v>38</v>
      </c>
      <c r="H633" s="1">
        <v>41.47</v>
      </c>
      <c r="I633" s="1">
        <f t="shared" si="27"/>
        <v>1575.86</v>
      </c>
      <c r="J633" t="str">
        <f t="shared" si="28"/>
        <v>High</v>
      </c>
      <c r="K633" s="1"/>
      <c r="L633" s="1">
        <v>0.03</v>
      </c>
      <c r="M633" s="1">
        <v>34.200000000000003</v>
      </c>
      <c r="N633" s="1" t="s">
        <v>33</v>
      </c>
      <c r="O633" s="1" t="s">
        <v>55</v>
      </c>
      <c r="P633" s="2">
        <v>41740</v>
      </c>
      <c r="Q633" s="2" t="b">
        <f t="shared" si="29"/>
        <v>0</v>
      </c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</row>
    <row r="634" spans="1:35" ht="14.25" customHeight="1" x14ac:dyDescent="0.2">
      <c r="A634" s="1">
        <v>19975</v>
      </c>
      <c r="B634" s="1" t="s">
        <v>673</v>
      </c>
      <c r="C634" s="1" t="s">
        <v>30</v>
      </c>
      <c r="D634" s="2">
        <v>41739</v>
      </c>
      <c r="E634" s="1" t="s">
        <v>22</v>
      </c>
      <c r="F634" s="1" t="s">
        <v>316</v>
      </c>
      <c r="G634" s="1">
        <v>33</v>
      </c>
      <c r="H634" s="1">
        <v>11.7</v>
      </c>
      <c r="I634" s="1">
        <f t="shared" si="27"/>
        <v>386.09999999999997</v>
      </c>
      <c r="J634" t="str">
        <f t="shared" si="28"/>
        <v>Low</v>
      </c>
      <c r="K634" s="1"/>
      <c r="L634" s="1">
        <v>0.08</v>
      </c>
      <c r="M634" s="1">
        <v>6.96</v>
      </c>
      <c r="N634" s="1" t="s">
        <v>33</v>
      </c>
      <c r="O634" s="1" t="s">
        <v>72</v>
      </c>
      <c r="P634" s="2">
        <v>41742</v>
      </c>
      <c r="Q634" s="2" t="b">
        <f t="shared" si="29"/>
        <v>0</v>
      </c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</row>
    <row r="635" spans="1:35" ht="14.25" customHeight="1" x14ac:dyDescent="0.2">
      <c r="A635" s="1">
        <v>20519</v>
      </c>
      <c r="B635" s="1" t="s">
        <v>825</v>
      </c>
      <c r="C635" s="1" t="s">
        <v>51</v>
      </c>
      <c r="D635" s="2">
        <v>41739</v>
      </c>
      <c r="E635" s="1" t="s">
        <v>31</v>
      </c>
      <c r="F635" s="1" t="s">
        <v>826</v>
      </c>
      <c r="G635" s="1">
        <v>7</v>
      </c>
      <c r="H635" s="1">
        <v>15.99</v>
      </c>
      <c r="I635" s="1">
        <f t="shared" si="27"/>
        <v>111.93</v>
      </c>
      <c r="J635" t="str">
        <f t="shared" si="28"/>
        <v>Low</v>
      </c>
      <c r="K635" s="1"/>
      <c r="L635" s="1">
        <v>0.03</v>
      </c>
      <c r="M635" s="1">
        <v>11.28</v>
      </c>
      <c r="N635" s="1" t="s">
        <v>33</v>
      </c>
      <c r="O635" s="1" t="s">
        <v>72</v>
      </c>
      <c r="P635" s="2">
        <v>41740</v>
      </c>
      <c r="Q635" s="2" t="b">
        <f t="shared" si="29"/>
        <v>0</v>
      </c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</row>
    <row r="636" spans="1:35" ht="14.25" customHeight="1" x14ac:dyDescent="0.2">
      <c r="A636" s="1">
        <v>29284</v>
      </c>
      <c r="B636" s="1" t="s">
        <v>827</v>
      </c>
      <c r="C636" s="1" t="s">
        <v>30</v>
      </c>
      <c r="D636" s="2">
        <v>41739</v>
      </c>
      <c r="E636" s="1" t="s">
        <v>101</v>
      </c>
      <c r="F636" s="1" t="s">
        <v>828</v>
      </c>
      <c r="G636" s="1">
        <v>20</v>
      </c>
      <c r="H636" s="1">
        <v>400.98</v>
      </c>
      <c r="I636" s="1">
        <f t="shared" si="27"/>
        <v>8019.6</v>
      </c>
      <c r="J636" t="str">
        <f t="shared" si="28"/>
        <v>High</v>
      </c>
      <c r="K636" s="1"/>
      <c r="L636" s="1">
        <v>0.01</v>
      </c>
      <c r="M636" s="1">
        <v>42.52</v>
      </c>
      <c r="N636" s="1" t="s">
        <v>45</v>
      </c>
      <c r="O636" s="1" t="s">
        <v>63</v>
      </c>
      <c r="P636" s="2">
        <v>41741</v>
      </c>
      <c r="Q636" s="2" t="b">
        <f t="shared" si="29"/>
        <v>0</v>
      </c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</row>
    <row r="637" spans="1:35" ht="14.25" customHeight="1" x14ac:dyDescent="0.2">
      <c r="A637" s="1">
        <v>36706</v>
      </c>
      <c r="B637" s="1" t="s">
        <v>829</v>
      </c>
      <c r="C637" s="1" t="s">
        <v>30</v>
      </c>
      <c r="D637" s="2">
        <v>41740</v>
      </c>
      <c r="E637" s="1" t="s">
        <v>22</v>
      </c>
      <c r="F637" s="1" t="s">
        <v>830</v>
      </c>
      <c r="G637" s="1">
        <v>47</v>
      </c>
      <c r="H637" s="1">
        <v>20.98</v>
      </c>
      <c r="I637" s="1">
        <f t="shared" si="27"/>
        <v>986.06000000000006</v>
      </c>
      <c r="J637" t="str">
        <f t="shared" si="28"/>
        <v>Low</v>
      </c>
      <c r="K637" s="1"/>
      <c r="L637" s="1">
        <v>0.1</v>
      </c>
      <c r="M637" s="1">
        <v>1.49</v>
      </c>
      <c r="N637" s="1" t="s">
        <v>33</v>
      </c>
      <c r="O637" s="1" t="s">
        <v>34</v>
      </c>
      <c r="P637" s="2">
        <v>41742</v>
      </c>
      <c r="Q637" s="2" t="b">
        <f t="shared" si="29"/>
        <v>0</v>
      </c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</row>
    <row r="638" spans="1:35" ht="14.25" customHeight="1" x14ac:dyDescent="0.2">
      <c r="A638" s="1">
        <v>36706</v>
      </c>
      <c r="B638" s="1" t="s">
        <v>829</v>
      </c>
      <c r="C638" s="1" t="s">
        <v>51</v>
      </c>
      <c r="D638" s="2">
        <v>41740</v>
      </c>
      <c r="E638" s="1" t="s">
        <v>22</v>
      </c>
      <c r="F638" s="1" t="s">
        <v>831</v>
      </c>
      <c r="G638" s="1">
        <v>7</v>
      </c>
      <c r="H638" s="1">
        <v>48.04</v>
      </c>
      <c r="I638" s="1">
        <f t="shared" si="27"/>
        <v>336.28</v>
      </c>
      <c r="J638" t="str">
        <f t="shared" si="28"/>
        <v>Low</v>
      </c>
      <c r="K638" s="1"/>
      <c r="L638" s="1">
        <v>0.03</v>
      </c>
      <c r="M638" s="1">
        <v>19.989999999999998</v>
      </c>
      <c r="N638" s="1" t="s">
        <v>33</v>
      </c>
      <c r="O638" s="1" t="s">
        <v>34</v>
      </c>
      <c r="P638" s="2">
        <v>41742</v>
      </c>
      <c r="Q638" s="2" t="b">
        <f t="shared" si="29"/>
        <v>0</v>
      </c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</row>
    <row r="639" spans="1:35" ht="14.25" customHeight="1" x14ac:dyDescent="0.2">
      <c r="A639" s="1">
        <v>56677</v>
      </c>
      <c r="B639" s="1" t="s">
        <v>832</v>
      </c>
      <c r="C639" s="1" t="s">
        <v>51</v>
      </c>
      <c r="D639" s="2">
        <v>41740</v>
      </c>
      <c r="E639" s="1" t="s">
        <v>31</v>
      </c>
      <c r="F639" s="1" t="s">
        <v>435</v>
      </c>
      <c r="G639" s="1">
        <v>35</v>
      </c>
      <c r="H639" s="1">
        <v>12.22</v>
      </c>
      <c r="I639" s="1">
        <f t="shared" si="27"/>
        <v>427.70000000000005</v>
      </c>
      <c r="J639" t="str">
        <f t="shared" si="28"/>
        <v>Low</v>
      </c>
      <c r="K639" s="1"/>
      <c r="L639" s="1">
        <v>0</v>
      </c>
      <c r="M639" s="1">
        <v>2.85</v>
      </c>
      <c r="N639" s="1" t="s">
        <v>33</v>
      </c>
      <c r="O639" s="1" t="s">
        <v>84</v>
      </c>
      <c r="P639" s="2">
        <v>41741</v>
      </c>
      <c r="Q639" s="2" t="b">
        <f t="shared" si="29"/>
        <v>0</v>
      </c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</row>
    <row r="640" spans="1:35" ht="14.25" customHeight="1" x14ac:dyDescent="0.2">
      <c r="A640" s="1">
        <v>58279</v>
      </c>
      <c r="B640" s="1" t="s">
        <v>673</v>
      </c>
      <c r="C640" s="1" t="s">
        <v>21</v>
      </c>
      <c r="D640" s="2">
        <v>41740</v>
      </c>
      <c r="E640" s="1" t="s">
        <v>101</v>
      </c>
      <c r="F640" s="1" t="s">
        <v>419</v>
      </c>
      <c r="G640" s="1">
        <v>44</v>
      </c>
      <c r="H640" s="1">
        <v>30.56</v>
      </c>
      <c r="I640" s="1">
        <f t="shared" si="27"/>
        <v>1344.6399999999999</v>
      </c>
      <c r="J640" t="str">
        <f t="shared" si="28"/>
        <v>High</v>
      </c>
      <c r="K640" s="1"/>
      <c r="L640" s="1">
        <v>0.03</v>
      </c>
      <c r="M640" s="1">
        <v>2.99</v>
      </c>
      <c r="N640" s="1" t="s">
        <v>33</v>
      </c>
      <c r="O640" s="1" t="s">
        <v>34</v>
      </c>
      <c r="P640" s="2">
        <v>41740</v>
      </c>
      <c r="Q640" s="2" t="b">
        <f t="shared" si="29"/>
        <v>0</v>
      </c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</row>
    <row r="641" spans="1:35" ht="14.25" customHeight="1" x14ac:dyDescent="0.2">
      <c r="A641" s="1">
        <v>55040</v>
      </c>
      <c r="B641" s="1" t="s">
        <v>733</v>
      </c>
      <c r="C641" s="1" t="s">
        <v>30</v>
      </c>
      <c r="D641" s="2">
        <v>41741</v>
      </c>
      <c r="E641" s="1" t="s">
        <v>31</v>
      </c>
      <c r="F641" s="1" t="s">
        <v>833</v>
      </c>
      <c r="G641" s="1">
        <v>8</v>
      </c>
      <c r="H641" s="1">
        <v>35.51</v>
      </c>
      <c r="I641" s="1">
        <f t="shared" si="27"/>
        <v>284.08</v>
      </c>
      <c r="J641" t="str">
        <f t="shared" si="28"/>
        <v>Low</v>
      </c>
      <c r="K641" s="1"/>
      <c r="L641" s="1">
        <v>0.05</v>
      </c>
      <c r="M641" s="1">
        <v>6.31</v>
      </c>
      <c r="N641" s="1" t="s">
        <v>33</v>
      </c>
      <c r="O641" s="1" t="s">
        <v>34</v>
      </c>
      <c r="P641" s="2">
        <v>41743</v>
      </c>
      <c r="Q641" s="2" t="b">
        <f t="shared" si="29"/>
        <v>0</v>
      </c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</row>
    <row r="642" spans="1:35" ht="14.25" customHeight="1" x14ac:dyDescent="0.2">
      <c r="A642" s="1">
        <v>55040</v>
      </c>
      <c r="B642" s="1" t="s">
        <v>733</v>
      </c>
      <c r="C642" s="1" t="s">
        <v>51</v>
      </c>
      <c r="D642" s="2">
        <v>41741</v>
      </c>
      <c r="E642" s="1" t="s">
        <v>31</v>
      </c>
      <c r="F642" s="1" t="s">
        <v>360</v>
      </c>
      <c r="G642" s="1">
        <v>24</v>
      </c>
      <c r="H642" s="1">
        <v>8.34</v>
      </c>
      <c r="I642" s="1">
        <f t="shared" ref="I642:I705" si="30">G642*H642</f>
        <v>200.16</v>
      </c>
      <c r="J642" t="str">
        <f t="shared" ref="J642:J705" si="31">IF(I642&lt;1000,"Low","High")</f>
        <v>Low</v>
      </c>
      <c r="K642" s="1"/>
      <c r="L642" s="1">
        <v>0.1</v>
      </c>
      <c r="M642" s="1">
        <v>2.64</v>
      </c>
      <c r="N642" s="1" t="s">
        <v>33</v>
      </c>
      <c r="O642" s="1" t="s">
        <v>84</v>
      </c>
      <c r="P642" s="2">
        <v>41741</v>
      </c>
      <c r="Q642" s="2" t="b">
        <f t="shared" ref="Q642:Q705" si="32">AND(N642="Express Air",O642="Large Box")</f>
        <v>0</v>
      </c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</row>
    <row r="643" spans="1:35" ht="14.25" customHeight="1" x14ac:dyDescent="0.2">
      <c r="A643" s="1">
        <v>55040</v>
      </c>
      <c r="B643" s="1" t="s">
        <v>733</v>
      </c>
      <c r="C643" s="1" t="s">
        <v>51</v>
      </c>
      <c r="D643" s="2">
        <v>41741</v>
      </c>
      <c r="E643" s="1" t="s">
        <v>31</v>
      </c>
      <c r="F643" s="1" t="s">
        <v>834</v>
      </c>
      <c r="G643" s="1">
        <v>34</v>
      </c>
      <c r="H643" s="1">
        <v>8.0399999999999991</v>
      </c>
      <c r="I643" s="1">
        <f t="shared" si="30"/>
        <v>273.35999999999996</v>
      </c>
      <c r="J643" t="str">
        <f t="shared" si="31"/>
        <v>Low</v>
      </c>
      <c r="K643" s="1"/>
      <c r="L643" s="1">
        <v>0.03</v>
      </c>
      <c r="M643" s="1">
        <v>8.94</v>
      </c>
      <c r="N643" s="1" t="s">
        <v>33</v>
      </c>
      <c r="O643" s="1" t="s">
        <v>34</v>
      </c>
      <c r="P643" s="2">
        <v>41743</v>
      </c>
      <c r="Q643" s="2" t="b">
        <f t="shared" si="32"/>
        <v>0</v>
      </c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</row>
    <row r="644" spans="1:35" ht="14.25" customHeight="1" x14ac:dyDescent="0.2">
      <c r="A644" s="1">
        <v>55040</v>
      </c>
      <c r="B644" s="1" t="s">
        <v>733</v>
      </c>
      <c r="C644" s="1" t="s">
        <v>21</v>
      </c>
      <c r="D644" s="2">
        <v>41741</v>
      </c>
      <c r="E644" s="1" t="s">
        <v>31</v>
      </c>
      <c r="F644" s="1" t="s">
        <v>835</v>
      </c>
      <c r="G644" s="1">
        <v>2</v>
      </c>
      <c r="H644" s="1">
        <v>2550.14</v>
      </c>
      <c r="I644" s="1">
        <f t="shared" si="30"/>
        <v>5100.28</v>
      </c>
      <c r="J644" t="str">
        <f t="shared" si="31"/>
        <v>High</v>
      </c>
      <c r="K644" s="1"/>
      <c r="L644" s="1">
        <v>0.08</v>
      </c>
      <c r="M644" s="1">
        <v>29.7</v>
      </c>
      <c r="N644" s="1" t="s">
        <v>45</v>
      </c>
      <c r="O644" s="1" t="s">
        <v>46</v>
      </c>
      <c r="P644" s="2">
        <v>41743</v>
      </c>
      <c r="Q644" s="2" t="b">
        <f t="shared" si="32"/>
        <v>0</v>
      </c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</row>
    <row r="645" spans="1:35" ht="14.25" customHeight="1" x14ac:dyDescent="0.2">
      <c r="A645" s="1">
        <v>9635</v>
      </c>
      <c r="B645" s="1" t="s">
        <v>64</v>
      </c>
      <c r="C645" s="1" t="s">
        <v>51</v>
      </c>
      <c r="D645" s="2">
        <v>41742</v>
      </c>
      <c r="E645" s="1" t="s">
        <v>38</v>
      </c>
      <c r="F645" s="1" t="s">
        <v>836</v>
      </c>
      <c r="G645" s="1">
        <v>1</v>
      </c>
      <c r="H645" s="1">
        <v>1.88</v>
      </c>
      <c r="I645" s="1">
        <f t="shared" si="30"/>
        <v>1.88</v>
      </c>
      <c r="J645" t="str">
        <f t="shared" si="31"/>
        <v>Low</v>
      </c>
      <c r="K645" s="1"/>
      <c r="L645" s="1">
        <v>0.05</v>
      </c>
      <c r="M645" s="1">
        <v>1.49</v>
      </c>
      <c r="N645" s="1" t="s">
        <v>33</v>
      </c>
      <c r="O645" s="1" t="s">
        <v>34</v>
      </c>
      <c r="P645" s="2">
        <v>41744</v>
      </c>
      <c r="Q645" s="2" t="b">
        <f t="shared" si="32"/>
        <v>0</v>
      </c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</row>
    <row r="646" spans="1:35" ht="14.25" customHeight="1" x14ac:dyDescent="0.2">
      <c r="A646" s="1">
        <v>44448</v>
      </c>
      <c r="B646" s="1" t="s">
        <v>837</v>
      </c>
      <c r="C646" s="1" t="s">
        <v>30</v>
      </c>
      <c r="D646" s="2">
        <v>41742</v>
      </c>
      <c r="E646" s="1" t="s">
        <v>38</v>
      </c>
      <c r="F646" s="1" t="s">
        <v>172</v>
      </c>
      <c r="G646" s="1">
        <v>28</v>
      </c>
      <c r="H646" s="1">
        <v>33.979999999999997</v>
      </c>
      <c r="I646" s="1">
        <f t="shared" si="30"/>
        <v>951.43999999999994</v>
      </c>
      <c r="J646" t="str">
        <f t="shared" si="31"/>
        <v>Low</v>
      </c>
      <c r="K646" s="1"/>
      <c r="L646" s="1">
        <v>0.02</v>
      </c>
      <c r="M646" s="1">
        <v>1.99</v>
      </c>
      <c r="N646" s="1" t="s">
        <v>33</v>
      </c>
      <c r="O646" s="1" t="s">
        <v>84</v>
      </c>
      <c r="P646" s="2">
        <v>41744</v>
      </c>
      <c r="Q646" s="2" t="b">
        <f t="shared" si="32"/>
        <v>0</v>
      </c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</row>
    <row r="647" spans="1:35" ht="14.25" customHeight="1" x14ac:dyDescent="0.2">
      <c r="A647" s="1">
        <v>55046</v>
      </c>
      <c r="B647" s="1" t="s">
        <v>434</v>
      </c>
      <c r="C647" s="1" t="s">
        <v>30</v>
      </c>
      <c r="D647" s="2">
        <v>41742</v>
      </c>
      <c r="E647" s="1" t="s">
        <v>38</v>
      </c>
      <c r="F647" s="1" t="s">
        <v>393</v>
      </c>
      <c r="G647" s="1">
        <v>2</v>
      </c>
      <c r="H647" s="1">
        <v>7.28</v>
      </c>
      <c r="I647" s="1">
        <f t="shared" si="30"/>
        <v>14.56</v>
      </c>
      <c r="J647" t="str">
        <f t="shared" si="31"/>
        <v>Low</v>
      </c>
      <c r="K647" s="1"/>
      <c r="L647" s="1">
        <v>0.08</v>
      </c>
      <c r="M647" s="1">
        <v>11.15</v>
      </c>
      <c r="N647" s="1" t="s">
        <v>25</v>
      </c>
      <c r="O647" s="1" t="s">
        <v>34</v>
      </c>
      <c r="P647" s="2">
        <v>41743</v>
      </c>
      <c r="Q647" s="2" t="b">
        <f t="shared" si="32"/>
        <v>0</v>
      </c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</row>
    <row r="648" spans="1:35" ht="14.25" customHeight="1" x14ac:dyDescent="0.2">
      <c r="A648" s="1">
        <v>32999</v>
      </c>
      <c r="B648" s="1" t="s">
        <v>838</v>
      </c>
      <c r="C648" s="1" t="s">
        <v>51</v>
      </c>
      <c r="D648" s="2">
        <v>41743</v>
      </c>
      <c r="E648" s="1" t="s">
        <v>43</v>
      </c>
      <c r="F648" s="1" t="s">
        <v>107</v>
      </c>
      <c r="G648" s="1">
        <v>14</v>
      </c>
      <c r="H648" s="1">
        <v>100.98</v>
      </c>
      <c r="I648" s="1">
        <f t="shared" si="30"/>
        <v>1413.72</v>
      </c>
      <c r="J648" t="str">
        <f t="shared" si="31"/>
        <v>High</v>
      </c>
      <c r="K648" s="1"/>
      <c r="L648" s="1">
        <v>0.09</v>
      </c>
      <c r="M648" s="1">
        <v>35.840000000000003</v>
      </c>
      <c r="N648" s="1" t="s">
        <v>45</v>
      </c>
      <c r="O648" s="1" t="s">
        <v>63</v>
      </c>
      <c r="P648" s="2">
        <v>41748</v>
      </c>
      <c r="Q648" s="2" t="b">
        <f t="shared" si="32"/>
        <v>0</v>
      </c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</row>
    <row r="649" spans="1:35" ht="14.25" customHeight="1" x14ac:dyDescent="0.2">
      <c r="A649" s="1">
        <v>8422</v>
      </c>
      <c r="B649" s="1" t="s">
        <v>839</v>
      </c>
      <c r="C649" s="1" t="s">
        <v>21</v>
      </c>
      <c r="D649" s="2">
        <v>41743</v>
      </c>
      <c r="E649" s="1" t="s">
        <v>101</v>
      </c>
      <c r="F649" s="1" t="s">
        <v>581</v>
      </c>
      <c r="G649" s="1">
        <v>18</v>
      </c>
      <c r="H649" s="1">
        <v>296.18</v>
      </c>
      <c r="I649" s="1">
        <f t="shared" si="30"/>
        <v>5331.24</v>
      </c>
      <c r="J649" t="str">
        <f t="shared" si="31"/>
        <v>High</v>
      </c>
      <c r="K649" s="1"/>
      <c r="L649" s="1">
        <v>0.06</v>
      </c>
      <c r="M649" s="1">
        <v>54.12</v>
      </c>
      <c r="N649" s="1" t="s">
        <v>45</v>
      </c>
      <c r="O649" s="1" t="s">
        <v>63</v>
      </c>
      <c r="P649" s="2">
        <v>41744</v>
      </c>
      <c r="Q649" s="2" t="b">
        <f t="shared" si="32"/>
        <v>0</v>
      </c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</row>
    <row r="650" spans="1:35" ht="14.25" customHeight="1" x14ac:dyDescent="0.2">
      <c r="A650" s="1">
        <v>8422</v>
      </c>
      <c r="B650" s="1" t="s">
        <v>839</v>
      </c>
      <c r="C650" s="1" t="s">
        <v>21</v>
      </c>
      <c r="D650" s="2">
        <v>41743</v>
      </c>
      <c r="E650" s="1" t="s">
        <v>101</v>
      </c>
      <c r="F650" s="1" t="s">
        <v>840</v>
      </c>
      <c r="G650" s="1">
        <v>33</v>
      </c>
      <c r="H650" s="1">
        <v>29.1</v>
      </c>
      <c r="I650" s="1">
        <f t="shared" si="30"/>
        <v>960.30000000000007</v>
      </c>
      <c r="J650" t="str">
        <f t="shared" si="31"/>
        <v>Low</v>
      </c>
      <c r="K650" s="1"/>
      <c r="L650" s="1">
        <v>0.01</v>
      </c>
      <c r="M650" s="1">
        <v>4</v>
      </c>
      <c r="N650" s="1" t="s">
        <v>25</v>
      </c>
      <c r="O650" s="1" t="s">
        <v>34</v>
      </c>
      <c r="P650" s="2">
        <v>41745</v>
      </c>
      <c r="Q650" s="2" t="b">
        <f t="shared" si="32"/>
        <v>0</v>
      </c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</row>
    <row r="651" spans="1:35" ht="14.25" customHeight="1" x14ac:dyDescent="0.2">
      <c r="A651" s="1">
        <v>35041</v>
      </c>
      <c r="B651" s="1" t="s">
        <v>131</v>
      </c>
      <c r="C651" s="1" t="s">
        <v>21</v>
      </c>
      <c r="D651" s="2">
        <v>41744</v>
      </c>
      <c r="E651" s="1" t="s">
        <v>22</v>
      </c>
      <c r="F651" s="1" t="s">
        <v>424</v>
      </c>
      <c r="G651" s="1">
        <v>28</v>
      </c>
      <c r="H651" s="1">
        <v>15.16</v>
      </c>
      <c r="I651" s="1">
        <f t="shared" si="30"/>
        <v>424.48</v>
      </c>
      <c r="J651" t="str">
        <f t="shared" si="31"/>
        <v>Low</v>
      </c>
      <c r="K651" s="1"/>
      <c r="L651" s="1">
        <v>0.01</v>
      </c>
      <c r="M651" s="1">
        <v>15.09</v>
      </c>
      <c r="N651" s="1" t="s">
        <v>33</v>
      </c>
      <c r="O651" s="1" t="s">
        <v>34</v>
      </c>
      <c r="P651" s="2">
        <v>41744</v>
      </c>
      <c r="Q651" s="2" t="b">
        <f t="shared" si="32"/>
        <v>0</v>
      </c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</row>
    <row r="652" spans="1:35" ht="14.25" customHeight="1" x14ac:dyDescent="0.2">
      <c r="A652" s="1">
        <v>33220</v>
      </c>
      <c r="B652" s="1" t="s">
        <v>571</v>
      </c>
      <c r="C652" s="1" t="s">
        <v>51</v>
      </c>
      <c r="D652" s="2">
        <v>41744</v>
      </c>
      <c r="E652" s="1" t="s">
        <v>22</v>
      </c>
      <c r="F652" s="1" t="s">
        <v>841</v>
      </c>
      <c r="G652" s="1">
        <v>49</v>
      </c>
      <c r="H652" s="1">
        <v>70.97</v>
      </c>
      <c r="I652" s="1">
        <f t="shared" si="30"/>
        <v>3477.5299999999997</v>
      </c>
      <c r="J652" t="str">
        <f t="shared" si="31"/>
        <v>High</v>
      </c>
      <c r="K652" s="1"/>
      <c r="L652" s="1">
        <v>0.09</v>
      </c>
      <c r="M652" s="1">
        <v>3.5</v>
      </c>
      <c r="N652" s="1" t="s">
        <v>33</v>
      </c>
      <c r="O652" s="1" t="s">
        <v>34</v>
      </c>
      <c r="P652" s="2">
        <v>41744</v>
      </c>
      <c r="Q652" s="2" t="b">
        <f t="shared" si="32"/>
        <v>0</v>
      </c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</row>
    <row r="653" spans="1:35" ht="14.25" customHeight="1" x14ac:dyDescent="0.2">
      <c r="A653" s="1">
        <v>33220</v>
      </c>
      <c r="B653" s="1" t="s">
        <v>571</v>
      </c>
      <c r="C653" s="1" t="s">
        <v>51</v>
      </c>
      <c r="D653" s="2">
        <v>41744</v>
      </c>
      <c r="E653" s="1" t="s">
        <v>22</v>
      </c>
      <c r="F653" s="1" t="s">
        <v>842</v>
      </c>
      <c r="G653" s="1">
        <v>40</v>
      </c>
      <c r="H653" s="1">
        <v>19.98</v>
      </c>
      <c r="I653" s="1">
        <f t="shared" si="30"/>
        <v>799.2</v>
      </c>
      <c r="J653" t="str">
        <f t="shared" si="31"/>
        <v>Low</v>
      </c>
      <c r="K653" s="1"/>
      <c r="L653" s="1">
        <v>0.1</v>
      </c>
      <c r="M653" s="1">
        <v>10.49</v>
      </c>
      <c r="N653" s="1" t="s">
        <v>33</v>
      </c>
      <c r="O653" s="1" t="s">
        <v>34</v>
      </c>
      <c r="P653" s="2">
        <v>41747</v>
      </c>
      <c r="Q653" s="2" t="b">
        <f t="shared" si="32"/>
        <v>0</v>
      </c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</row>
    <row r="654" spans="1:35" ht="14.25" customHeight="1" x14ac:dyDescent="0.2">
      <c r="A654" s="1">
        <v>58818</v>
      </c>
      <c r="B654" s="1" t="s">
        <v>843</v>
      </c>
      <c r="C654" s="1" t="s">
        <v>30</v>
      </c>
      <c r="D654" s="2">
        <v>41744</v>
      </c>
      <c r="E654" s="1" t="s">
        <v>38</v>
      </c>
      <c r="F654" s="1" t="s">
        <v>844</v>
      </c>
      <c r="G654" s="1">
        <v>41</v>
      </c>
      <c r="H654" s="1">
        <v>22.98</v>
      </c>
      <c r="I654" s="1">
        <f t="shared" si="30"/>
        <v>942.18000000000006</v>
      </c>
      <c r="J654" t="str">
        <f t="shared" si="31"/>
        <v>Low</v>
      </c>
      <c r="K654" s="1"/>
      <c r="L654" s="1">
        <v>0.01</v>
      </c>
      <c r="M654" s="1">
        <v>1.99</v>
      </c>
      <c r="N654" s="1" t="s">
        <v>33</v>
      </c>
      <c r="O654" s="1" t="s">
        <v>84</v>
      </c>
      <c r="P654" s="2">
        <v>41745</v>
      </c>
      <c r="Q654" s="2" t="b">
        <f t="shared" si="32"/>
        <v>0</v>
      </c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</row>
    <row r="655" spans="1:35" ht="14.25" customHeight="1" x14ac:dyDescent="0.2">
      <c r="A655" s="1">
        <v>58818</v>
      </c>
      <c r="B655" s="1" t="s">
        <v>843</v>
      </c>
      <c r="C655" s="1" t="s">
        <v>51</v>
      </c>
      <c r="D655" s="2">
        <v>41744</v>
      </c>
      <c r="E655" s="1" t="s">
        <v>38</v>
      </c>
      <c r="F655" s="1" t="s">
        <v>845</v>
      </c>
      <c r="G655" s="1">
        <v>20</v>
      </c>
      <c r="H655" s="1">
        <v>226.67</v>
      </c>
      <c r="I655" s="1">
        <f t="shared" si="30"/>
        <v>4533.3999999999996</v>
      </c>
      <c r="J655" t="str">
        <f t="shared" si="31"/>
        <v>High</v>
      </c>
      <c r="K655" s="1"/>
      <c r="L655" s="1">
        <v>0.1</v>
      </c>
      <c r="M655" s="1">
        <v>28.16</v>
      </c>
      <c r="N655" s="1" t="s">
        <v>45</v>
      </c>
      <c r="O655" s="1" t="s">
        <v>46</v>
      </c>
      <c r="P655" s="2">
        <v>41746</v>
      </c>
      <c r="Q655" s="2" t="b">
        <f t="shared" si="32"/>
        <v>0</v>
      </c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</row>
    <row r="656" spans="1:35" ht="14.25" customHeight="1" x14ac:dyDescent="0.2">
      <c r="A656" s="1">
        <v>19584</v>
      </c>
      <c r="B656" s="1" t="s">
        <v>364</v>
      </c>
      <c r="C656" s="1" t="s">
        <v>30</v>
      </c>
      <c r="D656" s="2">
        <v>41745</v>
      </c>
      <c r="E656" s="1" t="s">
        <v>38</v>
      </c>
      <c r="F656" s="1" t="s">
        <v>835</v>
      </c>
      <c r="G656" s="1">
        <v>6</v>
      </c>
      <c r="H656" s="1">
        <v>2550.14</v>
      </c>
      <c r="I656" s="1">
        <f t="shared" si="30"/>
        <v>15300.84</v>
      </c>
      <c r="J656" t="str">
        <f t="shared" si="31"/>
        <v>High</v>
      </c>
      <c r="K656" s="1"/>
      <c r="L656" s="1">
        <v>0.05</v>
      </c>
      <c r="M656" s="1">
        <v>29.7</v>
      </c>
      <c r="N656" s="1" t="s">
        <v>45</v>
      </c>
      <c r="O656" s="1" t="s">
        <v>46</v>
      </c>
      <c r="P656" s="2">
        <v>41746</v>
      </c>
      <c r="Q656" s="2" t="b">
        <f t="shared" si="32"/>
        <v>0</v>
      </c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</row>
    <row r="657" spans="1:35" ht="14.25" customHeight="1" x14ac:dyDescent="0.2">
      <c r="A657" s="1">
        <v>96</v>
      </c>
      <c r="B657" s="1" t="s">
        <v>545</v>
      </c>
      <c r="C657" s="1" t="s">
        <v>21</v>
      </c>
      <c r="D657" s="2">
        <v>41745</v>
      </c>
      <c r="E657" s="1" t="s">
        <v>31</v>
      </c>
      <c r="F657" s="1" t="s">
        <v>633</v>
      </c>
      <c r="G657" s="1">
        <v>37</v>
      </c>
      <c r="H657" s="1">
        <v>125.99</v>
      </c>
      <c r="I657" s="1">
        <f t="shared" si="30"/>
        <v>4661.63</v>
      </c>
      <c r="J657" t="str">
        <f t="shared" si="31"/>
        <v>High</v>
      </c>
      <c r="K657" s="1"/>
      <c r="L657" s="1">
        <v>0.01</v>
      </c>
      <c r="M657" s="1">
        <v>8.99</v>
      </c>
      <c r="N657" s="1" t="s">
        <v>33</v>
      </c>
      <c r="O657" s="1" t="s">
        <v>34</v>
      </c>
      <c r="P657" s="2">
        <v>41747</v>
      </c>
      <c r="Q657" s="2" t="b">
        <f t="shared" si="32"/>
        <v>0</v>
      </c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</row>
    <row r="658" spans="1:35" ht="14.25" customHeight="1" x14ac:dyDescent="0.2">
      <c r="A658" s="1">
        <v>50337</v>
      </c>
      <c r="B658" s="1" t="s">
        <v>268</v>
      </c>
      <c r="C658" s="1" t="s">
        <v>30</v>
      </c>
      <c r="D658" s="2">
        <v>41745</v>
      </c>
      <c r="E658" s="1" t="s">
        <v>22</v>
      </c>
      <c r="F658" s="1" t="s">
        <v>846</v>
      </c>
      <c r="G658" s="1">
        <v>37</v>
      </c>
      <c r="H658" s="1">
        <v>2.78</v>
      </c>
      <c r="I658" s="1">
        <f t="shared" si="30"/>
        <v>102.86</v>
      </c>
      <c r="J658" t="str">
        <f t="shared" si="31"/>
        <v>Low</v>
      </c>
      <c r="K658" s="1"/>
      <c r="L658" s="1">
        <v>0</v>
      </c>
      <c r="M658" s="1">
        <v>1.49</v>
      </c>
      <c r="N658" s="1" t="s">
        <v>25</v>
      </c>
      <c r="O658" s="1" t="s">
        <v>34</v>
      </c>
      <c r="P658" s="2">
        <v>41746</v>
      </c>
      <c r="Q658" s="2" t="b">
        <f t="shared" si="32"/>
        <v>0</v>
      </c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</row>
    <row r="659" spans="1:35" ht="14.25" customHeight="1" x14ac:dyDescent="0.2">
      <c r="A659" s="1">
        <v>50337</v>
      </c>
      <c r="B659" s="1" t="s">
        <v>268</v>
      </c>
      <c r="C659" s="1" t="s">
        <v>30</v>
      </c>
      <c r="D659" s="2">
        <v>41745</v>
      </c>
      <c r="E659" s="1" t="s">
        <v>22</v>
      </c>
      <c r="F659" s="1" t="s">
        <v>835</v>
      </c>
      <c r="G659" s="1">
        <v>6</v>
      </c>
      <c r="H659" s="1">
        <v>2550.14</v>
      </c>
      <c r="I659" s="1">
        <f t="shared" si="30"/>
        <v>15300.84</v>
      </c>
      <c r="J659" t="str">
        <f t="shared" si="31"/>
        <v>High</v>
      </c>
      <c r="K659" s="1"/>
      <c r="L659" s="1">
        <v>0.1</v>
      </c>
      <c r="M659" s="1">
        <v>29.7</v>
      </c>
      <c r="N659" s="1" t="s">
        <v>45</v>
      </c>
      <c r="O659" s="1" t="s">
        <v>46</v>
      </c>
      <c r="P659" s="2">
        <v>41747</v>
      </c>
      <c r="Q659" s="2" t="b">
        <f t="shared" si="32"/>
        <v>0</v>
      </c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</row>
    <row r="660" spans="1:35" ht="14.25" customHeight="1" x14ac:dyDescent="0.2">
      <c r="A660" s="1">
        <v>30407</v>
      </c>
      <c r="B660" s="1" t="s">
        <v>847</v>
      </c>
      <c r="C660" s="1" t="s">
        <v>30</v>
      </c>
      <c r="D660" s="2">
        <v>41746</v>
      </c>
      <c r="E660" s="1" t="s">
        <v>43</v>
      </c>
      <c r="F660" s="1" t="s">
        <v>848</v>
      </c>
      <c r="G660" s="1">
        <v>41</v>
      </c>
      <c r="H660" s="1">
        <v>419.19</v>
      </c>
      <c r="I660" s="1">
        <f t="shared" si="30"/>
        <v>17186.79</v>
      </c>
      <c r="J660" t="str">
        <f t="shared" si="31"/>
        <v>High</v>
      </c>
      <c r="K660" s="1"/>
      <c r="L660" s="1">
        <v>0.02</v>
      </c>
      <c r="M660" s="1">
        <v>19.989999999999998</v>
      </c>
      <c r="N660" s="1" t="s">
        <v>33</v>
      </c>
      <c r="O660" s="1" t="s">
        <v>34</v>
      </c>
      <c r="P660" s="2">
        <v>41746</v>
      </c>
      <c r="Q660" s="2" t="b">
        <f t="shared" si="32"/>
        <v>0</v>
      </c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</row>
    <row r="661" spans="1:35" ht="14.25" customHeight="1" x14ac:dyDescent="0.2">
      <c r="A661" s="1">
        <v>2756</v>
      </c>
      <c r="B661" s="1" t="s">
        <v>849</v>
      </c>
      <c r="C661" s="1" t="s">
        <v>21</v>
      </c>
      <c r="D661" s="2">
        <v>41746</v>
      </c>
      <c r="E661" s="1" t="s">
        <v>38</v>
      </c>
      <c r="F661" s="1" t="s">
        <v>679</v>
      </c>
      <c r="G661" s="1">
        <v>25</v>
      </c>
      <c r="H661" s="1">
        <v>55.94</v>
      </c>
      <c r="I661" s="1">
        <f t="shared" si="30"/>
        <v>1398.5</v>
      </c>
      <c r="J661" t="str">
        <f t="shared" si="31"/>
        <v>High</v>
      </c>
      <c r="K661" s="1"/>
      <c r="L661" s="1">
        <v>0.06</v>
      </c>
      <c r="M661" s="1">
        <v>4</v>
      </c>
      <c r="N661" s="1" t="s">
        <v>33</v>
      </c>
      <c r="O661" s="1" t="s">
        <v>34</v>
      </c>
      <c r="P661" s="2">
        <v>41747</v>
      </c>
      <c r="Q661" s="2" t="b">
        <f t="shared" si="32"/>
        <v>0</v>
      </c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</row>
    <row r="662" spans="1:35" ht="14.25" customHeight="1" x14ac:dyDescent="0.2">
      <c r="A662" s="1">
        <v>2756</v>
      </c>
      <c r="B662" s="1" t="s">
        <v>849</v>
      </c>
      <c r="C662" s="1" t="s">
        <v>30</v>
      </c>
      <c r="D662" s="2">
        <v>41746</v>
      </c>
      <c r="E662" s="1" t="s">
        <v>38</v>
      </c>
      <c r="F662" s="1" t="s">
        <v>850</v>
      </c>
      <c r="G662" s="1">
        <v>42</v>
      </c>
      <c r="H662" s="1">
        <v>6.3</v>
      </c>
      <c r="I662" s="1">
        <f t="shared" si="30"/>
        <v>264.59999999999997</v>
      </c>
      <c r="J662" t="str">
        <f t="shared" si="31"/>
        <v>Low</v>
      </c>
      <c r="K662" s="1"/>
      <c r="L662" s="1">
        <v>7.0000000000000007E-2</v>
      </c>
      <c r="M662" s="1">
        <v>0.5</v>
      </c>
      <c r="N662" s="1" t="s">
        <v>33</v>
      </c>
      <c r="O662" s="1" t="s">
        <v>34</v>
      </c>
      <c r="P662" s="2">
        <v>41746</v>
      </c>
      <c r="Q662" s="2" t="b">
        <f t="shared" si="32"/>
        <v>0</v>
      </c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</row>
    <row r="663" spans="1:35" ht="14.25" customHeight="1" x14ac:dyDescent="0.2">
      <c r="A663" s="1">
        <v>11013</v>
      </c>
      <c r="B663" s="1" t="s">
        <v>143</v>
      </c>
      <c r="C663" s="1" t="s">
        <v>51</v>
      </c>
      <c r="D663" s="2">
        <v>41746</v>
      </c>
      <c r="E663" s="1" t="s">
        <v>31</v>
      </c>
      <c r="F663" s="1" t="s">
        <v>154</v>
      </c>
      <c r="G663" s="1">
        <v>2</v>
      </c>
      <c r="H663" s="1">
        <v>125.99</v>
      </c>
      <c r="I663" s="1">
        <f t="shared" si="30"/>
        <v>251.98</v>
      </c>
      <c r="J663" t="str">
        <f t="shared" si="31"/>
        <v>Low</v>
      </c>
      <c r="K663" s="1"/>
      <c r="L663" s="1">
        <v>0.01</v>
      </c>
      <c r="M663" s="1">
        <v>8.99</v>
      </c>
      <c r="N663" s="1" t="s">
        <v>33</v>
      </c>
      <c r="O663" s="1" t="s">
        <v>34</v>
      </c>
      <c r="P663" s="2">
        <v>41747</v>
      </c>
      <c r="Q663" s="2" t="b">
        <f t="shared" si="32"/>
        <v>0</v>
      </c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</row>
    <row r="664" spans="1:35" ht="14.25" customHeight="1" x14ac:dyDescent="0.2">
      <c r="A664" s="1">
        <v>54753</v>
      </c>
      <c r="B664" s="1" t="s">
        <v>719</v>
      </c>
      <c r="C664" s="1" t="s">
        <v>21</v>
      </c>
      <c r="D664" s="2">
        <v>41747</v>
      </c>
      <c r="E664" s="1" t="s">
        <v>101</v>
      </c>
      <c r="F664" s="1" t="s">
        <v>851</v>
      </c>
      <c r="G664" s="1">
        <v>36</v>
      </c>
      <c r="H664" s="1">
        <v>155.99</v>
      </c>
      <c r="I664" s="1">
        <f t="shared" si="30"/>
        <v>5615.64</v>
      </c>
      <c r="J664" t="str">
        <f t="shared" si="31"/>
        <v>High</v>
      </c>
      <c r="K664" s="1"/>
      <c r="L664" s="1">
        <v>0.06</v>
      </c>
      <c r="M664" s="1">
        <v>3.9</v>
      </c>
      <c r="N664" s="1" t="s">
        <v>33</v>
      </c>
      <c r="O664" s="1" t="s">
        <v>34</v>
      </c>
      <c r="P664" s="2">
        <v>41748</v>
      </c>
      <c r="Q664" s="2" t="b">
        <f t="shared" si="32"/>
        <v>0</v>
      </c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</row>
    <row r="665" spans="1:35" ht="14.25" customHeight="1" x14ac:dyDescent="0.2">
      <c r="A665" s="1">
        <v>11553</v>
      </c>
      <c r="B665" s="1" t="s">
        <v>492</v>
      </c>
      <c r="C665" s="1" t="s">
        <v>30</v>
      </c>
      <c r="D665" s="2">
        <v>41747</v>
      </c>
      <c r="E665" s="1" t="s">
        <v>101</v>
      </c>
      <c r="F665" s="1" t="s">
        <v>852</v>
      </c>
      <c r="G665" s="1">
        <v>28</v>
      </c>
      <c r="H665" s="1">
        <v>52.99</v>
      </c>
      <c r="I665" s="1">
        <f t="shared" si="30"/>
        <v>1483.72</v>
      </c>
      <c r="J665" t="str">
        <f t="shared" si="31"/>
        <v>High</v>
      </c>
      <c r="K665" s="1"/>
      <c r="L665" s="1">
        <v>0.1</v>
      </c>
      <c r="M665" s="1">
        <v>19.989999999999998</v>
      </c>
      <c r="N665" s="1" t="s">
        <v>25</v>
      </c>
      <c r="O665" s="1" t="s">
        <v>34</v>
      </c>
      <c r="P665" s="2">
        <v>41748</v>
      </c>
      <c r="Q665" s="2" t="b">
        <f t="shared" si="32"/>
        <v>0</v>
      </c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</row>
    <row r="666" spans="1:35" ht="14.25" customHeight="1" x14ac:dyDescent="0.2">
      <c r="A666" s="1">
        <v>11553</v>
      </c>
      <c r="B666" s="1" t="s">
        <v>492</v>
      </c>
      <c r="C666" s="1" t="s">
        <v>51</v>
      </c>
      <c r="D666" s="2">
        <v>41747</v>
      </c>
      <c r="E666" s="1" t="s">
        <v>101</v>
      </c>
      <c r="F666" s="1" t="s">
        <v>614</v>
      </c>
      <c r="G666" s="1">
        <v>8</v>
      </c>
      <c r="H666" s="1">
        <v>100.98</v>
      </c>
      <c r="I666" s="1">
        <f t="shared" si="30"/>
        <v>807.84</v>
      </c>
      <c r="J666" t="str">
        <f t="shared" si="31"/>
        <v>Low</v>
      </c>
      <c r="K666" s="1"/>
      <c r="L666" s="1">
        <v>7.0000000000000007E-2</v>
      </c>
      <c r="M666" s="1">
        <v>57.38</v>
      </c>
      <c r="N666" s="1" t="s">
        <v>45</v>
      </c>
      <c r="O666" s="1" t="s">
        <v>63</v>
      </c>
      <c r="P666" s="2">
        <v>41750</v>
      </c>
      <c r="Q666" s="2" t="b">
        <f t="shared" si="32"/>
        <v>0</v>
      </c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</row>
    <row r="667" spans="1:35" ht="14.25" customHeight="1" x14ac:dyDescent="0.2">
      <c r="A667" s="1">
        <v>11553</v>
      </c>
      <c r="B667" s="1" t="s">
        <v>492</v>
      </c>
      <c r="C667" s="1" t="s">
        <v>51</v>
      </c>
      <c r="D667" s="2">
        <v>41747</v>
      </c>
      <c r="E667" s="1" t="s">
        <v>101</v>
      </c>
      <c r="F667" s="1" t="s">
        <v>775</v>
      </c>
      <c r="G667" s="1">
        <v>20</v>
      </c>
      <c r="H667" s="1">
        <v>85.99</v>
      </c>
      <c r="I667" s="1">
        <f t="shared" si="30"/>
        <v>1719.8</v>
      </c>
      <c r="J667" t="str">
        <f t="shared" si="31"/>
        <v>High</v>
      </c>
      <c r="K667" s="1"/>
      <c r="L667" s="1">
        <v>0.03</v>
      </c>
      <c r="M667" s="1">
        <v>0.99</v>
      </c>
      <c r="N667" s="1" t="s">
        <v>33</v>
      </c>
      <c r="O667" s="1" t="s">
        <v>55</v>
      </c>
      <c r="P667" s="2">
        <v>41749</v>
      </c>
      <c r="Q667" s="2" t="b">
        <f t="shared" si="32"/>
        <v>0</v>
      </c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</row>
    <row r="668" spans="1:35" ht="14.25" customHeight="1" x14ac:dyDescent="0.2">
      <c r="A668" s="1">
        <v>8259</v>
      </c>
      <c r="B668" s="1" t="s">
        <v>853</v>
      </c>
      <c r="C668" s="1" t="s">
        <v>21</v>
      </c>
      <c r="D668" s="2">
        <v>41747</v>
      </c>
      <c r="E668" s="1" t="s">
        <v>101</v>
      </c>
      <c r="F668" s="1" t="s">
        <v>854</v>
      </c>
      <c r="G668" s="1">
        <v>25</v>
      </c>
      <c r="H668" s="1">
        <v>89.99</v>
      </c>
      <c r="I668" s="1">
        <f t="shared" si="30"/>
        <v>2249.75</v>
      </c>
      <c r="J668" t="str">
        <f t="shared" si="31"/>
        <v>High</v>
      </c>
      <c r="K668" s="1"/>
      <c r="L668" s="1">
        <v>0.09</v>
      </c>
      <c r="M668" s="1">
        <v>42</v>
      </c>
      <c r="N668" s="1" t="s">
        <v>45</v>
      </c>
      <c r="O668" s="1" t="s">
        <v>46</v>
      </c>
      <c r="P668" s="2">
        <v>41747</v>
      </c>
      <c r="Q668" s="2" t="b">
        <f t="shared" si="32"/>
        <v>0</v>
      </c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</row>
    <row r="669" spans="1:35" ht="14.25" customHeight="1" x14ac:dyDescent="0.2">
      <c r="A669" s="1">
        <v>2817</v>
      </c>
      <c r="B669" s="1" t="s">
        <v>141</v>
      </c>
      <c r="C669" s="1" t="s">
        <v>21</v>
      </c>
      <c r="D669" s="2">
        <v>41747</v>
      </c>
      <c r="E669" s="1" t="s">
        <v>101</v>
      </c>
      <c r="F669" s="1" t="s">
        <v>855</v>
      </c>
      <c r="G669" s="1">
        <v>14</v>
      </c>
      <c r="H669" s="1">
        <v>300.97000000000003</v>
      </c>
      <c r="I669" s="1">
        <f t="shared" si="30"/>
        <v>4213.58</v>
      </c>
      <c r="J669" t="str">
        <f t="shared" si="31"/>
        <v>High</v>
      </c>
      <c r="K669" s="1"/>
      <c r="L669" s="1">
        <v>0.1</v>
      </c>
      <c r="M669" s="1">
        <v>7.18</v>
      </c>
      <c r="N669" s="1" t="s">
        <v>33</v>
      </c>
      <c r="O669" s="1" t="s">
        <v>34</v>
      </c>
      <c r="P669" s="2">
        <v>41748</v>
      </c>
      <c r="Q669" s="2" t="b">
        <f t="shared" si="32"/>
        <v>0</v>
      </c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</row>
    <row r="670" spans="1:35" ht="14.25" customHeight="1" x14ac:dyDescent="0.2">
      <c r="A670" s="1">
        <v>2817</v>
      </c>
      <c r="B670" s="1" t="s">
        <v>141</v>
      </c>
      <c r="C670" s="1" t="s">
        <v>21</v>
      </c>
      <c r="D670" s="2">
        <v>41747</v>
      </c>
      <c r="E670" s="1" t="s">
        <v>101</v>
      </c>
      <c r="F670" s="1" t="s">
        <v>856</v>
      </c>
      <c r="G670" s="1">
        <v>40</v>
      </c>
      <c r="H670" s="1">
        <v>39.89</v>
      </c>
      <c r="I670" s="1">
        <f t="shared" si="30"/>
        <v>1595.6</v>
      </c>
      <c r="J670" t="str">
        <f t="shared" si="31"/>
        <v>High</v>
      </c>
      <c r="K670" s="1"/>
      <c r="L670" s="1">
        <v>0.06</v>
      </c>
      <c r="M670" s="1">
        <v>3.04</v>
      </c>
      <c r="N670" s="1" t="s">
        <v>33</v>
      </c>
      <c r="O670" s="1" t="s">
        <v>55</v>
      </c>
      <c r="P670" s="2">
        <v>41749</v>
      </c>
      <c r="Q670" s="2" t="b">
        <f t="shared" si="32"/>
        <v>0</v>
      </c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</row>
    <row r="671" spans="1:35" ht="14.25" customHeight="1" x14ac:dyDescent="0.2">
      <c r="A671" s="1">
        <v>4674</v>
      </c>
      <c r="B671" s="1" t="s">
        <v>242</v>
      </c>
      <c r="C671" s="1" t="s">
        <v>21</v>
      </c>
      <c r="D671" s="2">
        <v>41747</v>
      </c>
      <c r="E671" s="1" t="s">
        <v>38</v>
      </c>
      <c r="F671" s="1" t="s">
        <v>857</v>
      </c>
      <c r="G671" s="1">
        <v>23</v>
      </c>
      <c r="H671" s="1">
        <v>130.97999999999999</v>
      </c>
      <c r="I671" s="1">
        <f t="shared" si="30"/>
        <v>3012.54</v>
      </c>
      <c r="J671" t="str">
        <f t="shared" si="31"/>
        <v>High</v>
      </c>
      <c r="K671" s="1"/>
      <c r="L671" s="1">
        <v>0.02</v>
      </c>
      <c r="M671" s="1">
        <v>30</v>
      </c>
      <c r="N671" s="1" t="s">
        <v>45</v>
      </c>
      <c r="O671" s="1" t="s">
        <v>46</v>
      </c>
      <c r="P671" s="2">
        <v>41748</v>
      </c>
      <c r="Q671" s="2" t="b">
        <f t="shared" si="32"/>
        <v>0</v>
      </c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</row>
    <row r="672" spans="1:35" ht="14.25" customHeight="1" x14ac:dyDescent="0.2">
      <c r="A672" s="1">
        <v>994</v>
      </c>
      <c r="B672" s="1" t="s">
        <v>799</v>
      </c>
      <c r="C672" s="1" t="s">
        <v>30</v>
      </c>
      <c r="D672" s="2">
        <v>41748</v>
      </c>
      <c r="E672" s="1" t="s">
        <v>43</v>
      </c>
      <c r="F672" s="1" t="s">
        <v>858</v>
      </c>
      <c r="G672" s="1">
        <v>38</v>
      </c>
      <c r="H672" s="1">
        <v>3.58</v>
      </c>
      <c r="I672" s="1">
        <f t="shared" si="30"/>
        <v>136.04</v>
      </c>
      <c r="J672" t="str">
        <f t="shared" si="31"/>
        <v>Low</v>
      </c>
      <c r="K672" s="1"/>
      <c r="L672" s="1">
        <v>0.06</v>
      </c>
      <c r="M672" s="1">
        <v>1.63</v>
      </c>
      <c r="N672" s="1" t="s">
        <v>33</v>
      </c>
      <c r="O672" s="1" t="s">
        <v>55</v>
      </c>
      <c r="P672" s="2">
        <v>41752</v>
      </c>
      <c r="Q672" s="2" t="b">
        <f t="shared" si="32"/>
        <v>0</v>
      </c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</row>
    <row r="673" spans="1:35" ht="14.25" customHeight="1" x14ac:dyDescent="0.2">
      <c r="A673" s="1">
        <v>48135</v>
      </c>
      <c r="B673" s="1" t="s">
        <v>20</v>
      </c>
      <c r="C673" s="1" t="s">
        <v>30</v>
      </c>
      <c r="D673" s="2">
        <v>41748</v>
      </c>
      <c r="E673" s="1" t="s">
        <v>31</v>
      </c>
      <c r="F673" s="1" t="s">
        <v>314</v>
      </c>
      <c r="G673" s="1">
        <v>20</v>
      </c>
      <c r="H673" s="1">
        <v>199.99</v>
      </c>
      <c r="I673" s="1">
        <f t="shared" si="30"/>
        <v>3999.8</v>
      </c>
      <c r="J673" t="str">
        <f t="shared" si="31"/>
        <v>High</v>
      </c>
      <c r="K673" s="1"/>
      <c r="L673" s="1">
        <v>0.09</v>
      </c>
      <c r="M673" s="1">
        <v>24.49</v>
      </c>
      <c r="N673" s="1" t="s">
        <v>25</v>
      </c>
      <c r="O673" s="1" t="s">
        <v>26</v>
      </c>
      <c r="P673" s="2">
        <v>41750</v>
      </c>
      <c r="Q673" s="2" t="b">
        <f t="shared" si="32"/>
        <v>1</v>
      </c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</row>
    <row r="674" spans="1:35" ht="14.25" customHeight="1" x14ac:dyDescent="0.2">
      <c r="A674" s="1">
        <v>59745</v>
      </c>
      <c r="B674" s="1" t="s">
        <v>374</v>
      </c>
      <c r="C674" s="1" t="s">
        <v>30</v>
      </c>
      <c r="D674" s="2">
        <v>41748</v>
      </c>
      <c r="E674" s="1" t="s">
        <v>22</v>
      </c>
      <c r="F674" s="1" t="s">
        <v>859</v>
      </c>
      <c r="G674" s="1">
        <v>36</v>
      </c>
      <c r="H674" s="1">
        <v>525.98</v>
      </c>
      <c r="I674" s="1">
        <f t="shared" si="30"/>
        <v>18935.28</v>
      </c>
      <c r="J674" t="str">
        <f t="shared" si="31"/>
        <v>High</v>
      </c>
      <c r="K674" s="1"/>
      <c r="L674" s="1">
        <v>0.09</v>
      </c>
      <c r="M674" s="1">
        <v>19.989999999999998</v>
      </c>
      <c r="N674" s="1" t="s">
        <v>33</v>
      </c>
      <c r="O674" s="1" t="s">
        <v>34</v>
      </c>
      <c r="P674" s="2">
        <v>41750</v>
      </c>
      <c r="Q674" s="2" t="b">
        <f t="shared" si="32"/>
        <v>0</v>
      </c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</row>
    <row r="675" spans="1:35" ht="14.25" customHeight="1" x14ac:dyDescent="0.2">
      <c r="A675" s="1">
        <v>48135</v>
      </c>
      <c r="B675" s="1" t="s">
        <v>20</v>
      </c>
      <c r="C675" s="1" t="s">
        <v>21</v>
      </c>
      <c r="D675" s="2">
        <v>41748</v>
      </c>
      <c r="E675" s="1" t="s">
        <v>31</v>
      </c>
      <c r="F675" s="1" t="s">
        <v>791</v>
      </c>
      <c r="G675" s="1">
        <v>40</v>
      </c>
      <c r="H675" s="1">
        <v>17.670000000000002</v>
      </c>
      <c r="I675" s="1">
        <f t="shared" si="30"/>
        <v>706.80000000000007</v>
      </c>
      <c r="J675" t="str">
        <f t="shared" si="31"/>
        <v>Low</v>
      </c>
      <c r="K675" s="1"/>
      <c r="L675" s="1">
        <v>0.02</v>
      </c>
      <c r="M675" s="1">
        <v>8.99</v>
      </c>
      <c r="N675" s="1" t="s">
        <v>33</v>
      </c>
      <c r="O675" s="1" t="s">
        <v>84</v>
      </c>
      <c r="P675" s="2">
        <v>41748</v>
      </c>
      <c r="Q675" s="2" t="b">
        <f t="shared" si="32"/>
        <v>0</v>
      </c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</row>
    <row r="676" spans="1:35" ht="14.25" customHeight="1" x14ac:dyDescent="0.2">
      <c r="A676" s="1">
        <v>30176</v>
      </c>
      <c r="B676" s="1" t="s">
        <v>227</v>
      </c>
      <c r="C676" s="1" t="s">
        <v>51</v>
      </c>
      <c r="D676" s="2">
        <v>41748</v>
      </c>
      <c r="E676" s="1" t="s">
        <v>43</v>
      </c>
      <c r="F676" s="1" t="s">
        <v>860</v>
      </c>
      <c r="G676" s="1">
        <v>30</v>
      </c>
      <c r="H676" s="1">
        <v>79.52</v>
      </c>
      <c r="I676" s="1">
        <f t="shared" si="30"/>
        <v>2385.6</v>
      </c>
      <c r="J676" t="str">
        <f t="shared" si="31"/>
        <v>High</v>
      </c>
      <c r="K676" s="1"/>
      <c r="L676" s="1">
        <v>0.01</v>
      </c>
      <c r="M676" s="1">
        <v>48.2</v>
      </c>
      <c r="N676" s="1" t="s">
        <v>33</v>
      </c>
      <c r="O676" s="1" t="s">
        <v>72</v>
      </c>
      <c r="P676" s="2">
        <v>41755</v>
      </c>
      <c r="Q676" s="2" t="b">
        <f t="shared" si="32"/>
        <v>0</v>
      </c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</row>
    <row r="677" spans="1:35" ht="14.25" customHeight="1" x14ac:dyDescent="0.2">
      <c r="A677" s="1">
        <v>53798</v>
      </c>
      <c r="B677" s="1" t="s">
        <v>681</v>
      </c>
      <c r="C677" s="1" t="s">
        <v>21</v>
      </c>
      <c r="D677" s="2">
        <v>41748</v>
      </c>
      <c r="E677" s="1" t="s">
        <v>43</v>
      </c>
      <c r="F677" s="1" t="s">
        <v>359</v>
      </c>
      <c r="G677" s="1">
        <v>29</v>
      </c>
      <c r="H677" s="1">
        <v>78.650000000000006</v>
      </c>
      <c r="I677" s="1">
        <f t="shared" si="30"/>
        <v>2280.8500000000004</v>
      </c>
      <c r="J677" t="str">
        <f t="shared" si="31"/>
        <v>High</v>
      </c>
      <c r="K677" s="1"/>
      <c r="L677" s="1">
        <v>0</v>
      </c>
      <c r="M677" s="1">
        <v>13.99</v>
      </c>
      <c r="N677" s="1" t="s">
        <v>33</v>
      </c>
      <c r="O677" s="1" t="s">
        <v>72</v>
      </c>
      <c r="P677" s="2">
        <v>41755</v>
      </c>
      <c r="Q677" s="2" t="b">
        <f t="shared" si="32"/>
        <v>0</v>
      </c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</row>
    <row r="678" spans="1:35" ht="14.25" customHeight="1" x14ac:dyDescent="0.2">
      <c r="A678" s="1">
        <v>53798</v>
      </c>
      <c r="B678" s="1" t="s">
        <v>681</v>
      </c>
      <c r="C678" s="1" t="s">
        <v>30</v>
      </c>
      <c r="D678" s="2">
        <v>41748</v>
      </c>
      <c r="E678" s="1" t="s">
        <v>43</v>
      </c>
      <c r="F678" s="1" t="s">
        <v>375</v>
      </c>
      <c r="G678" s="1">
        <v>41</v>
      </c>
      <c r="H678" s="1">
        <v>122.99</v>
      </c>
      <c r="I678" s="1">
        <f t="shared" si="30"/>
        <v>5042.59</v>
      </c>
      <c r="J678" t="str">
        <f t="shared" si="31"/>
        <v>High</v>
      </c>
      <c r="K678" s="1"/>
      <c r="L678" s="1">
        <v>0.08</v>
      </c>
      <c r="M678" s="1">
        <v>70.2</v>
      </c>
      <c r="N678" s="1" t="s">
        <v>45</v>
      </c>
      <c r="O678" s="1" t="s">
        <v>46</v>
      </c>
      <c r="P678" s="2">
        <v>41753</v>
      </c>
      <c r="Q678" s="2" t="b">
        <f t="shared" si="32"/>
        <v>0</v>
      </c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</row>
    <row r="679" spans="1:35" ht="14.25" customHeight="1" x14ac:dyDescent="0.2">
      <c r="A679" s="1">
        <v>41474</v>
      </c>
      <c r="B679" s="1" t="s">
        <v>861</v>
      </c>
      <c r="C679" s="1" t="s">
        <v>21</v>
      </c>
      <c r="D679" s="2">
        <v>41749</v>
      </c>
      <c r="E679" s="1" t="s">
        <v>22</v>
      </c>
      <c r="F679" s="1" t="s">
        <v>107</v>
      </c>
      <c r="G679" s="1">
        <v>35</v>
      </c>
      <c r="H679" s="1">
        <v>100.98</v>
      </c>
      <c r="I679" s="1">
        <f t="shared" si="30"/>
        <v>3534.3</v>
      </c>
      <c r="J679" t="str">
        <f t="shared" si="31"/>
        <v>High</v>
      </c>
      <c r="K679" s="1"/>
      <c r="L679" s="1">
        <v>0</v>
      </c>
      <c r="M679" s="1">
        <v>35.840000000000003</v>
      </c>
      <c r="N679" s="1" t="s">
        <v>45</v>
      </c>
      <c r="O679" s="1" t="s">
        <v>63</v>
      </c>
      <c r="P679" s="2">
        <v>41751</v>
      </c>
      <c r="Q679" s="2" t="b">
        <f t="shared" si="32"/>
        <v>0</v>
      </c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</row>
    <row r="680" spans="1:35" ht="14.25" customHeight="1" x14ac:dyDescent="0.2">
      <c r="A680" s="1">
        <v>41474</v>
      </c>
      <c r="B680" s="1" t="s">
        <v>861</v>
      </c>
      <c r="C680" s="1" t="s">
        <v>30</v>
      </c>
      <c r="D680" s="2">
        <v>41749</v>
      </c>
      <c r="E680" s="1" t="s">
        <v>22</v>
      </c>
      <c r="F680" s="1" t="s">
        <v>862</v>
      </c>
      <c r="G680" s="1">
        <v>50</v>
      </c>
      <c r="H680" s="1">
        <v>4.7699999999999996</v>
      </c>
      <c r="I680" s="1">
        <f t="shared" si="30"/>
        <v>238.49999999999997</v>
      </c>
      <c r="J680" t="str">
        <f t="shared" si="31"/>
        <v>Low</v>
      </c>
      <c r="K680" s="1"/>
      <c r="L680" s="1">
        <v>0.09</v>
      </c>
      <c r="M680" s="1">
        <v>2.39</v>
      </c>
      <c r="N680" s="1" t="s">
        <v>33</v>
      </c>
      <c r="O680" s="1" t="s">
        <v>84</v>
      </c>
      <c r="P680" s="2">
        <v>41751</v>
      </c>
      <c r="Q680" s="2" t="b">
        <f t="shared" si="32"/>
        <v>0</v>
      </c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</row>
    <row r="681" spans="1:35" ht="14.25" customHeight="1" x14ac:dyDescent="0.2">
      <c r="A681" s="1">
        <v>49511</v>
      </c>
      <c r="B681" s="1" t="s">
        <v>863</v>
      </c>
      <c r="C681" s="1" t="s">
        <v>21</v>
      </c>
      <c r="D681" s="2">
        <v>41749</v>
      </c>
      <c r="E681" s="1" t="s">
        <v>31</v>
      </c>
      <c r="F681" s="1" t="s">
        <v>864</v>
      </c>
      <c r="G681" s="1">
        <v>35</v>
      </c>
      <c r="H681" s="1">
        <v>3.69</v>
      </c>
      <c r="I681" s="1">
        <f t="shared" si="30"/>
        <v>129.15</v>
      </c>
      <c r="J681" t="str">
        <f t="shared" si="31"/>
        <v>Low</v>
      </c>
      <c r="K681" s="1"/>
      <c r="L681" s="1">
        <v>0.03</v>
      </c>
      <c r="M681" s="1">
        <v>2.5</v>
      </c>
      <c r="N681" s="1" t="s">
        <v>25</v>
      </c>
      <c r="O681" s="1" t="s">
        <v>34</v>
      </c>
      <c r="P681" s="2">
        <v>41749</v>
      </c>
      <c r="Q681" s="2" t="b">
        <f t="shared" si="32"/>
        <v>0</v>
      </c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</row>
    <row r="682" spans="1:35" ht="14.25" customHeight="1" x14ac:dyDescent="0.2">
      <c r="A682" s="1">
        <v>19367</v>
      </c>
      <c r="B682" s="1" t="s">
        <v>227</v>
      </c>
      <c r="C682" s="1" t="s">
        <v>21</v>
      </c>
      <c r="D682" s="2">
        <v>41749</v>
      </c>
      <c r="E682" s="1" t="s">
        <v>31</v>
      </c>
      <c r="F682" s="1" t="s">
        <v>865</v>
      </c>
      <c r="G682" s="1">
        <v>20</v>
      </c>
      <c r="H682" s="1">
        <v>5.98</v>
      </c>
      <c r="I682" s="1">
        <f t="shared" si="30"/>
        <v>119.60000000000001</v>
      </c>
      <c r="J682" t="str">
        <f t="shared" si="31"/>
        <v>Low</v>
      </c>
      <c r="K682" s="1"/>
      <c r="L682" s="1">
        <v>0.09</v>
      </c>
      <c r="M682" s="1">
        <v>2.5</v>
      </c>
      <c r="N682" s="1" t="s">
        <v>33</v>
      </c>
      <c r="O682" s="1" t="s">
        <v>34</v>
      </c>
      <c r="P682" s="2">
        <v>41751</v>
      </c>
      <c r="Q682" s="2" t="b">
        <f t="shared" si="32"/>
        <v>0</v>
      </c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</row>
    <row r="683" spans="1:35" ht="14.25" customHeight="1" x14ac:dyDescent="0.2">
      <c r="A683" s="1">
        <v>44834</v>
      </c>
      <c r="B683" s="1" t="s">
        <v>866</v>
      </c>
      <c r="C683" s="1" t="s">
        <v>30</v>
      </c>
      <c r="D683" s="2">
        <v>41749</v>
      </c>
      <c r="E683" s="1" t="s">
        <v>101</v>
      </c>
      <c r="F683" s="1" t="s">
        <v>867</v>
      </c>
      <c r="G683" s="1">
        <v>13</v>
      </c>
      <c r="H683" s="1">
        <v>19.98</v>
      </c>
      <c r="I683" s="1">
        <f t="shared" si="30"/>
        <v>259.74</v>
      </c>
      <c r="J683" t="str">
        <f t="shared" si="31"/>
        <v>Low</v>
      </c>
      <c r="K683" s="1"/>
      <c r="L683" s="1">
        <v>0.1</v>
      </c>
      <c r="M683" s="1">
        <v>5.77</v>
      </c>
      <c r="N683" s="1" t="s">
        <v>25</v>
      </c>
      <c r="O683" s="1" t="s">
        <v>34</v>
      </c>
      <c r="P683" s="2">
        <v>41749</v>
      </c>
      <c r="Q683" s="2" t="b">
        <f t="shared" si="32"/>
        <v>0</v>
      </c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</row>
    <row r="684" spans="1:35" ht="14.25" customHeight="1" x14ac:dyDescent="0.2">
      <c r="A684" s="1">
        <v>44834</v>
      </c>
      <c r="B684" s="1" t="s">
        <v>866</v>
      </c>
      <c r="C684" s="1" t="s">
        <v>30</v>
      </c>
      <c r="D684" s="2">
        <v>41749</v>
      </c>
      <c r="E684" s="1" t="s">
        <v>101</v>
      </c>
      <c r="F684" s="1" t="s">
        <v>415</v>
      </c>
      <c r="G684" s="1">
        <v>43</v>
      </c>
      <c r="H684" s="1">
        <v>259.70999999999998</v>
      </c>
      <c r="I684" s="1">
        <f t="shared" si="30"/>
        <v>11167.529999999999</v>
      </c>
      <c r="J684" t="str">
        <f t="shared" si="31"/>
        <v>High</v>
      </c>
      <c r="K684" s="1"/>
      <c r="L684" s="1">
        <v>0.06</v>
      </c>
      <c r="M684" s="1">
        <v>66.67</v>
      </c>
      <c r="N684" s="1" t="s">
        <v>45</v>
      </c>
      <c r="O684" s="1" t="s">
        <v>63</v>
      </c>
      <c r="P684" s="2">
        <v>41750</v>
      </c>
      <c r="Q684" s="2" t="b">
        <f t="shared" si="32"/>
        <v>0</v>
      </c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</row>
    <row r="685" spans="1:35" ht="14.25" customHeight="1" x14ac:dyDescent="0.2">
      <c r="A685" s="1">
        <v>28736</v>
      </c>
      <c r="B685" s="1" t="s">
        <v>617</v>
      </c>
      <c r="C685" s="1" t="s">
        <v>51</v>
      </c>
      <c r="D685" s="2">
        <v>41750</v>
      </c>
      <c r="E685" s="1" t="s">
        <v>31</v>
      </c>
      <c r="F685" s="1" t="s">
        <v>868</v>
      </c>
      <c r="G685" s="1">
        <v>26</v>
      </c>
      <c r="H685" s="1">
        <v>40.99</v>
      </c>
      <c r="I685" s="1">
        <f t="shared" si="30"/>
        <v>1065.74</v>
      </c>
      <c r="J685" t="str">
        <f t="shared" si="31"/>
        <v>High</v>
      </c>
      <c r="K685" s="1"/>
      <c r="L685" s="1">
        <v>0.06</v>
      </c>
      <c r="M685" s="1">
        <v>17.48</v>
      </c>
      <c r="N685" s="1" t="s">
        <v>33</v>
      </c>
      <c r="O685" s="1" t="s">
        <v>34</v>
      </c>
      <c r="P685" s="2">
        <v>41750</v>
      </c>
      <c r="Q685" s="2" t="b">
        <f t="shared" si="32"/>
        <v>0</v>
      </c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</row>
    <row r="686" spans="1:35" ht="14.25" customHeight="1" x14ac:dyDescent="0.2">
      <c r="A686" s="1">
        <v>40997</v>
      </c>
      <c r="B686" s="1" t="s">
        <v>766</v>
      </c>
      <c r="C686" s="1" t="s">
        <v>30</v>
      </c>
      <c r="D686" s="2">
        <v>41750</v>
      </c>
      <c r="E686" s="1" t="s">
        <v>43</v>
      </c>
      <c r="F686" s="1" t="s">
        <v>869</v>
      </c>
      <c r="G686" s="1">
        <v>12</v>
      </c>
      <c r="H686" s="1">
        <v>30.98</v>
      </c>
      <c r="I686" s="1">
        <f t="shared" si="30"/>
        <v>371.76</v>
      </c>
      <c r="J686" t="str">
        <f t="shared" si="31"/>
        <v>Low</v>
      </c>
      <c r="K686" s="1"/>
      <c r="L686" s="1">
        <v>0.05</v>
      </c>
      <c r="M686" s="1">
        <v>9.18</v>
      </c>
      <c r="N686" s="1" t="s">
        <v>25</v>
      </c>
      <c r="O686" s="1" t="s">
        <v>34</v>
      </c>
      <c r="P686" s="2">
        <v>41750</v>
      </c>
      <c r="Q686" s="2" t="b">
        <f t="shared" si="32"/>
        <v>0</v>
      </c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</row>
    <row r="687" spans="1:35" ht="14.25" customHeight="1" x14ac:dyDescent="0.2">
      <c r="A687" s="1">
        <v>40997</v>
      </c>
      <c r="B687" s="1" t="s">
        <v>766</v>
      </c>
      <c r="C687" s="1" t="s">
        <v>51</v>
      </c>
      <c r="D687" s="2">
        <v>41750</v>
      </c>
      <c r="E687" s="1" t="s">
        <v>43</v>
      </c>
      <c r="F687" s="1" t="s">
        <v>870</v>
      </c>
      <c r="G687" s="1">
        <v>37</v>
      </c>
      <c r="H687" s="1">
        <v>22.99</v>
      </c>
      <c r="I687" s="1">
        <f t="shared" si="30"/>
        <v>850.63</v>
      </c>
      <c r="J687" t="str">
        <f t="shared" si="31"/>
        <v>Low</v>
      </c>
      <c r="K687" s="1"/>
      <c r="L687" s="1">
        <v>0.05</v>
      </c>
      <c r="M687" s="1">
        <v>8.99</v>
      </c>
      <c r="N687" s="1" t="s">
        <v>33</v>
      </c>
      <c r="O687" s="1" t="s">
        <v>84</v>
      </c>
      <c r="P687" s="2">
        <v>41757</v>
      </c>
      <c r="Q687" s="2" t="b">
        <f t="shared" si="32"/>
        <v>0</v>
      </c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</row>
    <row r="688" spans="1:35" ht="14.25" customHeight="1" x14ac:dyDescent="0.2">
      <c r="A688" s="1">
        <v>40997</v>
      </c>
      <c r="B688" s="1" t="s">
        <v>766</v>
      </c>
      <c r="C688" s="1" t="s">
        <v>30</v>
      </c>
      <c r="D688" s="2">
        <v>41750</v>
      </c>
      <c r="E688" s="1" t="s">
        <v>43</v>
      </c>
      <c r="F688" s="1" t="s">
        <v>871</v>
      </c>
      <c r="G688" s="1">
        <v>1</v>
      </c>
      <c r="H688" s="1">
        <v>14.97</v>
      </c>
      <c r="I688" s="1">
        <f t="shared" si="30"/>
        <v>14.97</v>
      </c>
      <c r="J688" t="str">
        <f t="shared" si="31"/>
        <v>Low</v>
      </c>
      <c r="K688" s="1"/>
      <c r="L688" s="1">
        <v>0.03</v>
      </c>
      <c r="M688" s="1">
        <v>7.51</v>
      </c>
      <c r="N688" s="1" t="s">
        <v>33</v>
      </c>
      <c r="O688" s="1" t="s">
        <v>34</v>
      </c>
      <c r="P688" s="2">
        <v>41752</v>
      </c>
      <c r="Q688" s="2" t="b">
        <f t="shared" si="32"/>
        <v>0</v>
      </c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</row>
    <row r="689" spans="1:35" ht="14.25" customHeight="1" x14ac:dyDescent="0.2">
      <c r="A689" s="1">
        <v>40997</v>
      </c>
      <c r="B689" s="1" t="s">
        <v>766</v>
      </c>
      <c r="C689" s="1" t="s">
        <v>21</v>
      </c>
      <c r="D689" s="2">
        <v>41750</v>
      </c>
      <c r="E689" s="1" t="s">
        <v>43</v>
      </c>
      <c r="F689" s="1" t="s">
        <v>62</v>
      </c>
      <c r="G689" s="1">
        <v>33</v>
      </c>
      <c r="H689" s="1">
        <v>212.6</v>
      </c>
      <c r="I689" s="1">
        <f t="shared" si="30"/>
        <v>7015.8</v>
      </c>
      <c r="J689" t="str">
        <f t="shared" si="31"/>
        <v>High</v>
      </c>
      <c r="K689" s="1"/>
      <c r="L689" s="1">
        <v>0.04</v>
      </c>
      <c r="M689" s="1">
        <v>110.2</v>
      </c>
      <c r="N689" s="1" t="s">
        <v>45</v>
      </c>
      <c r="O689" s="1" t="s">
        <v>63</v>
      </c>
      <c r="P689" s="2">
        <v>41754</v>
      </c>
      <c r="Q689" s="2" t="b">
        <f t="shared" si="32"/>
        <v>0</v>
      </c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</row>
    <row r="690" spans="1:35" ht="14.25" customHeight="1" x14ac:dyDescent="0.2">
      <c r="A690" s="1">
        <v>56807</v>
      </c>
      <c r="B690" s="1" t="s">
        <v>872</v>
      </c>
      <c r="C690" s="1" t="s">
        <v>51</v>
      </c>
      <c r="D690" s="2">
        <v>41750</v>
      </c>
      <c r="E690" s="1" t="s">
        <v>31</v>
      </c>
      <c r="F690" s="1" t="s">
        <v>800</v>
      </c>
      <c r="G690" s="1">
        <v>1</v>
      </c>
      <c r="H690" s="1">
        <v>42.98</v>
      </c>
      <c r="I690" s="1">
        <f t="shared" si="30"/>
        <v>42.98</v>
      </c>
      <c r="J690" t="str">
        <f t="shared" si="31"/>
        <v>Low</v>
      </c>
      <c r="K690" s="1"/>
      <c r="L690" s="1">
        <v>0.06</v>
      </c>
      <c r="M690" s="1">
        <v>4.62</v>
      </c>
      <c r="N690" s="1" t="s">
        <v>33</v>
      </c>
      <c r="O690" s="1" t="s">
        <v>34</v>
      </c>
      <c r="P690" s="2">
        <v>41752</v>
      </c>
      <c r="Q690" s="2" t="b">
        <f t="shared" si="32"/>
        <v>0</v>
      </c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</row>
    <row r="691" spans="1:35" ht="14.25" customHeight="1" x14ac:dyDescent="0.2">
      <c r="A691" s="1">
        <v>35813</v>
      </c>
      <c r="B691" s="1" t="s">
        <v>117</v>
      </c>
      <c r="C691" s="1" t="s">
        <v>21</v>
      </c>
      <c r="D691" s="2">
        <v>41750</v>
      </c>
      <c r="E691" s="1" t="s">
        <v>38</v>
      </c>
      <c r="F691" s="1" t="s">
        <v>873</v>
      </c>
      <c r="G691" s="1">
        <v>21</v>
      </c>
      <c r="H691" s="1">
        <v>363.25</v>
      </c>
      <c r="I691" s="1">
        <f t="shared" si="30"/>
        <v>7628.25</v>
      </c>
      <c r="J691" t="str">
        <f t="shared" si="31"/>
        <v>High</v>
      </c>
      <c r="K691" s="1"/>
      <c r="L691" s="1">
        <v>0.05</v>
      </c>
      <c r="M691" s="1">
        <v>19.989999999999998</v>
      </c>
      <c r="N691" s="1" t="s">
        <v>25</v>
      </c>
      <c r="O691" s="1" t="s">
        <v>34</v>
      </c>
      <c r="P691" s="2">
        <v>41750</v>
      </c>
      <c r="Q691" s="2" t="b">
        <f t="shared" si="32"/>
        <v>0</v>
      </c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</row>
    <row r="692" spans="1:35" ht="14.25" customHeight="1" x14ac:dyDescent="0.2">
      <c r="A692" s="1">
        <v>35813</v>
      </c>
      <c r="B692" s="1" t="s">
        <v>117</v>
      </c>
      <c r="C692" s="1" t="s">
        <v>21</v>
      </c>
      <c r="D692" s="2">
        <v>41750</v>
      </c>
      <c r="E692" s="1" t="s">
        <v>38</v>
      </c>
      <c r="F692" s="1" t="s">
        <v>640</v>
      </c>
      <c r="G692" s="1">
        <v>21</v>
      </c>
      <c r="H692" s="1">
        <v>7.59</v>
      </c>
      <c r="I692" s="1">
        <f t="shared" si="30"/>
        <v>159.38999999999999</v>
      </c>
      <c r="J692" t="str">
        <f t="shared" si="31"/>
        <v>Low</v>
      </c>
      <c r="K692" s="1"/>
      <c r="L692" s="1">
        <v>0.06</v>
      </c>
      <c r="M692" s="1">
        <v>4</v>
      </c>
      <c r="N692" s="1" t="s">
        <v>25</v>
      </c>
      <c r="O692" s="1" t="s">
        <v>55</v>
      </c>
      <c r="P692" s="2">
        <v>41750</v>
      </c>
      <c r="Q692" s="2" t="b">
        <f t="shared" si="32"/>
        <v>0</v>
      </c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</row>
    <row r="693" spans="1:35" ht="14.25" customHeight="1" x14ac:dyDescent="0.2">
      <c r="A693" s="1">
        <v>17315</v>
      </c>
      <c r="B693" s="1" t="s">
        <v>367</v>
      </c>
      <c r="C693" s="1" t="s">
        <v>51</v>
      </c>
      <c r="D693" s="2">
        <v>41751</v>
      </c>
      <c r="E693" s="1" t="s">
        <v>43</v>
      </c>
      <c r="F693" s="1" t="s">
        <v>874</v>
      </c>
      <c r="G693" s="1">
        <v>29</v>
      </c>
      <c r="H693" s="1">
        <v>5.43</v>
      </c>
      <c r="I693" s="1">
        <f t="shared" si="30"/>
        <v>157.47</v>
      </c>
      <c r="J693" t="str">
        <f t="shared" si="31"/>
        <v>Low</v>
      </c>
      <c r="K693" s="1"/>
      <c r="L693" s="1">
        <v>7.0000000000000007E-2</v>
      </c>
      <c r="M693" s="1">
        <v>0.95</v>
      </c>
      <c r="N693" s="1" t="s">
        <v>33</v>
      </c>
      <c r="O693" s="1" t="s">
        <v>55</v>
      </c>
      <c r="P693" s="2">
        <v>41755</v>
      </c>
      <c r="Q693" s="2" t="b">
        <f t="shared" si="32"/>
        <v>0</v>
      </c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</row>
    <row r="694" spans="1:35" ht="14.25" customHeight="1" x14ac:dyDescent="0.2">
      <c r="A694" s="1">
        <v>25927</v>
      </c>
      <c r="B694" s="1" t="s">
        <v>875</v>
      </c>
      <c r="C694" s="1" t="s">
        <v>30</v>
      </c>
      <c r="D694" s="2">
        <v>41751</v>
      </c>
      <c r="E694" s="1" t="s">
        <v>101</v>
      </c>
      <c r="F694" s="1" t="s">
        <v>876</v>
      </c>
      <c r="G694" s="1">
        <v>43</v>
      </c>
      <c r="H694" s="1">
        <v>22.01</v>
      </c>
      <c r="I694" s="1">
        <f t="shared" si="30"/>
        <v>946.43000000000006</v>
      </c>
      <c r="J694" t="str">
        <f t="shared" si="31"/>
        <v>Low</v>
      </c>
      <c r="K694" s="1"/>
      <c r="L694" s="1">
        <v>0.08</v>
      </c>
      <c r="M694" s="1">
        <v>5.53</v>
      </c>
      <c r="N694" s="1" t="s">
        <v>33</v>
      </c>
      <c r="O694" s="1" t="s">
        <v>84</v>
      </c>
      <c r="P694" s="2">
        <v>41753</v>
      </c>
      <c r="Q694" s="2" t="b">
        <f t="shared" si="32"/>
        <v>0</v>
      </c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</row>
    <row r="695" spans="1:35" ht="14.25" customHeight="1" x14ac:dyDescent="0.2">
      <c r="A695" s="1">
        <v>25927</v>
      </c>
      <c r="B695" s="1" t="s">
        <v>875</v>
      </c>
      <c r="C695" s="1" t="s">
        <v>30</v>
      </c>
      <c r="D695" s="2">
        <v>41751</v>
      </c>
      <c r="E695" s="1" t="s">
        <v>101</v>
      </c>
      <c r="F695" s="1" t="s">
        <v>877</v>
      </c>
      <c r="G695" s="1">
        <v>14</v>
      </c>
      <c r="H695" s="1">
        <v>29.74</v>
      </c>
      <c r="I695" s="1">
        <f t="shared" si="30"/>
        <v>416.35999999999996</v>
      </c>
      <c r="J695" t="str">
        <f t="shared" si="31"/>
        <v>Low</v>
      </c>
      <c r="K695" s="1"/>
      <c r="L695" s="1">
        <v>0.02</v>
      </c>
      <c r="M695" s="1">
        <v>6.64</v>
      </c>
      <c r="N695" s="1" t="s">
        <v>33</v>
      </c>
      <c r="O695" s="1" t="s">
        <v>34</v>
      </c>
      <c r="P695" s="2">
        <v>41751</v>
      </c>
      <c r="Q695" s="2" t="b">
        <f t="shared" si="32"/>
        <v>0</v>
      </c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</row>
    <row r="696" spans="1:35" ht="14.25" customHeight="1" x14ac:dyDescent="0.2">
      <c r="A696" s="1">
        <v>13056</v>
      </c>
      <c r="B696" s="1" t="s">
        <v>837</v>
      </c>
      <c r="C696" s="1" t="s">
        <v>21</v>
      </c>
      <c r="D696" s="2">
        <v>41751</v>
      </c>
      <c r="E696" s="1" t="s">
        <v>22</v>
      </c>
      <c r="F696" s="1" t="s">
        <v>878</v>
      </c>
      <c r="G696" s="1">
        <v>33</v>
      </c>
      <c r="H696" s="1">
        <v>100.98</v>
      </c>
      <c r="I696" s="1">
        <f t="shared" si="30"/>
        <v>3332.34</v>
      </c>
      <c r="J696" t="str">
        <f t="shared" si="31"/>
        <v>High</v>
      </c>
      <c r="K696" s="1"/>
      <c r="L696" s="1">
        <v>0.05</v>
      </c>
      <c r="M696" s="1">
        <v>7.18</v>
      </c>
      <c r="N696" s="1" t="s">
        <v>33</v>
      </c>
      <c r="O696" s="1" t="s">
        <v>34</v>
      </c>
      <c r="P696" s="2">
        <v>41753</v>
      </c>
      <c r="Q696" s="2" t="b">
        <f t="shared" si="32"/>
        <v>0</v>
      </c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</row>
    <row r="697" spans="1:35" ht="14.25" customHeight="1" x14ac:dyDescent="0.2">
      <c r="A697" s="1">
        <v>48257</v>
      </c>
      <c r="B697" s="1" t="s">
        <v>242</v>
      </c>
      <c r="C697" s="1" t="s">
        <v>21</v>
      </c>
      <c r="D697" s="2">
        <v>41751</v>
      </c>
      <c r="E697" s="1" t="s">
        <v>43</v>
      </c>
      <c r="F697" s="1" t="s">
        <v>879</v>
      </c>
      <c r="G697" s="1">
        <v>45</v>
      </c>
      <c r="H697" s="1">
        <v>4.57</v>
      </c>
      <c r="I697" s="1">
        <f t="shared" si="30"/>
        <v>205.65</v>
      </c>
      <c r="J697" t="str">
        <f t="shared" si="31"/>
        <v>Low</v>
      </c>
      <c r="K697" s="1"/>
      <c r="L697" s="1">
        <v>0.02</v>
      </c>
      <c r="M697" s="1">
        <v>5.42</v>
      </c>
      <c r="N697" s="1" t="s">
        <v>33</v>
      </c>
      <c r="O697" s="1" t="s">
        <v>34</v>
      </c>
      <c r="P697" s="2">
        <v>41755</v>
      </c>
      <c r="Q697" s="2" t="b">
        <f t="shared" si="32"/>
        <v>0</v>
      </c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</row>
    <row r="698" spans="1:35" ht="14.25" customHeight="1" x14ac:dyDescent="0.2">
      <c r="A698" s="1">
        <v>9669</v>
      </c>
      <c r="B698" s="1" t="s">
        <v>428</v>
      </c>
      <c r="C698" s="1" t="s">
        <v>21</v>
      </c>
      <c r="D698" s="2">
        <v>41751</v>
      </c>
      <c r="E698" s="1" t="s">
        <v>101</v>
      </c>
      <c r="F698" s="1" t="s">
        <v>880</v>
      </c>
      <c r="G698" s="1">
        <v>18</v>
      </c>
      <c r="H698" s="1">
        <v>15.42</v>
      </c>
      <c r="I698" s="1">
        <f t="shared" si="30"/>
        <v>277.56</v>
      </c>
      <c r="J698" t="str">
        <f t="shared" si="31"/>
        <v>Low</v>
      </c>
      <c r="K698" s="1"/>
      <c r="L698" s="1">
        <v>0.04</v>
      </c>
      <c r="M698" s="1">
        <v>10.68</v>
      </c>
      <c r="N698" s="1" t="s">
        <v>25</v>
      </c>
      <c r="O698" s="1" t="s">
        <v>34</v>
      </c>
      <c r="P698" s="2">
        <v>41752</v>
      </c>
      <c r="Q698" s="2" t="b">
        <f t="shared" si="32"/>
        <v>0</v>
      </c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</row>
    <row r="699" spans="1:35" ht="14.25" customHeight="1" x14ac:dyDescent="0.2">
      <c r="A699" s="1">
        <v>9665</v>
      </c>
      <c r="B699" s="1" t="s">
        <v>881</v>
      </c>
      <c r="C699" s="1" t="s">
        <v>21</v>
      </c>
      <c r="D699" s="2">
        <v>41752</v>
      </c>
      <c r="E699" s="1" t="s">
        <v>43</v>
      </c>
      <c r="F699" s="1" t="s">
        <v>882</v>
      </c>
      <c r="G699" s="1">
        <v>50</v>
      </c>
      <c r="H699" s="1">
        <v>46.89</v>
      </c>
      <c r="I699" s="1">
        <f t="shared" si="30"/>
        <v>2344.5</v>
      </c>
      <c r="J699" t="str">
        <f t="shared" si="31"/>
        <v>High</v>
      </c>
      <c r="K699" s="1"/>
      <c r="L699" s="1">
        <v>0.02</v>
      </c>
      <c r="M699" s="1">
        <v>5.0999999999999996</v>
      </c>
      <c r="N699" s="1" t="s">
        <v>33</v>
      </c>
      <c r="O699" s="1" t="s">
        <v>72</v>
      </c>
      <c r="P699" s="2">
        <v>41752</v>
      </c>
      <c r="Q699" s="2" t="b">
        <f t="shared" si="32"/>
        <v>0</v>
      </c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</row>
    <row r="700" spans="1:35" ht="14.25" customHeight="1" x14ac:dyDescent="0.2">
      <c r="A700" s="1">
        <v>9665</v>
      </c>
      <c r="B700" s="1" t="s">
        <v>881</v>
      </c>
      <c r="C700" s="1" t="s">
        <v>30</v>
      </c>
      <c r="D700" s="2">
        <v>41752</v>
      </c>
      <c r="E700" s="1" t="s">
        <v>43</v>
      </c>
      <c r="F700" s="1" t="s">
        <v>883</v>
      </c>
      <c r="G700" s="1">
        <v>19</v>
      </c>
      <c r="H700" s="1">
        <v>140.97999999999999</v>
      </c>
      <c r="I700" s="1">
        <f t="shared" si="30"/>
        <v>2678.62</v>
      </c>
      <c r="J700" t="str">
        <f t="shared" si="31"/>
        <v>High</v>
      </c>
      <c r="K700" s="1"/>
      <c r="L700" s="1">
        <v>0.05</v>
      </c>
      <c r="M700" s="1">
        <v>36.090000000000003</v>
      </c>
      <c r="N700" s="1" t="s">
        <v>45</v>
      </c>
      <c r="O700" s="1" t="s">
        <v>63</v>
      </c>
      <c r="P700" s="2">
        <v>41754</v>
      </c>
      <c r="Q700" s="2" t="b">
        <f t="shared" si="32"/>
        <v>0</v>
      </c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</row>
    <row r="701" spans="1:35" ht="14.25" customHeight="1" x14ac:dyDescent="0.2">
      <c r="A701" s="1">
        <v>9665</v>
      </c>
      <c r="B701" s="1" t="s">
        <v>881</v>
      </c>
      <c r="C701" s="1" t="s">
        <v>51</v>
      </c>
      <c r="D701" s="2">
        <v>41752</v>
      </c>
      <c r="E701" s="1" t="s">
        <v>43</v>
      </c>
      <c r="F701" s="1" t="s">
        <v>62</v>
      </c>
      <c r="G701" s="1">
        <v>49</v>
      </c>
      <c r="H701" s="1">
        <v>212.6</v>
      </c>
      <c r="I701" s="1">
        <f t="shared" si="30"/>
        <v>10417.4</v>
      </c>
      <c r="J701" t="str">
        <f t="shared" si="31"/>
        <v>High</v>
      </c>
      <c r="K701" s="1"/>
      <c r="L701" s="1">
        <v>0.1</v>
      </c>
      <c r="M701" s="1">
        <v>110.2</v>
      </c>
      <c r="N701" s="1" t="s">
        <v>45</v>
      </c>
      <c r="O701" s="1" t="s">
        <v>63</v>
      </c>
      <c r="P701" s="2">
        <v>41754</v>
      </c>
      <c r="Q701" s="2" t="b">
        <f t="shared" si="32"/>
        <v>0</v>
      </c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</row>
    <row r="702" spans="1:35" ht="14.25" customHeight="1" x14ac:dyDescent="0.2">
      <c r="A702" s="1">
        <v>3808</v>
      </c>
      <c r="B702" s="1" t="s">
        <v>715</v>
      </c>
      <c r="C702" s="1" t="s">
        <v>51</v>
      </c>
      <c r="D702" s="2">
        <v>41752</v>
      </c>
      <c r="E702" s="1" t="s">
        <v>38</v>
      </c>
      <c r="F702" s="1" t="s">
        <v>884</v>
      </c>
      <c r="G702" s="1">
        <v>2</v>
      </c>
      <c r="H702" s="1">
        <v>2.89</v>
      </c>
      <c r="I702" s="1">
        <f t="shared" si="30"/>
        <v>5.78</v>
      </c>
      <c r="J702" t="str">
        <f t="shared" si="31"/>
        <v>Low</v>
      </c>
      <c r="K702" s="1"/>
      <c r="L702" s="1">
        <v>0.08</v>
      </c>
      <c r="M702" s="1">
        <v>0.49</v>
      </c>
      <c r="N702" s="1" t="s">
        <v>33</v>
      </c>
      <c r="O702" s="1" t="s">
        <v>34</v>
      </c>
      <c r="P702" s="2">
        <v>41752</v>
      </c>
      <c r="Q702" s="2" t="b">
        <f t="shared" si="32"/>
        <v>0</v>
      </c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</row>
    <row r="703" spans="1:35" ht="14.25" customHeight="1" x14ac:dyDescent="0.2">
      <c r="A703" s="1">
        <v>44517</v>
      </c>
      <c r="B703" s="1" t="s">
        <v>885</v>
      </c>
      <c r="C703" s="1" t="s">
        <v>21</v>
      </c>
      <c r="D703" s="2">
        <v>41752</v>
      </c>
      <c r="E703" s="1" t="s">
        <v>101</v>
      </c>
      <c r="F703" s="1" t="s">
        <v>886</v>
      </c>
      <c r="G703" s="1">
        <v>5</v>
      </c>
      <c r="H703" s="1">
        <v>5.28</v>
      </c>
      <c r="I703" s="1">
        <f t="shared" si="30"/>
        <v>26.400000000000002</v>
      </c>
      <c r="J703" t="str">
        <f t="shared" si="31"/>
        <v>Low</v>
      </c>
      <c r="K703" s="1"/>
      <c r="L703" s="1">
        <v>0.03</v>
      </c>
      <c r="M703" s="1">
        <v>5.61</v>
      </c>
      <c r="N703" s="1" t="s">
        <v>33</v>
      </c>
      <c r="O703" s="1" t="s">
        <v>34</v>
      </c>
      <c r="P703" s="2">
        <v>41753</v>
      </c>
      <c r="Q703" s="2" t="b">
        <f t="shared" si="32"/>
        <v>0</v>
      </c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</row>
    <row r="704" spans="1:35" ht="14.25" customHeight="1" x14ac:dyDescent="0.2">
      <c r="A704" s="1">
        <v>50625</v>
      </c>
      <c r="B704" s="1" t="s">
        <v>486</v>
      </c>
      <c r="C704" s="1" t="s">
        <v>51</v>
      </c>
      <c r="D704" s="2">
        <v>41752</v>
      </c>
      <c r="E704" s="1" t="s">
        <v>101</v>
      </c>
      <c r="F704" s="1" t="s">
        <v>887</v>
      </c>
      <c r="G704" s="1">
        <v>10</v>
      </c>
      <c r="H704" s="1">
        <v>2.88</v>
      </c>
      <c r="I704" s="1">
        <f t="shared" si="30"/>
        <v>28.799999999999997</v>
      </c>
      <c r="J704" t="str">
        <f t="shared" si="31"/>
        <v>Low</v>
      </c>
      <c r="K704" s="1"/>
      <c r="L704" s="1">
        <v>0.08</v>
      </c>
      <c r="M704" s="1">
        <v>0.5</v>
      </c>
      <c r="N704" s="1" t="s">
        <v>33</v>
      </c>
      <c r="O704" s="1" t="s">
        <v>34</v>
      </c>
      <c r="P704" s="2">
        <v>41753</v>
      </c>
      <c r="Q704" s="2" t="b">
        <f t="shared" si="32"/>
        <v>0</v>
      </c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</row>
    <row r="705" spans="1:35" ht="14.25" customHeight="1" x14ac:dyDescent="0.2">
      <c r="A705" s="1">
        <v>51943</v>
      </c>
      <c r="B705" s="1" t="s">
        <v>98</v>
      </c>
      <c r="C705" s="1" t="s">
        <v>30</v>
      </c>
      <c r="D705" s="2">
        <v>41753</v>
      </c>
      <c r="E705" s="1" t="s">
        <v>31</v>
      </c>
      <c r="F705" s="1" t="s">
        <v>888</v>
      </c>
      <c r="G705" s="1">
        <v>11</v>
      </c>
      <c r="H705" s="1">
        <v>9.06</v>
      </c>
      <c r="I705" s="1">
        <f t="shared" si="30"/>
        <v>99.660000000000011</v>
      </c>
      <c r="J705" t="str">
        <f t="shared" si="31"/>
        <v>Low</v>
      </c>
      <c r="K705" s="1"/>
      <c r="L705" s="1">
        <v>0.04</v>
      </c>
      <c r="M705" s="1">
        <v>9.86</v>
      </c>
      <c r="N705" s="1" t="s">
        <v>33</v>
      </c>
      <c r="O705" s="1" t="s">
        <v>34</v>
      </c>
      <c r="P705" s="2">
        <v>41754</v>
      </c>
      <c r="Q705" s="2" t="b">
        <f t="shared" si="32"/>
        <v>0</v>
      </c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</row>
    <row r="706" spans="1:35" ht="14.25" customHeight="1" x14ac:dyDescent="0.2">
      <c r="A706" s="1">
        <v>51943</v>
      </c>
      <c r="B706" s="1" t="s">
        <v>98</v>
      </c>
      <c r="C706" s="1" t="s">
        <v>21</v>
      </c>
      <c r="D706" s="2">
        <v>41753</v>
      </c>
      <c r="E706" s="1" t="s">
        <v>31</v>
      </c>
      <c r="F706" s="1" t="s">
        <v>452</v>
      </c>
      <c r="G706" s="1">
        <v>13</v>
      </c>
      <c r="H706" s="1">
        <v>14.27</v>
      </c>
      <c r="I706" s="1">
        <f t="shared" ref="I706:I769" si="33">G706*H706</f>
        <v>185.51</v>
      </c>
      <c r="J706" t="str">
        <f t="shared" ref="J706:J769" si="34">IF(I706&lt;1000,"Low","High")</f>
        <v>Low</v>
      </c>
      <c r="K706" s="1"/>
      <c r="L706" s="1">
        <v>0.04</v>
      </c>
      <c r="M706" s="1">
        <v>7.27</v>
      </c>
      <c r="N706" s="1" t="s">
        <v>33</v>
      </c>
      <c r="O706" s="1" t="s">
        <v>34</v>
      </c>
      <c r="P706" s="2">
        <v>41754</v>
      </c>
      <c r="Q706" s="2" t="b">
        <f t="shared" ref="Q706:Q769" si="35">AND(N706="Express Air",O706="Large Box")</f>
        <v>0</v>
      </c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</row>
    <row r="707" spans="1:35" ht="14.25" customHeight="1" x14ac:dyDescent="0.2">
      <c r="A707" s="1">
        <v>51943</v>
      </c>
      <c r="B707" s="1" t="s">
        <v>98</v>
      </c>
      <c r="C707" s="1" t="s">
        <v>21</v>
      </c>
      <c r="D707" s="2">
        <v>41753</v>
      </c>
      <c r="E707" s="1" t="s">
        <v>31</v>
      </c>
      <c r="F707" s="1" t="s">
        <v>287</v>
      </c>
      <c r="G707" s="1">
        <v>28</v>
      </c>
      <c r="H707" s="1">
        <v>4.91</v>
      </c>
      <c r="I707" s="1">
        <f t="shared" si="33"/>
        <v>137.48000000000002</v>
      </c>
      <c r="J707" t="str">
        <f t="shared" si="34"/>
        <v>Low</v>
      </c>
      <c r="K707" s="1"/>
      <c r="L707" s="1">
        <v>0.03</v>
      </c>
      <c r="M707" s="1">
        <v>0.5</v>
      </c>
      <c r="N707" s="1" t="s">
        <v>33</v>
      </c>
      <c r="O707" s="1" t="s">
        <v>34</v>
      </c>
      <c r="P707" s="2">
        <v>41756</v>
      </c>
      <c r="Q707" s="2" t="b">
        <f t="shared" si="35"/>
        <v>0</v>
      </c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</row>
    <row r="708" spans="1:35" ht="14.25" customHeight="1" x14ac:dyDescent="0.2">
      <c r="A708" s="1">
        <v>24870</v>
      </c>
      <c r="B708" s="1" t="s">
        <v>889</v>
      </c>
      <c r="C708" s="1" t="s">
        <v>51</v>
      </c>
      <c r="D708" s="2">
        <v>41753</v>
      </c>
      <c r="E708" s="1" t="s">
        <v>43</v>
      </c>
      <c r="F708" s="1" t="s">
        <v>890</v>
      </c>
      <c r="G708" s="1">
        <v>38</v>
      </c>
      <c r="H708" s="1">
        <v>35.409999999999997</v>
      </c>
      <c r="I708" s="1">
        <f t="shared" si="33"/>
        <v>1345.58</v>
      </c>
      <c r="J708" t="str">
        <f t="shared" si="34"/>
        <v>High</v>
      </c>
      <c r="K708" s="1"/>
      <c r="L708" s="1">
        <v>0.03</v>
      </c>
      <c r="M708" s="1">
        <v>1.99</v>
      </c>
      <c r="N708" s="1" t="s">
        <v>33</v>
      </c>
      <c r="O708" s="1" t="s">
        <v>84</v>
      </c>
      <c r="P708" s="2">
        <v>41755</v>
      </c>
      <c r="Q708" s="2" t="b">
        <f t="shared" si="35"/>
        <v>0</v>
      </c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</row>
    <row r="709" spans="1:35" ht="14.25" customHeight="1" x14ac:dyDescent="0.2">
      <c r="A709" s="1">
        <v>24870</v>
      </c>
      <c r="B709" s="1" t="s">
        <v>889</v>
      </c>
      <c r="C709" s="1" t="s">
        <v>21</v>
      </c>
      <c r="D709" s="2">
        <v>41753</v>
      </c>
      <c r="E709" s="1" t="s">
        <v>43</v>
      </c>
      <c r="F709" s="1" t="s">
        <v>891</v>
      </c>
      <c r="G709" s="1">
        <v>45</v>
      </c>
      <c r="H709" s="1">
        <v>142.86000000000001</v>
      </c>
      <c r="I709" s="1">
        <f t="shared" si="33"/>
        <v>6428.7000000000007</v>
      </c>
      <c r="J709" t="str">
        <f t="shared" si="34"/>
        <v>High</v>
      </c>
      <c r="K709" s="1"/>
      <c r="L709" s="1">
        <v>0</v>
      </c>
      <c r="M709" s="1">
        <v>19.989999999999998</v>
      </c>
      <c r="N709" s="1" t="s">
        <v>33</v>
      </c>
      <c r="O709" s="1" t="s">
        <v>34</v>
      </c>
      <c r="P709" s="2">
        <v>41762</v>
      </c>
      <c r="Q709" s="2" t="b">
        <f t="shared" si="35"/>
        <v>0</v>
      </c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</row>
    <row r="710" spans="1:35" ht="14.25" customHeight="1" x14ac:dyDescent="0.2">
      <c r="A710" s="1">
        <v>18336</v>
      </c>
      <c r="B710" s="1" t="s">
        <v>171</v>
      </c>
      <c r="C710" s="1" t="s">
        <v>21</v>
      </c>
      <c r="D710" s="2">
        <v>41753</v>
      </c>
      <c r="E710" s="1" t="s">
        <v>22</v>
      </c>
      <c r="F710" s="1" t="s">
        <v>274</v>
      </c>
      <c r="G710" s="1">
        <v>1</v>
      </c>
      <c r="H710" s="1">
        <v>2.88</v>
      </c>
      <c r="I710" s="1">
        <f t="shared" si="33"/>
        <v>2.88</v>
      </c>
      <c r="J710" t="str">
        <f t="shared" si="34"/>
        <v>Low</v>
      </c>
      <c r="K710" s="1"/>
      <c r="L710" s="1">
        <v>0</v>
      </c>
      <c r="M710" s="1">
        <v>0.7</v>
      </c>
      <c r="N710" s="1" t="s">
        <v>25</v>
      </c>
      <c r="O710" s="1" t="s">
        <v>55</v>
      </c>
      <c r="P710" s="2">
        <v>41753</v>
      </c>
      <c r="Q710" s="2" t="b">
        <f t="shared" si="35"/>
        <v>0</v>
      </c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</row>
    <row r="711" spans="1:35" ht="14.25" customHeight="1" x14ac:dyDescent="0.2">
      <c r="A711" s="1">
        <v>55459</v>
      </c>
      <c r="B711" s="1" t="s">
        <v>70</v>
      </c>
      <c r="C711" s="1" t="s">
        <v>51</v>
      </c>
      <c r="D711" s="2">
        <v>41754</v>
      </c>
      <c r="E711" s="1" t="s">
        <v>38</v>
      </c>
      <c r="F711" s="1" t="s">
        <v>251</v>
      </c>
      <c r="G711" s="1">
        <v>5</v>
      </c>
      <c r="H711" s="1">
        <v>22.84</v>
      </c>
      <c r="I711" s="1">
        <f t="shared" si="33"/>
        <v>114.2</v>
      </c>
      <c r="J711" t="str">
        <f t="shared" si="34"/>
        <v>Low</v>
      </c>
      <c r="K711" s="1"/>
      <c r="L711" s="1">
        <v>0</v>
      </c>
      <c r="M711" s="1">
        <v>8.18</v>
      </c>
      <c r="N711" s="1" t="s">
        <v>33</v>
      </c>
      <c r="O711" s="1" t="s">
        <v>34</v>
      </c>
      <c r="P711" s="2">
        <v>41756</v>
      </c>
      <c r="Q711" s="2" t="b">
        <f t="shared" si="35"/>
        <v>0</v>
      </c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</row>
    <row r="712" spans="1:35" ht="14.25" customHeight="1" x14ac:dyDescent="0.2">
      <c r="A712" s="1">
        <v>13606</v>
      </c>
      <c r="B712" s="1" t="s">
        <v>892</v>
      </c>
      <c r="C712" s="1" t="s">
        <v>21</v>
      </c>
      <c r="D712" s="2">
        <v>41755</v>
      </c>
      <c r="E712" s="1" t="s">
        <v>22</v>
      </c>
      <c r="F712" s="1" t="s">
        <v>893</v>
      </c>
      <c r="G712" s="1">
        <v>34</v>
      </c>
      <c r="H712" s="1">
        <v>3.38</v>
      </c>
      <c r="I712" s="1">
        <f t="shared" si="33"/>
        <v>114.92</v>
      </c>
      <c r="J712" t="str">
        <f t="shared" si="34"/>
        <v>Low</v>
      </c>
      <c r="K712" s="1"/>
      <c r="L712" s="1">
        <v>7.0000000000000007E-2</v>
      </c>
      <c r="M712" s="1">
        <v>0.85</v>
      </c>
      <c r="N712" s="1" t="s">
        <v>33</v>
      </c>
      <c r="O712" s="1" t="s">
        <v>55</v>
      </c>
      <c r="P712" s="2">
        <v>41757</v>
      </c>
      <c r="Q712" s="2" t="b">
        <f t="shared" si="35"/>
        <v>0</v>
      </c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</row>
    <row r="713" spans="1:35" ht="14.25" customHeight="1" x14ac:dyDescent="0.2">
      <c r="A713" s="1">
        <v>34567</v>
      </c>
      <c r="B713" s="1" t="s">
        <v>522</v>
      </c>
      <c r="C713" s="1" t="s">
        <v>21</v>
      </c>
      <c r="D713" s="2">
        <v>41755</v>
      </c>
      <c r="E713" s="1" t="s">
        <v>43</v>
      </c>
      <c r="F713" s="1" t="s">
        <v>894</v>
      </c>
      <c r="G713" s="1">
        <v>18</v>
      </c>
      <c r="H713" s="1">
        <v>180.98</v>
      </c>
      <c r="I713" s="1">
        <f t="shared" si="33"/>
        <v>3257.64</v>
      </c>
      <c r="J713" t="str">
        <f t="shared" si="34"/>
        <v>High</v>
      </c>
      <c r="K713" s="1"/>
      <c r="L713" s="1">
        <v>0.03</v>
      </c>
      <c r="M713" s="1">
        <v>26.2</v>
      </c>
      <c r="N713" s="1" t="s">
        <v>45</v>
      </c>
      <c r="O713" s="1" t="s">
        <v>46</v>
      </c>
      <c r="P713" s="2">
        <v>41759</v>
      </c>
      <c r="Q713" s="2" t="b">
        <f t="shared" si="35"/>
        <v>0</v>
      </c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</row>
    <row r="714" spans="1:35" ht="14.25" customHeight="1" x14ac:dyDescent="0.2">
      <c r="A714" s="1">
        <v>23042</v>
      </c>
      <c r="B714" s="1" t="s">
        <v>442</v>
      </c>
      <c r="C714" s="1" t="s">
        <v>30</v>
      </c>
      <c r="D714" s="2">
        <v>41755</v>
      </c>
      <c r="E714" s="1" t="s">
        <v>101</v>
      </c>
      <c r="F714" s="1" t="s">
        <v>848</v>
      </c>
      <c r="G714" s="1">
        <v>20</v>
      </c>
      <c r="H714" s="1">
        <v>419.19</v>
      </c>
      <c r="I714" s="1">
        <f t="shared" si="33"/>
        <v>8383.7999999999993</v>
      </c>
      <c r="J714" t="str">
        <f t="shared" si="34"/>
        <v>High</v>
      </c>
      <c r="K714" s="1"/>
      <c r="L714" s="1">
        <v>0.04</v>
      </c>
      <c r="M714" s="1">
        <v>19.989999999999998</v>
      </c>
      <c r="N714" s="1" t="s">
        <v>33</v>
      </c>
      <c r="O714" s="1" t="s">
        <v>34</v>
      </c>
      <c r="P714" s="2">
        <v>41756</v>
      </c>
      <c r="Q714" s="2" t="b">
        <f t="shared" si="35"/>
        <v>0</v>
      </c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</row>
    <row r="715" spans="1:35" ht="14.25" customHeight="1" x14ac:dyDescent="0.2">
      <c r="A715" s="1">
        <v>11712</v>
      </c>
      <c r="B715" s="1" t="s">
        <v>442</v>
      </c>
      <c r="C715" s="1" t="s">
        <v>30</v>
      </c>
      <c r="D715" s="2">
        <v>41755</v>
      </c>
      <c r="E715" s="1" t="s">
        <v>43</v>
      </c>
      <c r="F715" s="1" t="s">
        <v>212</v>
      </c>
      <c r="G715" s="1">
        <v>9</v>
      </c>
      <c r="H715" s="1">
        <v>4.28</v>
      </c>
      <c r="I715" s="1">
        <f t="shared" si="33"/>
        <v>38.520000000000003</v>
      </c>
      <c r="J715" t="str">
        <f t="shared" si="34"/>
        <v>Low</v>
      </c>
      <c r="K715" s="1"/>
      <c r="L715" s="1">
        <v>0.06</v>
      </c>
      <c r="M715" s="1">
        <v>0.94</v>
      </c>
      <c r="N715" s="1" t="s">
        <v>33</v>
      </c>
      <c r="O715" s="1" t="s">
        <v>55</v>
      </c>
      <c r="P715" s="2">
        <v>41757</v>
      </c>
      <c r="Q715" s="2" t="b">
        <f t="shared" si="35"/>
        <v>0</v>
      </c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</row>
    <row r="716" spans="1:35" ht="14.25" customHeight="1" x14ac:dyDescent="0.2">
      <c r="A716" s="1">
        <v>43330</v>
      </c>
      <c r="B716" s="1" t="s">
        <v>895</v>
      </c>
      <c r="C716" s="1" t="s">
        <v>51</v>
      </c>
      <c r="D716" s="2">
        <v>41756</v>
      </c>
      <c r="E716" s="1" t="s">
        <v>22</v>
      </c>
      <c r="F716" s="1" t="s">
        <v>896</v>
      </c>
      <c r="G716" s="1">
        <v>40</v>
      </c>
      <c r="H716" s="1">
        <v>65.989999999999995</v>
      </c>
      <c r="I716" s="1">
        <f t="shared" si="33"/>
        <v>2639.6</v>
      </c>
      <c r="J716" t="str">
        <f t="shared" si="34"/>
        <v>High</v>
      </c>
      <c r="K716" s="1"/>
      <c r="L716" s="1">
        <v>0.03</v>
      </c>
      <c r="M716" s="1">
        <v>8.99</v>
      </c>
      <c r="N716" s="1" t="s">
        <v>33</v>
      </c>
      <c r="O716" s="1" t="s">
        <v>34</v>
      </c>
      <c r="P716" s="2">
        <v>41757</v>
      </c>
      <c r="Q716" s="2" t="b">
        <f t="shared" si="35"/>
        <v>0</v>
      </c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</row>
    <row r="717" spans="1:35" ht="14.25" customHeight="1" x14ac:dyDescent="0.2">
      <c r="A717" s="1">
        <v>29380</v>
      </c>
      <c r="B717" s="1" t="s">
        <v>897</v>
      </c>
      <c r="C717" s="1" t="s">
        <v>51</v>
      </c>
      <c r="D717" s="2">
        <v>41756</v>
      </c>
      <c r="E717" s="1" t="s">
        <v>22</v>
      </c>
      <c r="F717" s="1" t="s">
        <v>708</v>
      </c>
      <c r="G717" s="1">
        <v>13</v>
      </c>
      <c r="H717" s="1">
        <v>12.28</v>
      </c>
      <c r="I717" s="1">
        <f t="shared" si="33"/>
        <v>159.63999999999999</v>
      </c>
      <c r="J717" t="str">
        <f t="shared" si="34"/>
        <v>Low</v>
      </c>
      <c r="K717" s="1"/>
      <c r="L717" s="1">
        <v>0.09</v>
      </c>
      <c r="M717" s="1">
        <v>4.8600000000000003</v>
      </c>
      <c r="N717" s="1" t="s">
        <v>33</v>
      </c>
      <c r="O717" s="1" t="s">
        <v>34</v>
      </c>
      <c r="P717" s="2">
        <v>41757</v>
      </c>
      <c r="Q717" s="2" t="b">
        <f t="shared" si="35"/>
        <v>0</v>
      </c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</row>
    <row r="718" spans="1:35" ht="14.25" customHeight="1" x14ac:dyDescent="0.2">
      <c r="A718" s="1">
        <v>14342</v>
      </c>
      <c r="B718" s="1" t="s">
        <v>898</v>
      </c>
      <c r="C718" s="1" t="s">
        <v>21</v>
      </c>
      <c r="D718" s="2">
        <v>41756</v>
      </c>
      <c r="E718" s="1" t="s">
        <v>43</v>
      </c>
      <c r="F718" s="1" t="s">
        <v>855</v>
      </c>
      <c r="G718" s="1">
        <v>38</v>
      </c>
      <c r="H718" s="1">
        <v>300.97000000000003</v>
      </c>
      <c r="I718" s="1">
        <f t="shared" si="33"/>
        <v>11436.86</v>
      </c>
      <c r="J718" t="str">
        <f t="shared" si="34"/>
        <v>High</v>
      </c>
      <c r="K718" s="1"/>
      <c r="L718" s="1">
        <v>0.09</v>
      </c>
      <c r="M718" s="1">
        <v>7.18</v>
      </c>
      <c r="N718" s="1" t="s">
        <v>33</v>
      </c>
      <c r="O718" s="1" t="s">
        <v>34</v>
      </c>
      <c r="P718" s="2">
        <v>41756</v>
      </c>
      <c r="Q718" s="2" t="b">
        <f t="shared" si="35"/>
        <v>0</v>
      </c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</row>
    <row r="719" spans="1:35" ht="14.25" customHeight="1" x14ac:dyDescent="0.2">
      <c r="A719" s="1">
        <v>12642</v>
      </c>
      <c r="B719" s="1" t="s">
        <v>899</v>
      </c>
      <c r="C719" s="1" t="s">
        <v>51</v>
      </c>
      <c r="D719" s="2">
        <v>41756</v>
      </c>
      <c r="E719" s="1" t="s">
        <v>38</v>
      </c>
      <c r="F719" s="1" t="s">
        <v>264</v>
      </c>
      <c r="G719" s="1">
        <v>10</v>
      </c>
      <c r="H719" s="1">
        <v>58.1</v>
      </c>
      <c r="I719" s="1">
        <f t="shared" si="33"/>
        <v>581</v>
      </c>
      <c r="J719" t="str">
        <f t="shared" si="34"/>
        <v>Low</v>
      </c>
      <c r="K719" s="1"/>
      <c r="L719" s="1">
        <v>0.09</v>
      </c>
      <c r="M719" s="1">
        <v>1.49</v>
      </c>
      <c r="N719" s="1" t="s">
        <v>25</v>
      </c>
      <c r="O719" s="1" t="s">
        <v>34</v>
      </c>
      <c r="P719" s="2">
        <v>41758</v>
      </c>
      <c r="Q719" s="2" t="b">
        <f t="shared" si="35"/>
        <v>0</v>
      </c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</row>
    <row r="720" spans="1:35" ht="14.25" customHeight="1" x14ac:dyDescent="0.2">
      <c r="A720" s="1">
        <v>12642</v>
      </c>
      <c r="B720" s="1" t="s">
        <v>899</v>
      </c>
      <c r="C720" s="1" t="s">
        <v>21</v>
      </c>
      <c r="D720" s="2">
        <v>41756</v>
      </c>
      <c r="E720" s="1" t="s">
        <v>38</v>
      </c>
      <c r="F720" s="1" t="s">
        <v>329</v>
      </c>
      <c r="G720" s="1">
        <v>14</v>
      </c>
      <c r="H720" s="1">
        <v>39.979999999999997</v>
      </c>
      <c r="I720" s="1">
        <f t="shared" si="33"/>
        <v>559.71999999999991</v>
      </c>
      <c r="J720" t="str">
        <f t="shared" si="34"/>
        <v>Low</v>
      </c>
      <c r="K720" s="1"/>
      <c r="L720" s="1">
        <v>0.01</v>
      </c>
      <c r="M720" s="1">
        <v>7.12</v>
      </c>
      <c r="N720" s="1" t="s">
        <v>33</v>
      </c>
      <c r="O720" s="1" t="s">
        <v>34</v>
      </c>
      <c r="P720" s="2">
        <v>41758</v>
      </c>
      <c r="Q720" s="2" t="b">
        <f t="shared" si="35"/>
        <v>0</v>
      </c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</row>
    <row r="721" spans="1:35" ht="14.25" customHeight="1" x14ac:dyDescent="0.2">
      <c r="A721" s="1">
        <v>28839</v>
      </c>
      <c r="B721" s="1" t="s">
        <v>400</v>
      </c>
      <c r="C721" s="1" t="s">
        <v>21</v>
      </c>
      <c r="D721" s="2">
        <v>41757</v>
      </c>
      <c r="E721" s="1" t="s">
        <v>43</v>
      </c>
      <c r="F721" s="1" t="s">
        <v>900</v>
      </c>
      <c r="G721" s="1">
        <v>30</v>
      </c>
      <c r="H721" s="1">
        <v>3.34</v>
      </c>
      <c r="I721" s="1">
        <f t="shared" si="33"/>
        <v>100.19999999999999</v>
      </c>
      <c r="J721" t="str">
        <f t="shared" si="34"/>
        <v>Low</v>
      </c>
      <c r="K721" s="1"/>
      <c r="L721" s="1">
        <v>0.06</v>
      </c>
      <c r="M721" s="1">
        <v>7.49</v>
      </c>
      <c r="N721" s="1" t="s">
        <v>25</v>
      </c>
      <c r="O721" s="1" t="s">
        <v>55</v>
      </c>
      <c r="P721" s="2">
        <v>41759</v>
      </c>
      <c r="Q721" s="2" t="b">
        <f t="shared" si="35"/>
        <v>0</v>
      </c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</row>
    <row r="722" spans="1:35" ht="14.25" customHeight="1" x14ac:dyDescent="0.2">
      <c r="A722" s="1">
        <v>23524</v>
      </c>
      <c r="B722" s="1" t="s">
        <v>901</v>
      </c>
      <c r="C722" s="1" t="s">
        <v>51</v>
      </c>
      <c r="D722" s="2">
        <v>41757</v>
      </c>
      <c r="E722" s="1" t="s">
        <v>31</v>
      </c>
      <c r="F722" s="1" t="s">
        <v>139</v>
      </c>
      <c r="G722" s="1">
        <v>28</v>
      </c>
      <c r="H722" s="1">
        <v>4.13</v>
      </c>
      <c r="I722" s="1">
        <f t="shared" si="33"/>
        <v>115.64</v>
      </c>
      <c r="J722" t="str">
        <f t="shared" si="34"/>
        <v>Low</v>
      </c>
      <c r="K722" s="1"/>
      <c r="L722" s="1">
        <v>0.04</v>
      </c>
      <c r="M722" s="1">
        <v>0.99</v>
      </c>
      <c r="N722" s="1" t="s">
        <v>25</v>
      </c>
      <c r="O722" s="1" t="s">
        <v>34</v>
      </c>
      <c r="P722" s="2">
        <v>41759</v>
      </c>
      <c r="Q722" s="2" t="b">
        <f t="shared" si="35"/>
        <v>0</v>
      </c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</row>
    <row r="723" spans="1:35" ht="14.25" customHeight="1" x14ac:dyDescent="0.2">
      <c r="A723" s="1">
        <v>23524</v>
      </c>
      <c r="B723" s="1" t="s">
        <v>901</v>
      </c>
      <c r="C723" s="1" t="s">
        <v>30</v>
      </c>
      <c r="D723" s="2">
        <v>41757</v>
      </c>
      <c r="E723" s="1" t="s">
        <v>31</v>
      </c>
      <c r="F723" s="1" t="s">
        <v>342</v>
      </c>
      <c r="G723" s="1">
        <v>46</v>
      </c>
      <c r="H723" s="1">
        <v>55.48</v>
      </c>
      <c r="I723" s="1">
        <f t="shared" si="33"/>
        <v>2552.08</v>
      </c>
      <c r="J723" t="str">
        <f t="shared" si="34"/>
        <v>High</v>
      </c>
      <c r="K723" s="1"/>
      <c r="L723" s="1">
        <v>0.06</v>
      </c>
      <c r="M723" s="1">
        <v>14.3</v>
      </c>
      <c r="N723" s="1" t="s">
        <v>33</v>
      </c>
      <c r="O723" s="1" t="s">
        <v>34</v>
      </c>
      <c r="P723" s="2">
        <v>41759</v>
      </c>
      <c r="Q723" s="2" t="b">
        <f t="shared" si="35"/>
        <v>0</v>
      </c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</row>
    <row r="724" spans="1:35" ht="14.25" customHeight="1" x14ac:dyDescent="0.2">
      <c r="A724" s="1">
        <v>38501</v>
      </c>
      <c r="B724" s="1" t="s">
        <v>299</v>
      </c>
      <c r="C724" s="1" t="s">
        <v>21</v>
      </c>
      <c r="D724" s="2">
        <v>41757</v>
      </c>
      <c r="E724" s="1" t="s">
        <v>38</v>
      </c>
      <c r="F724" s="1" t="s">
        <v>902</v>
      </c>
      <c r="G724" s="1">
        <v>11</v>
      </c>
      <c r="H724" s="1">
        <v>6.48</v>
      </c>
      <c r="I724" s="1">
        <f t="shared" si="33"/>
        <v>71.28</v>
      </c>
      <c r="J724" t="str">
        <f t="shared" si="34"/>
        <v>Low</v>
      </c>
      <c r="K724" s="1"/>
      <c r="L724" s="1">
        <v>0.05</v>
      </c>
      <c r="M724" s="1">
        <v>6.22</v>
      </c>
      <c r="N724" s="1" t="s">
        <v>33</v>
      </c>
      <c r="O724" s="1" t="s">
        <v>34</v>
      </c>
      <c r="P724" s="2">
        <v>41758</v>
      </c>
      <c r="Q724" s="2" t="b">
        <f t="shared" si="35"/>
        <v>0</v>
      </c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</row>
    <row r="725" spans="1:35" ht="14.25" customHeight="1" x14ac:dyDescent="0.2">
      <c r="A725" s="1">
        <v>54595</v>
      </c>
      <c r="B725" s="1" t="s">
        <v>903</v>
      </c>
      <c r="C725" s="1" t="s">
        <v>51</v>
      </c>
      <c r="D725" s="2">
        <v>41757</v>
      </c>
      <c r="E725" s="1" t="s">
        <v>101</v>
      </c>
      <c r="F725" s="1" t="s">
        <v>360</v>
      </c>
      <c r="G725" s="1">
        <v>30</v>
      </c>
      <c r="H725" s="1">
        <v>8.34</v>
      </c>
      <c r="I725" s="1">
        <f t="shared" si="33"/>
        <v>250.2</v>
      </c>
      <c r="J725" t="str">
        <f t="shared" si="34"/>
        <v>Low</v>
      </c>
      <c r="K725" s="1"/>
      <c r="L725" s="1">
        <v>0.02</v>
      </c>
      <c r="M725" s="1">
        <v>2.64</v>
      </c>
      <c r="N725" s="1" t="s">
        <v>33</v>
      </c>
      <c r="O725" s="1" t="s">
        <v>84</v>
      </c>
      <c r="P725" s="2">
        <v>41759</v>
      </c>
      <c r="Q725" s="2" t="b">
        <f t="shared" si="35"/>
        <v>0</v>
      </c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</row>
    <row r="726" spans="1:35" ht="14.25" customHeight="1" x14ac:dyDescent="0.2">
      <c r="A726" s="1">
        <v>54595</v>
      </c>
      <c r="B726" s="1" t="s">
        <v>903</v>
      </c>
      <c r="C726" s="1" t="s">
        <v>21</v>
      </c>
      <c r="D726" s="2">
        <v>41757</v>
      </c>
      <c r="E726" s="1" t="s">
        <v>101</v>
      </c>
      <c r="F726" s="1" t="s">
        <v>857</v>
      </c>
      <c r="G726" s="1">
        <v>41</v>
      </c>
      <c r="H726" s="1">
        <v>130.97999999999999</v>
      </c>
      <c r="I726" s="1">
        <f t="shared" si="33"/>
        <v>5370.1799999999994</v>
      </c>
      <c r="J726" t="str">
        <f t="shared" si="34"/>
        <v>High</v>
      </c>
      <c r="K726" s="1"/>
      <c r="L726" s="1">
        <v>0.09</v>
      </c>
      <c r="M726" s="1">
        <v>30</v>
      </c>
      <c r="N726" s="1" t="s">
        <v>45</v>
      </c>
      <c r="O726" s="1" t="s">
        <v>46</v>
      </c>
      <c r="P726" s="2">
        <v>41760</v>
      </c>
      <c r="Q726" s="2" t="b">
        <f t="shared" si="35"/>
        <v>0</v>
      </c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</row>
    <row r="727" spans="1:35" ht="14.25" customHeight="1" x14ac:dyDescent="0.2">
      <c r="A727" s="1">
        <v>44320</v>
      </c>
      <c r="B727" s="1" t="s">
        <v>904</v>
      </c>
      <c r="C727" s="1" t="s">
        <v>51</v>
      </c>
      <c r="D727" s="2">
        <v>41758</v>
      </c>
      <c r="E727" s="1" t="s">
        <v>101</v>
      </c>
      <c r="F727" s="1" t="s">
        <v>373</v>
      </c>
      <c r="G727" s="1">
        <v>49</v>
      </c>
      <c r="H727" s="1">
        <v>154.13</v>
      </c>
      <c r="I727" s="1">
        <f t="shared" si="33"/>
        <v>7552.37</v>
      </c>
      <c r="J727" t="str">
        <f t="shared" si="34"/>
        <v>High</v>
      </c>
      <c r="K727" s="1"/>
      <c r="L727" s="1">
        <v>0.1</v>
      </c>
      <c r="M727" s="1">
        <v>69</v>
      </c>
      <c r="N727" s="1" t="s">
        <v>33</v>
      </c>
      <c r="O727" s="1" t="s">
        <v>26</v>
      </c>
      <c r="P727" s="2">
        <v>41759</v>
      </c>
      <c r="Q727" s="2" t="b">
        <f t="shared" si="35"/>
        <v>0</v>
      </c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</row>
    <row r="728" spans="1:35" ht="14.25" customHeight="1" x14ac:dyDescent="0.2">
      <c r="A728" s="1">
        <v>55940</v>
      </c>
      <c r="B728" s="1" t="s">
        <v>905</v>
      </c>
      <c r="C728" s="1" t="s">
        <v>51</v>
      </c>
      <c r="D728" s="2">
        <v>41758</v>
      </c>
      <c r="E728" s="1" t="s">
        <v>22</v>
      </c>
      <c r="F728" s="1" t="s">
        <v>878</v>
      </c>
      <c r="G728" s="1">
        <v>29</v>
      </c>
      <c r="H728" s="1">
        <v>100.98</v>
      </c>
      <c r="I728" s="1">
        <f t="shared" si="33"/>
        <v>2928.42</v>
      </c>
      <c r="J728" t="str">
        <f t="shared" si="34"/>
        <v>High</v>
      </c>
      <c r="K728" s="1"/>
      <c r="L728" s="1">
        <v>0.03</v>
      </c>
      <c r="M728" s="1">
        <v>7.18</v>
      </c>
      <c r="N728" s="1" t="s">
        <v>33</v>
      </c>
      <c r="O728" s="1" t="s">
        <v>34</v>
      </c>
      <c r="P728" s="2">
        <v>41759</v>
      </c>
      <c r="Q728" s="2" t="b">
        <f t="shared" si="35"/>
        <v>0</v>
      </c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</row>
    <row r="729" spans="1:35" ht="14.25" customHeight="1" x14ac:dyDescent="0.2">
      <c r="A729" s="1">
        <v>17669</v>
      </c>
      <c r="B729" s="1" t="s">
        <v>106</v>
      </c>
      <c r="C729" s="1" t="s">
        <v>51</v>
      </c>
      <c r="D729" s="2">
        <v>41758</v>
      </c>
      <c r="E729" s="1" t="s">
        <v>31</v>
      </c>
      <c r="F729" s="1" t="s">
        <v>906</v>
      </c>
      <c r="G729" s="1">
        <v>32</v>
      </c>
      <c r="H729" s="1">
        <v>34.76</v>
      </c>
      <c r="I729" s="1">
        <f t="shared" si="33"/>
        <v>1112.32</v>
      </c>
      <c r="J729" t="str">
        <f t="shared" si="34"/>
        <v>High</v>
      </c>
      <c r="K729" s="1"/>
      <c r="L729" s="1">
        <v>0.04</v>
      </c>
      <c r="M729" s="1">
        <v>5.49</v>
      </c>
      <c r="N729" s="1" t="s">
        <v>33</v>
      </c>
      <c r="O729" s="1" t="s">
        <v>34</v>
      </c>
      <c r="P729" s="2">
        <v>41759</v>
      </c>
      <c r="Q729" s="2" t="b">
        <f t="shared" si="35"/>
        <v>0</v>
      </c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</row>
    <row r="730" spans="1:35" ht="14.25" customHeight="1" x14ac:dyDescent="0.2">
      <c r="A730" s="1">
        <v>4514</v>
      </c>
      <c r="B730" s="1" t="s">
        <v>907</v>
      </c>
      <c r="C730" s="1" t="s">
        <v>30</v>
      </c>
      <c r="D730" s="2">
        <v>41758</v>
      </c>
      <c r="E730" s="1" t="s">
        <v>101</v>
      </c>
      <c r="F730" s="1" t="s">
        <v>815</v>
      </c>
      <c r="G730" s="1">
        <v>28</v>
      </c>
      <c r="H730" s="1">
        <v>125.99</v>
      </c>
      <c r="I730" s="1">
        <f t="shared" si="33"/>
        <v>3527.72</v>
      </c>
      <c r="J730" t="str">
        <f t="shared" si="34"/>
        <v>High</v>
      </c>
      <c r="K730" s="1"/>
      <c r="L730" s="1">
        <v>0.08</v>
      </c>
      <c r="M730" s="1">
        <v>7.69</v>
      </c>
      <c r="N730" s="1" t="s">
        <v>33</v>
      </c>
      <c r="O730" s="1" t="s">
        <v>34</v>
      </c>
      <c r="P730" s="2">
        <v>41759</v>
      </c>
      <c r="Q730" s="2" t="b">
        <f t="shared" si="35"/>
        <v>0</v>
      </c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</row>
    <row r="731" spans="1:35" ht="14.25" customHeight="1" x14ac:dyDescent="0.2">
      <c r="A731" s="1">
        <v>45380</v>
      </c>
      <c r="B731" s="1" t="s">
        <v>468</v>
      </c>
      <c r="C731" s="1" t="s">
        <v>21</v>
      </c>
      <c r="D731" s="2">
        <v>41759</v>
      </c>
      <c r="E731" s="1" t="s">
        <v>38</v>
      </c>
      <c r="F731" s="1" t="s">
        <v>576</v>
      </c>
      <c r="G731" s="1">
        <v>34</v>
      </c>
      <c r="H731" s="1">
        <v>65.989999999999995</v>
      </c>
      <c r="I731" s="1">
        <f t="shared" si="33"/>
        <v>2243.66</v>
      </c>
      <c r="J731" t="str">
        <f t="shared" si="34"/>
        <v>High</v>
      </c>
      <c r="K731" s="1"/>
      <c r="L731" s="1">
        <v>0.06</v>
      </c>
      <c r="M731" s="1">
        <v>8.8000000000000007</v>
      </c>
      <c r="N731" s="1" t="s">
        <v>25</v>
      </c>
      <c r="O731" s="1" t="s">
        <v>34</v>
      </c>
      <c r="P731" s="2">
        <v>41760</v>
      </c>
      <c r="Q731" s="2" t="b">
        <f t="shared" si="35"/>
        <v>0</v>
      </c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</row>
    <row r="732" spans="1:35" ht="14.25" customHeight="1" x14ac:dyDescent="0.2">
      <c r="A732" s="1">
        <v>45380</v>
      </c>
      <c r="B732" s="1" t="s">
        <v>468</v>
      </c>
      <c r="C732" s="1" t="s">
        <v>51</v>
      </c>
      <c r="D732" s="2">
        <v>41759</v>
      </c>
      <c r="E732" s="1" t="s">
        <v>38</v>
      </c>
      <c r="F732" s="1" t="s">
        <v>908</v>
      </c>
      <c r="G732" s="1">
        <v>24</v>
      </c>
      <c r="H732" s="1">
        <v>195.99</v>
      </c>
      <c r="I732" s="1">
        <f t="shared" si="33"/>
        <v>4703.76</v>
      </c>
      <c r="J732" t="str">
        <f t="shared" si="34"/>
        <v>High</v>
      </c>
      <c r="K732" s="1"/>
      <c r="L732" s="1">
        <v>0</v>
      </c>
      <c r="M732" s="1">
        <v>4.2</v>
      </c>
      <c r="N732" s="1" t="s">
        <v>25</v>
      </c>
      <c r="O732" s="1" t="s">
        <v>34</v>
      </c>
      <c r="P732" s="2">
        <v>41761</v>
      </c>
      <c r="Q732" s="2" t="b">
        <f t="shared" si="35"/>
        <v>0</v>
      </c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</row>
    <row r="733" spans="1:35" ht="14.25" customHeight="1" x14ac:dyDescent="0.2">
      <c r="A733" s="1">
        <v>41154</v>
      </c>
      <c r="B733" s="1" t="s">
        <v>909</v>
      </c>
      <c r="C733" s="1" t="s">
        <v>21</v>
      </c>
      <c r="D733" s="2">
        <v>41759</v>
      </c>
      <c r="E733" s="1" t="s">
        <v>43</v>
      </c>
      <c r="F733" s="1" t="s">
        <v>910</v>
      </c>
      <c r="G733" s="1">
        <v>43</v>
      </c>
      <c r="H733" s="1">
        <v>21.98</v>
      </c>
      <c r="I733" s="1">
        <f t="shared" si="33"/>
        <v>945.14</v>
      </c>
      <c r="J733" t="str">
        <f t="shared" si="34"/>
        <v>Low</v>
      </c>
      <c r="K733" s="1"/>
      <c r="L733" s="1">
        <v>0.02</v>
      </c>
      <c r="M733" s="1">
        <v>2.87</v>
      </c>
      <c r="N733" s="1" t="s">
        <v>33</v>
      </c>
      <c r="O733" s="1" t="s">
        <v>84</v>
      </c>
      <c r="P733" s="2">
        <v>41761</v>
      </c>
      <c r="Q733" s="2" t="b">
        <f t="shared" si="35"/>
        <v>0</v>
      </c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</row>
    <row r="734" spans="1:35" ht="14.25" customHeight="1" x14ac:dyDescent="0.2">
      <c r="A734" s="1">
        <v>31364</v>
      </c>
      <c r="B734" s="1" t="s">
        <v>663</v>
      </c>
      <c r="C734" s="1" t="s">
        <v>51</v>
      </c>
      <c r="D734" s="2">
        <v>41760</v>
      </c>
      <c r="E734" s="1" t="s">
        <v>22</v>
      </c>
      <c r="F734" s="1" t="s">
        <v>911</v>
      </c>
      <c r="G734" s="1">
        <v>2</v>
      </c>
      <c r="H734" s="1">
        <v>415.88</v>
      </c>
      <c r="I734" s="1">
        <f t="shared" si="33"/>
        <v>831.76</v>
      </c>
      <c r="J734" t="str">
        <f t="shared" si="34"/>
        <v>Low</v>
      </c>
      <c r="K734" s="1"/>
      <c r="L734" s="1">
        <v>7.0000000000000007E-2</v>
      </c>
      <c r="M734" s="1">
        <v>11.37</v>
      </c>
      <c r="N734" s="1" t="s">
        <v>33</v>
      </c>
      <c r="O734" s="1" t="s">
        <v>34</v>
      </c>
      <c r="P734" s="2">
        <v>41760</v>
      </c>
      <c r="Q734" s="2" t="b">
        <f t="shared" si="35"/>
        <v>0</v>
      </c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</row>
    <row r="735" spans="1:35" ht="14.25" customHeight="1" x14ac:dyDescent="0.2">
      <c r="A735" s="1">
        <v>15815</v>
      </c>
      <c r="B735" s="1" t="s">
        <v>912</v>
      </c>
      <c r="C735" s="1" t="s">
        <v>21</v>
      </c>
      <c r="D735" s="2">
        <v>41760</v>
      </c>
      <c r="E735" s="1" t="s">
        <v>38</v>
      </c>
      <c r="F735" s="1" t="s">
        <v>913</v>
      </c>
      <c r="G735" s="1">
        <v>43</v>
      </c>
      <c r="H735" s="1">
        <v>11.7</v>
      </c>
      <c r="I735" s="1">
        <f t="shared" si="33"/>
        <v>503.09999999999997</v>
      </c>
      <c r="J735" t="str">
        <f t="shared" si="34"/>
        <v>Low</v>
      </c>
      <c r="K735" s="1"/>
      <c r="L735" s="1">
        <v>0.01</v>
      </c>
      <c r="M735" s="1">
        <v>5.63</v>
      </c>
      <c r="N735" s="1" t="s">
        <v>33</v>
      </c>
      <c r="O735" s="1" t="s">
        <v>34</v>
      </c>
      <c r="P735" s="2">
        <v>41762</v>
      </c>
      <c r="Q735" s="2" t="b">
        <f t="shared" si="35"/>
        <v>0</v>
      </c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</row>
    <row r="736" spans="1:35" ht="14.25" customHeight="1" x14ac:dyDescent="0.2">
      <c r="A736" s="1">
        <v>15815</v>
      </c>
      <c r="B736" s="1" t="s">
        <v>912</v>
      </c>
      <c r="C736" s="1" t="s">
        <v>30</v>
      </c>
      <c r="D736" s="2">
        <v>41760</v>
      </c>
      <c r="E736" s="1" t="s">
        <v>38</v>
      </c>
      <c r="F736" s="1" t="s">
        <v>692</v>
      </c>
      <c r="G736" s="1">
        <v>24</v>
      </c>
      <c r="H736" s="1">
        <v>4.55</v>
      </c>
      <c r="I736" s="1">
        <f t="shared" si="33"/>
        <v>109.19999999999999</v>
      </c>
      <c r="J736" t="str">
        <f t="shared" si="34"/>
        <v>Low</v>
      </c>
      <c r="K736" s="1"/>
      <c r="L736" s="1">
        <v>0.03</v>
      </c>
      <c r="M736" s="1">
        <v>1.49</v>
      </c>
      <c r="N736" s="1" t="s">
        <v>33</v>
      </c>
      <c r="O736" s="1" t="s">
        <v>34</v>
      </c>
      <c r="P736" s="2">
        <v>41760</v>
      </c>
      <c r="Q736" s="2" t="b">
        <f t="shared" si="35"/>
        <v>0</v>
      </c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</row>
    <row r="737" spans="1:35" ht="14.25" customHeight="1" x14ac:dyDescent="0.2">
      <c r="A737" s="1">
        <v>13635</v>
      </c>
      <c r="B737" s="1" t="s">
        <v>255</v>
      </c>
      <c r="C737" s="1" t="s">
        <v>30</v>
      </c>
      <c r="D737" s="2">
        <v>41760</v>
      </c>
      <c r="E737" s="1" t="s">
        <v>38</v>
      </c>
      <c r="F737" s="1" t="s">
        <v>914</v>
      </c>
      <c r="G737" s="1">
        <v>28</v>
      </c>
      <c r="H737" s="1">
        <v>4.9800000000000004</v>
      </c>
      <c r="I737" s="1">
        <f t="shared" si="33"/>
        <v>139.44</v>
      </c>
      <c r="J737" t="str">
        <f t="shared" si="34"/>
        <v>Low</v>
      </c>
      <c r="K737" s="1"/>
      <c r="L737" s="1">
        <v>0.06</v>
      </c>
      <c r="M737" s="1">
        <v>7.44</v>
      </c>
      <c r="N737" s="1" t="s">
        <v>33</v>
      </c>
      <c r="O737" s="1" t="s">
        <v>34</v>
      </c>
      <c r="P737" s="2">
        <v>41761</v>
      </c>
      <c r="Q737" s="2" t="b">
        <f t="shared" si="35"/>
        <v>0</v>
      </c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</row>
    <row r="738" spans="1:35" ht="14.25" customHeight="1" x14ac:dyDescent="0.2">
      <c r="A738" s="1">
        <v>13635</v>
      </c>
      <c r="B738" s="1" t="s">
        <v>255</v>
      </c>
      <c r="C738" s="1" t="s">
        <v>30</v>
      </c>
      <c r="D738" s="2">
        <v>41760</v>
      </c>
      <c r="E738" s="1" t="s">
        <v>38</v>
      </c>
      <c r="F738" s="1" t="s">
        <v>621</v>
      </c>
      <c r="G738" s="1">
        <v>49</v>
      </c>
      <c r="H738" s="1">
        <v>6.48</v>
      </c>
      <c r="I738" s="1">
        <f t="shared" si="33"/>
        <v>317.52000000000004</v>
      </c>
      <c r="J738" t="str">
        <f t="shared" si="34"/>
        <v>Low</v>
      </c>
      <c r="K738" s="1"/>
      <c r="L738" s="1">
        <v>0.01</v>
      </c>
      <c r="M738" s="1">
        <v>7.37</v>
      </c>
      <c r="N738" s="1" t="s">
        <v>33</v>
      </c>
      <c r="O738" s="1" t="s">
        <v>34</v>
      </c>
      <c r="P738" s="2">
        <v>41762</v>
      </c>
      <c r="Q738" s="2" t="b">
        <f t="shared" si="35"/>
        <v>0</v>
      </c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</row>
    <row r="739" spans="1:35" ht="14.25" customHeight="1" x14ac:dyDescent="0.2">
      <c r="A739" s="1">
        <v>10146</v>
      </c>
      <c r="B739" s="1" t="s">
        <v>814</v>
      </c>
      <c r="C739" s="1" t="s">
        <v>21</v>
      </c>
      <c r="D739" s="2">
        <v>41760</v>
      </c>
      <c r="E739" s="1" t="s">
        <v>43</v>
      </c>
      <c r="F739" s="1" t="s">
        <v>510</v>
      </c>
      <c r="G739" s="1">
        <v>19</v>
      </c>
      <c r="H739" s="1">
        <v>34.229999999999997</v>
      </c>
      <c r="I739" s="1">
        <f t="shared" si="33"/>
        <v>650.36999999999989</v>
      </c>
      <c r="J739" t="str">
        <f t="shared" si="34"/>
        <v>Low</v>
      </c>
      <c r="K739" s="1"/>
      <c r="L739" s="1">
        <v>0.1</v>
      </c>
      <c r="M739" s="1">
        <v>5.0199999999999996</v>
      </c>
      <c r="N739" s="1" t="s">
        <v>33</v>
      </c>
      <c r="O739" s="1" t="s">
        <v>34</v>
      </c>
      <c r="P739" s="2">
        <v>41765</v>
      </c>
      <c r="Q739" s="2" t="b">
        <f t="shared" si="35"/>
        <v>0</v>
      </c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</row>
    <row r="740" spans="1:35" ht="14.25" customHeight="1" x14ac:dyDescent="0.2">
      <c r="A740" s="1">
        <v>7431</v>
      </c>
      <c r="B740" s="1" t="s">
        <v>915</v>
      </c>
      <c r="C740" s="1" t="s">
        <v>21</v>
      </c>
      <c r="D740" s="2">
        <v>41760</v>
      </c>
      <c r="E740" s="1" t="s">
        <v>101</v>
      </c>
      <c r="F740" s="1" t="s">
        <v>916</v>
      </c>
      <c r="G740" s="1">
        <v>33</v>
      </c>
      <c r="H740" s="1">
        <v>2.23</v>
      </c>
      <c r="I740" s="1">
        <f t="shared" si="33"/>
        <v>73.59</v>
      </c>
      <c r="J740" t="str">
        <f t="shared" si="34"/>
        <v>Low</v>
      </c>
      <c r="K740" s="1"/>
      <c r="L740" s="1">
        <v>0.03</v>
      </c>
      <c r="M740" s="1">
        <v>4.57</v>
      </c>
      <c r="N740" s="1" t="s">
        <v>33</v>
      </c>
      <c r="O740" s="1" t="s">
        <v>84</v>
      </c>
      <c r="P740" s="2">
        <v>41761</v>
      </c>
      <c r="Q740" s="2" t="b">
        <f t="shared" si="35"/>
        <v>0</v>
      </c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</row>
    <row r="741" spans="1:35" ht="14.25" customHeight="1" x14ac:dyDescent="0.2">
      <c r="A741" s="1">
        <v>39460</v>
      </c>
      <c r="B741" s="1" t="s">
        <v>917</v>
      </c>
      <c r="C741" s="1" t="s">
        <v>21</v>
      </c>
      <c r="D741" s="2">
        <v>41761</v>
      </c>
      <c r="E741" s="1" t="s">
        <v>22</v>
      </c>
      <c r="F741" s="1" t="s">
        <v>456</v>
      </c>
      <c r="G741" s="1">
        <v>25</v>
      </c>
      <c r="H741" s="1">
        <v>7.1</v>
      </c>
      <c r="I741" s="1">
        <f t="shared" si="33"/>
        <v>177.5</v>
      </c>
      <c r="J741" t="str">
        <f t="shared" si="34"/>
        <v>Low</v>
      </c>
      <c r="K741" s="1"/>
      <c r="L741" s="1">
        <v>0.09</v>
      </c>
      <c r="M741" s="1">
        <v>6.05</v>
      </c>
      <c r="N741" s="1" t="s">
        <v>33</v>
      </c>
      <c r="O741" s="1" t="s">
        <v>34</v>
      </c>
      <c r="P741" s="2">
        <v>41763</v>
      </c>
      <c r="Q741" s="2" t="b">
        <f t="shared" si="35"/>
        <v>0</v>
      </c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</row>
    <row r="742" spans="1:35" ht="14.25" customHeight="1" x14ac:dyDescent="0.2">
      <c r="A742" s="1">
        <v>39460</v>
      </c>
      <c r="B742" s="1" t="s">
        <v>917</v>
      </c>
      <c r="C742" s="1" t="s">
        <v>51</v>
      </c>
      <c r="D742" s="2">
        <v>41761</v>
      </c>
      <c r="E742" s="1" t="s">
        <v>22</v>
      </c>
      <c r="F742" s="1" t="s">
        <v>623</v>
      </c>
      <c r="G742" s="1">
        <v>19</v>
      </c>
      <c r="H742" s="1">
        <v>125.99</v>
      </c>
      <c r="I742" s="1">
        <f t="shared" si="33"/>
        <v>2393.81</v>
      </c>
      <c r="J742" t="str">
        <f t="shared" si="34"/>
        <v>High</v>
      </c>
      <c r="K742" s="1"/>
      <c r="L742" s="1">
        <v>0.02</v>
      </c>
      <c r="M742" s="1">
        <v>2.5</v>
      </c>
      <c r="N742" s="1" t="s">
        <v>33</v>
      </c>
      <c r="O742" s="1" t="s">
        <v>34</v>
      </c>
      <c r="P742" s="2">
        <v>41762</v>
      </c>
      <c r="Q742" s="2" t="b">
        <f t="shared" si="35"/>
        <v>0</v>
      </c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</row>
    <row r="743" spans="1:35" ht="14.25" customHeight="1" x14ac:dyDescent="0.2">
      <c r="A743" s="1">
        <v>40998</v>
      </c>
      <c r="B743" s="1" t="s">
        <v>743</v>
      </c>
      <c r="C743" s="1" t="s">
        <v>21</v>
      </c>
      <c r="D743" s="2">
        <v>41761</v>
      </c>
      <c r="E743" s="1" t="s">
        <v>101</v>
      </c>
      <c r="F743" s="1" t="s">
        <v>379</v>
      </c>
      <c r="G743" s="1">
        <v>43</v>
      </c>
      <c r="H743" s="1">
        <v>29.89</v>
      </c>
      <c r="I743" s="1">
        <f t="shared" si="33"/>
        <v>1285.27</v>
      </c>
      <c r="J743" t="str">
        <f t="shared" si="34"/>
        <v>High</v>
      </c>
      <c r="K743" s="1"/>
      <c r="L743" s="1">
        <v>0.05</v>
      </c>
      <c r="M743" s="1">
        <v>1.99</v>
      </c>
      <c r="N743" s="1" t="s">
        <v>33</v>
      </c>
      <c r="O743" s="1" t="s">
        <v>84</v>
      </c>
      <c r="P743" s="2">
        <v>41762</v>
      </c>
      <c r="Q743" s="2" t="b">
        <f t="shared" si="35"/>
        <v>0</v>
      </c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</row>
    <row r="744" spans="1:35" ht="14.25" customHeight="1" x14ac:dyDescent="0.2">
      <c r="A744" s="1">
        <v>40998</v>
      </c>
      <c r="B744" s="1" t="s">
        <v>743</v>
      </c>
      <c r="C744" s="1" t="s">
        <v>30</v>
      </c>
      <c r="D744" s="2">
        <v>41761</v>
      </c>
      <c r="E744" s="1" t="s">
        <v>101</v>
      </c>
      <c r="F744" s="1" t="s">
        <v>612</v>
      </c>
      <c r="G744" s="1">
        <v>39</v>
      </c>
      <c r="H744" s="1">
        <v>4</v>
      </c>
      <c r="I744" s="1">
        <f t="shared" si="33"/>
        <v>156</v>
      </c>
      <c r="J744" t="str">
        <f t="shared" si="34"/>
        <v>Low</v>
      </c>
      <c r="K744" s="1"/>
      <c r="L744" s="1">
        <v>0.08</v>
      </c>
      <c r="M744" s="1">
        <v>1.3</v>
      </c>
      <c r="N744" s="1" t="s">
        <v>33</v>
      </c>
      <c r="O744" s="1" t="s">
        <v>55</v>
      </c>
      <c r="P744" s="2">
        <v>41763</v>
      </c>
      <c r="Q744" s="2" t="b">
        <f t="shared" si="35"/>
        <v>0</v>
      </c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</row>
    <row r="745" spans="1:35" ht="14.25" customHeight="1" x14ac:dyDescent="0.2">
      <c r="A745" s="1">
        <v>59363</v>
      </c>
      <c r="B745" s="1" t="s">
        <v>918</v>
      </c>
      <c r="C745" s="1" t="s">
        <v>30</v>
      </c>
      <c r="D745" s="2">
        <v>41761</v>
      </c>
      <c r="E745" s="1" t="s">
        <v>31</v>
      </c>
      <c r="F745" s="1" t="s">
        <v>919</v>
      </c>
      <c r="G745" s="1">
        <v>24</v>
      </c>
      <c r="H745" s="1">
        <v>6.68</v>
      </c>
      <c r="I745" s="1">
        <f t="shared" si="33"/>
        <v>160.32</v>
      </c>
      <c r="J745" t="str">
        <f t="shared" si="34"/>
        <v>Low</v>
      </c>
      <c r="K745" s="1"/>
      <c r="L745" s="1">
        <v>0.06</v>
      </c>
      <c r="M745" s="1">
        <v>5.2</v>
      </c>
      <c r="N745" s="1" t="s">
        <v>33</v>
      </c>
      <c r="O745" s="1" t="s">
        <v>34</v>
      </c>
      <c r="P745" s="2">
        <v>41761</v>
      </c>
      <c r="Q745" s="2" t="b">
        <f t="shared" si="35"/>
        <v>0</v>
      </c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</row>
    <row r="746" spans="1:35" ht="14.25" customHeight="1" x14ac:dyDescent="0.2">
      <c r="A746" s="1">
        <v>39141</v>
      </c>
      <c r="B746" s="1" t="s">
        <v>920</v>
      </c>
      <c r="C746" s="1" t="s">
        <v>21</v>
      </c>
      <c r="D746" s="2">
        <v>41762</v>
      </c>
      <c r="E746" s="1" t="s">
        <v>43</v>
      </c>
      <c r="F746" s="1" t="s">
        <v>921</v>
      </c>
      <c r="G746" s="1">
        <v>49</v>
      </c>
      <c r="H746" s="1">
        <v>30.98</v>
      </c>
      <c r="I746" s="1">
        <f t="shared" si="33"/>
        <v>1518.02</v>
      </c>
      <c r="J746" t="str">
        <f t="shared" si="34"/>
        <v>High</v>
      </c>
      <c r="K746" s="1"/>
      <c r="L746" s="1">
        <v>0.09</v>
      </c>
      <c r="M746" s="1">
        <v>19.510000000000002</v>
      </c>
      <c r="N746" s="1" t="s">
        <v>33</v>
      </c>
      <c r="O746" s="1" t="s">
        <v>34</v>
      </c>
      <c r="P746" s="2">
        <v>41764</v>
      </c>
      <c r="Q746" s="2" t="b">
        <f t="shared" si="35"/>
        <v>0</v>
      </c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</row>
    <row r="747" spans="1:35" ht="14.25" customHeight="1" x14ac:dyDescent="0.2">
      <c r="A747" s="1">
        <v>39141</v>
      </c>
      <c r="B747" s="1" t="s">
        <v>920</v>
      </c>
      <c r="C747" s="1" t="s">
        <v>21</v>
      </c>
      <c r="D747" s="2">
        <v>41762</v>
      </c>
      <c r="E747" s="1" t="s">
        <v>43</v>
      </c>
      <c r="F747" s="1" t="s">
        <v>922</v>
      </c>
      <c r="G747" s="1">
        <v>47</v>
      </c>
      <c r="H747" s="1">
        <v>49.34</v>
      </c>
      <c r="I747" s="1">
        <f t="shared" si="33"/>
        <v>2318.98</v>
      </c>
      <c r="J747" t="str">
        <f t="shared" si="34"/>
        <v>High</v>
      </c>
      <c r="K747" s="1"/>
      <c r="L747" s="1">
        <v>0.03</v>
      </c>
      <c r="M747" s="1">
        <v>10.25</v>
      </c>
      <c r="N747" s="1" t="s">
        <v>33</v>
      </c>
      <c r="O747" s="1" t="s">
        <v>26</v>
      </c>
      <c r="P747" s="2">
        <v>41764</v>
      </c>
      <c r="Q747" s="2" t="b">
        <f t="shared" si="35"/>
        <v>0</v>
      </c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</row>
    <row r="748" spans="1:35" ht="14.25" customHeight="1" x14ac:dyDescent="0.2">
      <c r="A748" s="1">
        <v>36224</v>
      </c>
      <c r="B748" s="1" t="s">
        <v>418</v>
      </c>
      <c r="C748" s="1" t="s">
        <v>51</v>
      </c>
      <c r="D748" s="2">
        <v>41762</v>
      </c>
      <c r="E748" s="1" t="s">
        <v>101</v>
      </c>
      <c r="F748" s="1" t="s">
        <v>923</v>
      </c>
      <c r="G748" s="1">
        <v>15</v>
      </c>
      <c r="H748" s="1">
        <v>120.98</v>
      </c>
      <c r="I748" s="1">
        <f t="shared" si="33"/>
        <v>1814.7</v>
      </c>
      <c r="J748" t="str">
        <f t="shared" si="34"/>
        <v>High</v>
      </c>
      <c r="K748" s="1"/>
      <c r="L748" s="1">
        <v>0.09</v>
      </c>
      <c r="M748" s="1">
        <v>3.99</v>
      </c>
      <c r="N748" s="1" t="s">
        <v>25</v>
      </c>
      <c r="O748" s="1" t="s">
        <v>34</v>
      </c>
      <c r="P748" s="2">
        <v>41764</v>
      </c>
      <c r="Q748" s="2" t="b">
        <f t="shared" si="35"/>
        <v>0</v>
      </c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</row>
    <row r="749" spans="1:35" ht="14.25" customHeight="1" x14ac:dyDescent="0.2">
      <c r="A749" s="1">
        <v>6310</v>
      </c>
      <c r="B749" s="1" t="s">
        <v>924</v>
      </c>
      <c r="C749" s="1" t="s">
        <v>51</v>
      </c>
      <c r="D749" s="2">
        <v>41762</v>
      </c>
      <c r="E749" s="1" t="s">
        <v>22</v>
      </c>
      <c r="F749" s="1" t="s">
        <v>226</v>
      </c>
      <c r="G749" s="1">
        <v>27</v>
      </c>
      <c r="H749" s="1">
        <v>8.09</v>
      </c>
      <c r="I749" s="1">
        <f t="shared" si="33"/>
        <v>218.43</v>
      </c>
      <c r="J749" t="str">
        <f t="shared" si="34"/>
        <v>Low</v>
      </c>
      <c r="K749" s="1"/>
      <c r="L749" s="1">
        <v>0.08</v>
      </c>
      <c r="M749" s="1">
        <v>7.96</v>
      </c>
      <c r="N749" s="1" t="s">
        <v>33</v>
      </c>
      <c r="O749" s="1" t="s">
        <v>34</v>
      </c>
      <c r="P749" s="2">
        <v>41763</v>
      </c>
      <c r="Q749" s="2" t="b">
        <f t="shared" si="35"/>
        <v>0</v>
      </c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</row>
    <row r="750" spans="1:35" ht="14.25" customHeight="1" x14ac:dyDescent="0.2">
      <c r="A750" s="1">
        <v>49607</v>
      </c>
      <c r="B750" s="1" t="s">
        <v>915</v>
      </c>
      <c r="C750" s="1" t="s">
        <v>21</v>
      </c>
      <c r="D750" s="2">
        <v>41763</v>
      </c>
      <c r="E750" s="1" t="s">
        <v>101</v>
      </c>
      <c r="F750" s="1" t="s">
        <v>441</v>
      </c>
      <c r="G750" s="1">
        <v>6</v>
      </c>
      <c r="H750" s="1">
        <v>205.99</v>
      </c>
      <c r="I750" s="1">
        <f t="shared" si="33"/>
        <v>1235.94</v>
      </c>
      <c r="J750" t="str">
        <f t="shared" si="34"/>
        <v>High</v>
      </c>
      <c r="K750" s="1"/>
      <c r="L750" s="1">
        <v>0.06</v>
      </c>
      <c r="M750" s="1">
        <v>8.99</v>
      </c>
      <c r="N750" s="1" t="s">
        <v>33</v>
      </c>
      <c r="O750" s="1" t="s">
        <v>34</v>
      </c>
      <c r="P750" s="2">
        <v>41764</v>
      </c>
      <c r="Q750" s="2" t="b">
        <f t="shared" si="35"/>
        <v>0</v>
      </c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</row>
    <row r="751" spans="1:35" ht="14.25" customHeight="1" x14ac:dyDescent="0.2">
      <c r="A751" s="1">
        <v>2853</v>
      </c>
      <c r="B751" s="1" t="s">
        <v>925</v>
      </c>
      <c r="C751" s="1" t="s">
        <v>51</v>
      </c>
      <c r="D751" s="2">
        <v>41763</v>
      </c>
      <c r="E751" s="1" t="s">
        <v>31</v>
      </c>
      <c r="F751" s="1" t="s">
        <v>407</v>
      </c>
      <c r="G751" s="1">
        <v>25</v>
      </c>
      <c r="H751" s="1">
        <v>178.47</v>
      </c>
      <c r="I751" s="1">
        <f t="shared" si="33"/>
        <v>4461.75</v>
      </c>
      <c r="J751" t="str">
        <f t="shared" si="34"/>
        <v>High</v>
      </c>
      <c r="K751" s="1"/>
      <c r="L751" s="1">
        <v>0.05</v>
      </c>
      <c r="M751" s="1">
        <v>19.989999999999998</v>
      </c>
      <c r="N751" s="1" t="s">
        <v>25</v>
      </c>
      <c r="O751" s="1" t="s">
        <v>34</v>
      </c>
      <c r="P751" s="2">
        <v>41766</v>
      </c>
      <c r="Q751" s="2" t="b">
        <f t="shared" si="35"/>
        <v>0</v>
      </c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</row>
    <row r="752" spans="1:35" ht="14.25" customHeight="1" x14ac:dyDescent="0.2">
      <c r="A752" s="1">
        <v>4389</v>
      </c>
      <c r="B752" s="1" t="s">
        <v>551</v>
      </c>
      <c r="C752" s="1" t="s">
        <v>30</v>
      </c>
      <c r="D752" s="2">
        <v>41763</v>
      </c>
      <c r="E752" s="1" t="s">
        <v>101</v>
      </c>
      <c r="F752" s="1" t="s">
        <v>664</v>
      </c>
      <c r="G752" s="1">
        <v>35</v>
      </c>
      <c r="H752" s="1">
        <v>5.34</v>
      </c>
      <c r="I752" s="1">
        <f t="shared" si="33"/>
        <v>186.9</v>
      </c>
      <c r="J752" t="str">
        <f t="shared" si="34"/>
        <v>Low</v>
      </c>
      <c r="K752" s="1"/>
      <c r="L752" s="1">
        <v>7.0000000000000007E-2</v>
      </c>
      <c r="M752" s="1">
        <v>5.63</v>
      </c>
      <c r="N752" s="1" t="s">
        <v>33</v>
      </c>
      <c r="O752" s="1" t="s">
        <v>34</v>
      </c>
      <c r="P752" s="2">
        <v>41765</v>
      </c>
      <c r="Q752" s="2" t="b">
        <f t="shared" si="35"/>
        <v>0</v>
      </c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</row>
    <row r="753" spans="1:35" ht="14.25" customHeight="1" x14ac:dyDescent="0.2">
      <c r="A753" s="1">
        <v>4389</v>
      </c>
      <c r="B753" s="1" t="s">
        <v>551</v>
      </c>
      <c r="C753" s="1" t="s">
        <v>30</v>
      </c>
      <c r="D753" s="2">
        <v>41763</v>
      </c>
      <c r="E753" s="1" t="s">
        <v>101</v>
      </c>
      <c r="F753" s="1" t="s">
        <v>355</v>
      </c>
      <c r="G753" s="1">
        <v>49</v>
      </c>
      <c r="H753" s="1">
        <v>160.97999999999999</v>
      </c>
      <c r="I753" s="1">
        <f t="shared" si="33"/>
        <v>7888.0199999999995</v>
      </c>
      <c r="J753" t="str">
        <f t="shared" si="34"/>
        <v>High</v>
      </c>
      <c r="K753" s="1"/>
      <c r="L753" s="1">
        <v>0.03</v>
      </c>
      <c r="M753" s="1">
        <v>30</v>
      </c>
      <c r="N753" s="1" t="s">
        <v>45</v>
      </c>
      <c r="O753" s="1" t="s">
        <v>46</v>
      </c>
      <c r="P753" s="2">
        <v>41764</v>
      </c>
      <c r="Q753" s="2" t="b">
        <f t="shared" si="35"/>
        <v>0</v>
      </c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</row>
    <row r="754" spans="1:35" ht="14.25" customHeight="1" x14ac:dyDescent="0.2">
      <c r="A754" s="1">
        <v>4389</v>
      </c>
      <c r="B754" s="1" t="s">
        <v>551</v>
      </c>
      <c r="C754" s="1" t="s">
        <v>51</v>
      </c>
      <c r="D754" s="2">
        <v>41763</v>
      </c>
      <c r="E754" s="1" t="s">
        <v>101</v>
      </c>
      <c r="F754" s="1" t="s">
        <v>926</v>
      </c>
      <c r="G754" s="1">
        <v>42</v>
      </c>
      <c r="H754" s="1">
        <v>65.989999999999995</v>
      </c>
      <c r="I754" s="1">
        <f t="shared" si="33"/>
        <v>2771.58</v>
      </c>
      <c r="J754" t="str">
        <f t="shared" si="34"/>
        <v>High</v>
      </c>
      <c r="K754" s="1"/>
      <c r="L754" s="1">
        <v>0.04</v>
      </c>
      <c r="M754" s="1">
        <v>5.63</v>
      </c>
      <c r="N754" s="1" t="s">
        <v>25</v>
      </c>
      <c r="O754" s="1" t="s">
        <v>34</v>
      </c>
      <c r="P754" s="2">
        <v>41763</v>
      </c>
      <c r="Q754" s="2" t="b">
        <f t="shared" si="35"/>
        <v>0</v>
      </c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</row>
    <row r="755" spans="1:35" ht="14.25" customHeight="1" x14ac:dyDescent="0.2">
      <c r="A755" s="1">
        <v>1824</v>
      </c>
      <c r="B755" s="1" t="s">
        <v>927</v>
      </c>
      <c r="C755" s="1" t="s">
        <v>21</v>
      </c>
      <c r="D755" s="2">
        <v>41763</v>
      </c>
      <c r="E755" s="1" t="s">
        <v>38</v>
      </c>
      <c r="F755" s="1" t="s">
        <v>928</v>
      </c>
      <c r="G755" s="1">
        <v>39</v>
      </c>
      <c r="H755" s="1">
        <v>276.2</v>
      </c>
      <c r="I755" s="1">
        <f t="shared" si="33"/>
        <v>10771.8</v>
      </c>
      <c r="J755" t="str">
        <f t="shared" si="34"/>
        <v>High</v>
      </c>
      <c r="K755" s="1"/>
      <c r="L755" s="1">
        <v>0.06</v>
      </c>
      <c r="M755" s="1">
        <v>24.49</v>
      </c>
      <c r="N755" s="1" t="s">
        <v>33</v>
      </c>
      <c r="O755" s="1" t="s">
        <v>26</v>
      </c>
      <c r="P755" s="2">
        <v>41764</v>
      </c>
      <c r="Q755" s="2" t="b">
        <f t="shared" si="35"/>
        <v>0</v>
      </c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</row>
    <row r="756" spans="1:35" ht="14.25" customHeight="1" x14ac:dyDescent="0.2">
      <c r="A756" s="1">
        <v>1824</v>
      </c>
      <c r="B756" s="1" t="s">
        <v>927</v>
      </c>
      <c r="C756" s="1" t="s">
        <v>21</v>
      </c>
      <c r="D756" s="2">
        <v>41763</v>
      </c>
      <c r="E756" s="1" t="s">
        <v>38</v>
      </c>
      <c r="F756" s="1" t="s">
        <v>929</v>
      </c>
      <c r="G756" s="1">
        <v>2</v>
      </c>
      <c r="H756" s="1">
        <v>6.28</v>
      </c>
      <c r="I756" s="1">
        <f t="shared" si="33"/>
        <v>12.56</v>
      </c>
      <c r="J756" t="str">
        <f t="shared" si="34"/>
        <v>Low</v>
      </c>
      <c r="K756" s="1"/>
      <c r="L756" s="1">
        <v>0.09</v>
      </c>
      <c r="M756" s="1">
        <v>5.29</v>
      </c>
      <c r="N756" s="1" t="s">
        <v>33</v>
      </c>
      <c r="O756" s="1" t="s">
        <v>34</v>
      </c>
      <c r="P756" s="2">
        <v>41763</v>
      </c>
      <c r="Q756" s="2" t="b">
        <f t="shared" si="35"/>
        <v>0</v>
      </c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</row>
    <row r="757" spans="1:35" ht="14.25" customHeight="1" x14ac:dyDescent="0.2">
      <c r="A757" s="1">
        <v>962</v>
      </c>
      <c r="B757" s="1" t="s">
        <v>892</v>
      </c>
      <c r="C757" s="1" t="s">
        <v>30</v>
      </c>
      <c r="D757" s="2">
        <v>41764</v>
      </c>
      <c r="E757" s="1" t="s">
        <v>43</v>
      </c>
      <c r="F757" s="1" t="s">
        <v>930</v>
      </c>
      <c r="G757" s="1">
        <v>33</v>
      </c>
      <c r="H757" s="1">
        <v>122.99</v>
      </c>
      <c r="I757" s="1">
        <f t="shared" si="33"/>
        <v>4058.6699999999996</v>
      </c>
      <c r="J757" t="str">
        <f t="shared" si="34"/>
        <v>High</v>
      </c>
      <c r="K757" s="1"/>
      <c r="L757" s="1">
        <v>0.06</v>
      </c>
      <c r="M757" s="1">
        <v>19.989999999999998</v>
      </c>
      <c r="N757" s="1" t="s">
        <v>33</v>
      </c>
      <c r="O757" s="1" t="s">
        <v>34</v>
      </c>
      <c r="P757" s="2">
        <v>41766</v>
      </c>
      <c r="Q757" s="2" t="b">
        <f t="shared" si="35"/>
        <v>0</v>
      </c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</row>
    <row r="758" spans="1:35" ht="14.25" customHeight="1" x14ac:dyDescent="0.2">
      <c r="A758" s="1">
        <v>962</v>
      </c>
      <c r="B758" s="1" t="s">
        <v>892</v>
      </c>
      <c r="C758" s="1" t="s">
        <v>30</v>
      </c>
      <c r="D758" s="2">
        <v>41764</v>
      </c>
      <c r="E758" s="1" t="s">
        <v>43</v>
      </c>
      <c r="F758" s="1" t="s">
        <v>642</v>
      </c>
      <c r="G758" s="1">
        <v>47</v>
      </c>
      <c r="H758" s="1">
        <v>68.81</v>
      </c>
      <c r="I758" s="1">
        <f t="shared" si="33"/>
        <v>3234.07</v>
      </c>
      <c r="J758" t="str">
        <f t="shared" si="34"/>
        <v>High</v>
      </c>
      <c r="K758" s="1"/>
      <c r="L758" s="1">
        <v>0.08</v>
      </c>
      <c r="M758" s="1">
        <v>60</v>
      </c>
      <c r="N758" s="1" t="s">
        <v>45</v>
      </c>
      <c r="O758" s="1" t="s">
        <v>46</v>
      </c>
      <c r="P758" s="2">
        <v>41766</v>
      </c>
      <c r="Q758" s="2" t="b">
        <f t="shared" si="35"/>
        <v>0</v>
      </c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</row>
    <row r="759" spans="1:35" ht="14.25" customHeight="1" x14ac:dyDescent="0.2">
      <c r="A759" s="1">
        <v>38503</v>
      </c>
      <c r="B759" s="1" t="s">
        <v>931</v>
      </c>
      <c r="C759" s="1" t="s">
        <v>30</v>
      </c>
      <c r="D759" s="2">
        <v>41764</v>
      </c>
      <c r="E759" s="1" t="s">
        <v>43</v>
      </c>
      <c r="F759" s="1" t="s">
        <v>923</v>
      </c>
      <c r="G759" s="1">
        <v>47</v>
      </c>
      <c r="H759" s="1">
        <v>120.98</v>
      </c>
      <c r="I759" s="1">
        <f t="shared" si="33"/>
        <v>5686.06</v>
      </c>
      <c r="J759" t="str">
        <f t="shared" si="34"/>
        <v>High</v>
      </c>
      <c r="K759" s="1"/>
      <c r="L759" s="1">
        <v>0.04</v>
      </c>
      <c r="M759" s="1">
        <v>3.99</v>
      </c>
      <c r="N759" s="1" t="s">
        <v>33</v>
      </c>
      <c r="O759" s="1" t="s">
        <v>34</v>
      </c>
      <c r="P759" s="2">
        <v>41764</v>
      </c>
      <c r="Q759" s="2" t="b">
        <f t="shared" si="35"/>
        <v>0</v>
      </c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</row>
    <row r="760" spans="1:35" ht="14.25" customHeight="1" x14ac:dyDescent="0.2">
      <c r="A760" s="1">
        <v>38503</v>
      </c>
      <c r="B760" s="1" t="s">
        <v>931</v>
      </c>
      <c r="C760" s="1" t="s">
        <v>51</v>
      </c>
      <c r="D760" s="2">
        <v>41764</v>
      </c>
      <c r="E760" s="1" t="s">
        <v>43</v>
      </c>
      <c r="F760" s="1" t="s">
        <v>752</v>
      </c>
      <c r="G760" s="1">
        <v>10</v>
      </c>
      <c r="H760" s="1">
        <v>55.99</v>
      </c>
      <c r="I760" s="1">
        <f t="shared" si="33"/>
        <v>559.9</v>
      </c>
      <c r="J760" t="str">
        <f t="shared" si="34"/>
        <v>Low</v>
      </c>
      <c r="K760" s="1"/>
      <c r="L760" s="1">
        <v>0.02</v>
      </c>
      <c r="M760" s="1">
        <v>5</v>
      </c>
      <c r="N760" s="1" t="s">
        <v>33</v>
      </c>
      <c r="O760" s="1" t="s">
        <v>84</v>
      </c>
      <c r="P760" s="2">
        <v>41764</v>
      </c>
      <c r="Q760" s="2" t="b">
        <f t="shared" si="35"/>
        <v>0</v>
      </c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</row>
    <row r="761" spans="1:35" ht="14.25" customHeight="1" x14ac:dyDescent="0.2">
      <c r="A761" s="1">
        <v>38503</v>
      </c>
      <c r="B761" s="1" t="s">
        <v>931</v>
      </c>
      <c r="C761" s="1" t="s">
        <v>51</v>
      </c>
      <c r="D761" s="2">
        <v>41764</v>
      </c>
      <c r="E761" s="1" t="s">
        <v>43</v>
      </c>
      <c r="F761" s="1" t="s">
        <v>932</v>
      </c>
      <c r="G761" s="1">
        <v>32</v>
      </c>
      <c r="H761" s="1">
        <v>23.99</v>
      </c>
      <c r="I761" s="1">
        <f t="shared" si="33"/>
        <v>767.68</v>
      </c>
      <c r="J761" t="str">
        <f t="shared" si="34"/>
        <v>Low</v>
      </c>
      <c r="K761" s="1"/>
      <c r="L761" s="1">
        <v>0.05</v>
      </c>
      <c r="M761" s="1">
        <v>15.68</v>
      </c>
      <c r="N761" s="1" t="s">
        <v>45</v>
      </c>
      <c r="O761" s="1" t="s">
        <v>46</v>
      </c>
      <c r="P761" s="2">
        <v>41768</v>
      </c>
      <c r="Q761" s="2" t="b">
        <f t="shared" si="35"/>
        <v>0</v>
      </c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</row>
    <row r="762" spans="1:35" ht="14.25" customHeight="1" x14ac:dyDescent="0.2">
      <c r="A762" s="1">
        <v>27938</v>
      </c>
      <c r="B762" s="1" t="s">
        <v>933</v>
      </c>
      <c r="C762" s="1" t="s">
        <v>51</v>
      </c>
      <c r="D762" s="2">
        <v>41764</v>
      </c>
      <c r="E762" s="1" t="s">
        <v>101</v>
      </c>
      <c r="F762" s="1" t="s">
        <v>869</v>
      </c>
      <c r="G762" s="1">
        <v>40</v>
      </c>
      <c r="H762" s="1">
        <v>30.98</v>
      </c>
      <c r="I762" s="1">
        <f t="shared" si="33"/>
        <v>1239.2</v>
      </c>
      <c r="J762" t="str">
        <f t="shared" si="34"/>
        <v>High</v>
      </c>
      <c r="K762" s="1"/>
      <c r="L762" s="1">
        <v>0.05</v>
      </c>
      <c r="M762" s="1">
        <v>9.18</v>
      </c>
      <c r="N762" s="1" t="s">
        <v>33</v>
      </c>
      <c r="O762" s="1" t="s">
        <v>34</v>
      </c>
      <c r="P762" s="2">
        <v>41764</v>
      </c>
      <c r="Q762" s="2" t="b">
        <f t="shared" si="35"/>
        <v>0</v>
      </c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</row>
    <row r="763" spans="1:35" ht="14.25" customHeight="1" x14ac:dyDescent="0.2">
      <c r="A763" s="1">
        <v>50850</v>
      </c>
      <c r="B763" s="1" t="s">
        <v>934</v>
      </c>
      <c r="C763" s="1" t="s">
        <v>30</v>
      </c>
      <c r="D763" s="2">
        <v>41765</v>
      </c>
      <c r="E763" s="1" t="s">
        <v>38</v>
      </c>
      <c r="F763" s="1" t="s">
        <v>533</v>
      </c>
      <c r="G763" s="1">
        <v>37</v>
      </c>
      <c r="H763" s="1">
        <v>40.98</v>
      </c>
      <c r="I763" s="1">
        <f t="shared" si="33"/>
        <v>1516.26</v>
      </c>
      <c r="J763" t="str">
        <f t="shared" si="34"/>
        <v>High</v>
      </c>
      <c r="K763" s="1"/>
      <c r="L763" s="1">
        <v>0</v>
      </c>
      <c r="M763" s="1">
        <v>7.47</v>
      </c>
      <c r="N763" s="1" t="s">
        <v>33</v>
      </c>
      <c r="O763" s="1" t="s">
        <v>34</v>
      </c>
      <c r="P763" s="2">
        <v>41767</v>
      </c>
      <c r="Q763" s="2" t="b">
        <f t="shared" si="35"/>
        <v>0</v>
      </c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</row>
    <row r="764" spans="1:35" ht="14.25" customHeight="1" x14ac:dyDescent="0.2">
      <c r="A764" s="1">
        <v>50850</v>
      </c>
      <c r="B764" s="1" t="s">
        <v>934</v>
      </c>
      <c r="C764" s="1" t="s">
        <v>21</v>
      </c>
      <c r="D764" s="2">
        <v>41765</v>
      </c>
      <c r="E764" s="1" t="s">
        <v>38</v>
      </c>
      <c r="F764" s="1" t="s">
        <v>472</v>
      </c>
      <c r="G764" s="1">
        <v>2</v>
      </c>
      <c r="H764" s="1">
        <v>417.4</v>
      </c>
      <c r="I764" s="1">
        <f t="shared" si="33"/>
        <v>834.8</v>
      </c>
      <c r="J764" t="str">
        <f t="shared" si="34"/>
        <v>Low</v>
      </c>
      <c r="K764" s="1"/>
      <c r="L764" s="1">
        <v>0.02</v>
      </c>
      <c r="M764" s="1">
        <v>75.23</v>
      </c>
      <c r="N764" s="1" t="s">
        <v>45</v>
      </c>
      <c r="O764" s="1" t="s">
        <v>63</v>
      </c>
      <c r="P764" s="2">
        <v>41766</v>
      </c>
      <c r="Q764" s="2" t="b">
        <f t="shared" si="35"/>
        <v>0</v>
      </c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</row>
    <row r="765" spans="1:35" ht="14.25" customHeight="1" x14ac:dyDescent="0.2">
      <c r="A765" s="1">
        <v>51873</v>
      </c>
      <c r="B765" s="1" t="s">
        <v>115</v>
      </c>
      <c r="C765" s="1" t="s">
        <v>30</v>
      </c>
      <c r="D765" s="2">
        <v>41765</v>
      </c>
      <c r="E765" s="1" t="s">
        <v>31</v>
      </c>
      <c r="F765" s="1" t="s">
        <v>54</v>
      </c>
      <c r="G765" s="1">
        <v>29</v>
      </c>
      <c r="H765" s="1">
        <v>9.11</v>
      </c>
      <c r="I765" s="1">
        <f t="shared" si="33"/>
        <v>264.19</v>
      </c>
      <c r="J765" t="str">
        <f t="shared" si="34"/>
        <v>Low</v>
      </c>
      <c r="K765" s="1"/>
      <c r="L765" s="1">
        <v>0.04</v>
      </c>
      <c r="M765" s="1">
        <v>2.15</v>
      </c>
      <c r="N765" s="1" t="s">
        <v>33</v>
      </c>
      <c r="O765" s="1" t="s">
        <v>55</v>
      </c>
      <c r="P765" s="2">
        <v>41765</v>
      </c>
      <c r="Q765" s="2" t="b">
        <f t="shared" si="35"/>
        <v>0</v>
      </c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</row>
    <row r="766" spans="1:35" ht="14.25" customHeight="1" x14ac:dyDescent="0.2">
      <c r="A766" s="1">
        <v>1665</v>
      </c>
      <c r="B766" s="1" t="s">
        <v>935</v>
      </c>
      <c r="C766" s="1" t="s">
        <v>30</v>
      </c>
      <c r="D766" s="2">
        <v>41766</v>
      </c>
      <c r="E766" s="1" t="s">
        <v>31</v>
      </c>
      <c r="F766" s="1" t="s">
        <v>114</v>
      </c>
      <c r="G766" s="1">
        <v>26</v>
      </c>
      <c r="H766" s="1">
        <v>35.99</v>
      </c>
      <c r="I766" s="1">
        <f t="shared" si="33"/>
        <v>935.74</v>
      </c>
      <c r="J766" t="str">
        <f t="shared" si="34"/>
        <v>Low</v>
      </c>
      <c r="K766" s="1"/>
      <c r="L766" s="1">
        <v>0.05</v>
      </c>
      <c r="M766" s="1">
        <v>1.1000000000000001</v>
      </c>
      <c r="N766" s="1" t="s">
        <v>33</v>
      </c>
      <c r="O766" s="1" t="s">
        <v>34</v>
      </c>
      <c r="P766" s="2">
        <v>41768</v>
      </c>
      <c r="Q766" s="2" t="b">
        <f t="shared" si="35"/>
        <v>0</v>
      </c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</row>
    <row r="767" spans="1:35" ht="14.25" customHeight="1" x14ac:dyDescent="0.2">
      <c r="A767" s="1">
        <v>41253</v>
      </c>
      <c r="B767" s="1" t="s">
        <v>936</v>
      </c>
      <c r="C767" s="1" t="s">
        <v>51</v>
      </c>
      <c r="D767" s="2">
        <v>41766</v>
      </c>
      <c r="E767" s="1" t="s">
        <v>101</v>
      </c>
      <c r="F767" s="1" t="s">
        <v>855</v>
      </c>
      <c r="G767" s="1">
        <v>5</v>
      </c>
      <c r="H767" s="1">
        <v>300.97000000000003</v>
      </c>
      <c r="I767" s="1">
        <f t="shared" si="33"/>
        <v>1504.8500000000001</v>
      </c>
      <c r="J767" t="str">
        <f t="shared" si="34"/>
        <v>High</v>
      </c>
      <c r="K767" s="1"/>
      <c r="L767" s="1">
        <v>7.0000000000000007E-2</v>
      </c>
      <c r="M767" s="1">
        <v>7.18</v>
      </c>
      <c r="N767" s="1" t="s">
        <v>33</v>
      </c>
      <c r="O767" s="1" t="s">
        <v>34</v>
      </c>
      <c r="P767" s="2">
        <v>41768</v>
      </c>
      <c r="Q767" s="2" t="b">
        <f t="shared" si="35"/>
        <v>0</v>
      </c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</row>
    <row r="768" spans="1:35" ht="14.25" customHeight="1" x14ac:dyDescent="0.2">
      <c r="A768" s="1">
        <v>38756</v>
      </c>
      <c r="B768" s="1" t="s">
        <v>153</v>
      </c>
      <c r="C768" s="1" t="s">
        <v>30</v>
      </c>
      <c r="D768" s="2">
        <v>41766</v>
      </c>
      <c r="E768" s="1" t="s">
        <v>38</v>
      </c>
      <c r="F768" s="1" t="s">
        <v>937</v>
      </c>
      <c r="G768" s="1">
        <v>43</v>
      </c>
      <c r="H768" s="1">
        <v>65.989999999999995</v>
      </c>
      <c r="I768" s="1">
        <f t="shared" si="33"/>
        <v>2837.5699999999997</v>
      </c>
      <c r="J768" t="str">
        <f t="shared" si="34"/>
        <v>High</v>
      </c>
      <c r="K768" s="1"/>
      <c r="L768" s="1">
        <v>0.09</v>
      </c>
      <c r="M768" s="1">
        <v>8.99</v>
      </c>
      <c r="N768" s="1" t="s">
        <v>25</v>
      </c>
      <c r="O768" s="1" t="s">
        <v>34</v>
      </c>
      <c r="P768" s="2">
        <v>41768</v>
      </c>
      <c r="Q768" s="2" t="b">
        <f t="shared" si="35"/>
        <v>0</v>
      </c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</row>
    <row r="769" spans="1:35" ht="14.25" customHeight="1" x14ac:dyDescent="0.2">
      <c r="A769" s="1">
        <v>24452</v>
      </c>
      <c r="B769" s="1" t="s">
        <v>938</v>
      </c>
      <c r="C769" s="1" t="s">
        <v>21</v>
      </c>
      <c r="D769" s="2">
        <v>41766</v>
      </c>
      <c r="E769" s="1" t="s">
        <v>31</v>
      </c>
      <c r="F769" s="1" t="s">
        <v>939</v>
      </c>
      <c r="G769" s="1">
        <v>18</v>
      </c>
      <c r="H769" s="1">
        <v>6.48</v>
      </c>
      <c r="I769" s="1">
        <f t="shared" si="33"/>
        <v>116.64000000000001</v>
      </c>
      <c r="J769" t="str">
        <f t="shared" si="34"/>
        <v>Low</v>
      </c>
      <c r="K769" s="1"/>
      <c r="L769" s="1">
        <v>0.08</v>
      </c>
      <c r="M769" s="1">
        <v>8.4</v>
      </c>
      <c r="N769" s="1" t="s">
        <v>33</v>
      </c>
      <c r="O769" s="1" t="s">
        <v>34</v>
      </c>
      <c r="P769" s="2">
        <v>41766</v>
      </c>
      <c r="Q769" s="2" t="b">
        <f t="shared" si="35"/>
        <v>0</v>
      </c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</row>
    <row r="770" spans="1:35" ht="14.25" customHeight="1" x14ac:dyDescent="0.2">
      <c r="A770" s="1">
        <v>1829</v>
      </c>
      <c r="B770" s="1" t="s">
        <v>744</v>
      </c>
      <c r="C770" s="1" t="s">
        <v>21</v>
      </c>
      <c r="D770" s="2">
        <v>41766</v>
      </c>
      <c r="E770" s="1" t="s">
        <v>31</v>
      </c>
      <c r="F770" s="1" t="s">
        <v>846</v>
      </c>
      <c r="G770" s="1">
        <v>48</v>
      </c>
      <c r="H770" s="1">
        <v>2.78</v>
      </c>
      <c r="I770" s="1">
        <f t="shared" ref="I770:I833" si="36">G770*H770</f>
        <v>133.44</v>
      </c>
      <c r="J770" t="str">
        <f t="shared" ref="J770:J833" si="37">IF(I770&lt;1000,"Low","High")</f>
        <v>Low</v>
      </c>
      <c r="K770" s="1"/>
      <c r="L770" s="1">
        <v>7.0000000000000007E-2</v>
      </c>
      <c r="M770" s="1">
        <v>1.49</v>
      </c>
      <c r="N770" s="1" t="s">
        <v>33</v>
      </c>
      <c r="O770" s="1" t="s">
        <v>34</v>
      </c>
      <c r="P770" s="2">
        <v>41767</v>
      </c>
      <c r="Q770" s="2" t="b">
        <f t="shared" ref="Q770:Q833" si="38">AND(N770="Express Air",O770="Large Box")</f>
        <v>0</v>
      </c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</row>
    <row r="771" spans="1:35" ht="14.25" customHeight="1" x14ac:dyDescent="0.2">
      <c r="A771" s="1">
        <v>11426</v>
      </c>
      <c r="B771" s="1" t="s">
        <v>320</v>
      </c>
      <c r="C771" s="1" t="s">
        <v>21</v>
      </c>
      <c r="D771" s="2">
        <v>41766</v>
      </c>
      <c r="E771" s="1" t="s">
        <v>101</v>
      </c>
      <c r="F771" s="1" t="s">
        <v>249</v>
      </c>
      <c r="G771" s="1">
        <v>19</v>
      </c>
      <c r="H771" s="1">
        <v>16.48</v>
      </c>
      <c r="I771" s="1">
        <f t="shared" si="36"/>
        <v>313.12</v>
      </c>
      <c r="J771" t="str">
        <f t="shared" si="37"/>
        <v>Low</v>
      </c>
      <c r="K771" s="1"/>
      <c r="L771" s="1">
        <v>0.01</v>
      </c>
      <c r="M771" s="1">
        <v>1.99</v>
      </c>
      <c r="N771" s="1" t="s">
        <v>33</v>
      </c>
      <c r="O771" s="1" t="s">
        <v>84</v>
      </c>
      <c r="P771" s="2">
        <v>41767</v>
      </c>
      <c r="Q771" s="2" t="b">
        <f t="shared" si="38"/>
        <v>0</v>
      </c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</row>
    <row r="772" spans="1:35" ht="14.25" customHeight="1" x14ac:dyDescent="0.2">
      <c r="A772" s="1">
        <v>33696</v>
      </c>
      <c r="B772" s="1" t="s">
        <v>179</v>
      </c>
      <c r="C772" s="1" t="s">
        <v>21</v>
      </c>
      <c r="D772" s="2">
        <v>41766</v>
      </c>
      <c r="E772" s="1" t="s">
        <v>31</v>
      </c>
      <c r="F772" s="1" t="s">
        <v>940</v>
      </c>
      <c r="G772" s="1">
        <v>2</v>
      </c>
      <c r="H772" s="1">
        <v>27.48</v>
      </c>
      <c r="I772" s="1">
        <f t="shared" si="36"/>
        <v>54.96</v>
      </c>
      <c r="J772" t="str">
        <f t="shared" si="37"/>
        <v>Low</v>
      </c>
      <c r="K772" s="1"/>
      <c r="L772" s="1">
        <v>0.06</v>
      </c>
      <c r="M772" s="1">
        <v>4</v>
      </c>
      <c r="N772" s="1" t="s">
        <v>33</v>
      </c>
      <c r="O772" s="1" t="s">
        <v>34</v>
      </c>
      <c r="P772" s="2">
        <v>41768</v>
      </c>
      <c r="Q772" s="2" t="b">
        <f t="shared" si="38"/>
        <v>0</v>
      </c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</row>
    <row r="773" spans="1:35" ht="14.25" customHeight="1" x14ac:dyDescent="0.2">
      <c r="A773" s="1">
        <v>17313</v>
      </c>
      <c r="B773" s="1" t="s">
        <v>872</v>
      </c>
      <c r="C773" s="1" t="s">
        <v>51</v>
      </c>
      <c r="D773" s="2">
        <v>41766</v>
      </c>
      <c r="E773" s="1" t="s">
        <v>31</v>
      </c>
      <c r="F773" s="1" t="s">
        <v>941</v>
      </c>
      <c r="G773" s="1">
        <v>27</v>
      </c>
      <c r="H773" s="1">
        <v>4.76</v>
      </c>
      <c r="I773" s="1">
        <f t="shared" si="36"/>
        <v>128.51999999999998</v>
      </c>
      <c r="J773" t="str">
        <f t="shared" si="37"/>
        <v>Low</v>
      </c>
      <c r="K773" s="1"/>
      <c r="L773" s="1">
        <v>7.0000000000000007E-2</v>
      </c>
      <c r="M773" s="1">
        <v>0.88</v>
      </c>
      <c r="N773" s="1" t="s">
        <v>25</v>
      </c>
      <c r="O773" s="1" t="s">
        <v>55</v>
      </c>
      <c r="P773" s="2">
        <v>41768</v>
      </c>
      <c r="Q773" s="2" t="b">
        <f t="shared" si="38"/>
        <v>0</v>
      </c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</row>
    <row r="774" spans="1:35" ht="14.25" customHeight="1" x14ac:dyDescent="0.2">
      <c r="A774" s="1">
        <v>7364</v>
      </c>
      <c r="B774" s="1" t="s">
        <v>942</v>
      </c>
      <c r="C774" s="1" t="s">
        <v>21</v>
      </c>
      <c r="D774" s="2">
        <v>41767</v>
      </c>
      <c r="E774" s="1" t="s">
        <v>31</v>
      </c>
      <c r="F774" s="1" t="s">
        <v>943</v>
      </c>
      <c r="G774" s="1">
        <v>15</v>
      </c>
      <c r="H774" s="1">
        <v>16.98</v>
      </c>
      <c r="I774" s="1">
        <f t="shared" si="36"/>
        <v>254.70000000000002</v>
      </c>
      <c r="J774" t="str">
        <f t="shared" si="37"/>
        <v>Low</v>
      </c>
      <c r="K774" s="1"/>
      <c r="L774" s="1">
        <v>0.09</v>
      </c>
      <c r="M774" s="1">
        <v>12.39</v>
      </c>
      <c r="N774" s="1" t="s">
        <v>33</v>
      </c>
      <c r="O774" s="1" t="s">
        <v>34</v>
      </c>
      <c r="P774" s="2">
        <v>41769</v>
      </c>
      <c r="Q774" s="2" t="b">
        <f t="shared" si="38"/>
        <v>0</v>
      </c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</row>
    <row r="775" spans="1:35" ht="14.25" customHeight="1" x14ac:dyDescent="0.2">
      <c r="A775" s="1">
        <v>55525</v>
      </c>
      <c r="B775" s="1" t="s">
        <v>345</v>
      </c>
      <c r="C775" s="1" t="s">
        <v>51</v>
      </c>
      <c r="D775" s="2">
        <v>41767</v>
      </c>
      <c r="E775" s="1" t="s">
        <v>43</v>
      </c>
      <c r="F775" s="1" t="s">
        <v>855</v>
      </c>
      <c r="G775" s="1">
        <v>1</v>
      </c>
      <c r="H775" s="1">
        <v>300.97000000000003</v>
      </c>
      <c r="I775" s="1">
        <f t="shared" si="36"/>
        <v>300.97000000000003</v>
      </c>
      <c r="J775" t="str">
        <f t="shared" si="37"/>
        <v>Low</v>
      </c>
      <c r="K775" s="1"/>
      <c r="L775" s="1">
        <v>0.06</v>
      </c>
      <c r="M775" s="1">
        <v>7.18</v>
      </c>
      <c r="N775" s="1" t="s">
        <v>33</v>
      </c>
      <c r="O775" s="1" t="s">
        <v>34</v>
      </c>
      <c r="P775" s="2">
        <v>41767</v>
      </c>
      <c r="Q775" s="2" t="b">
        <f t="shared" si="38"/>
        <v>0</v>
      </c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</row>
    <row r="776" spans="1:35" ht="14.25" customHeight="1" x14ac:dyDescent="0.2">
      <c r="A776" s="1">
        <v>30759</v>
      </c>
      <c r="B776" s="1" t="s">
        <v>825</v>
      </c>
      <c r="C776" s="1" t="s">
        <v>30</v>
      </c>
      <c r="D776" s="2">
        <v>41767</v>
      </c>
      <c r="E776" s="1" t="s">
        <v>22</v>
      </c>
      <c r="F776" s="1" t="s">
        <v>944</v>
      </c>
      <c r="G776" s="1">
        <v>2</v>
      </c>
      <c r="H776" s="1">
        <v>29.34</v>
      </c>
      <c r="I776" s="1">
        <f t="shared" si="36"/>
        <v>58.68</v>
      </c>
      <c r="J776" t="str">
        <f t="shared" si="37"/>
        <v>Low</v>
      </c>
      <c r="K776" s="1"/>
      <c r="L776" s="1">
        <v>0.03</v>
      </c>
      <c r="M776" s="1">
        <v>7.87</v>
      </c>
      <c r="N776" s="1" t="s">
        <v>33</v>
      </c>
      <c r="O776" s="1" t="s">
        <v>34</v>
      </c>
      <c r="P776" s="2">
        <v>41769</v>
      </c>
      <c r="Q776" s="2" t="b">
        <f t="shared" si="38"/>
        <v>0</v>
      </c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</row>
    <row r="777" spans="1:35" ht="14.25" customHeight="1" x14ac:dyDescent="0.2">
      <c r="A777" s="1">
        <v>4839</v>
      </c>
      <c r="B777" s="1" t="s">
        <v>501</v>
      </c>
      <c r="C777" s="1" t="s">
        <v>21</v>
      </c>
      <c r="D777" s="2">
        <v>41768</v>
      </c>
      <c r="E777" s="1" t="s">
        <v>38</v>
      </c>
      <c r="F777" s="1" t="s">
        <v>121</v>
      </c>
      <c r="G777" s="1">
        <v>24</v>
      </c>
      <c r="H777" s="1">
        <v>6.48</v>
      </c>
      <c r="I777" s="1">
        <f t="shared" si="36"/>
        <v>155.52000000000001</v>
      </c>
      <c r="J777" t="str">
        <f t="shared" si="37"/>
        <v>Low</v>
      </c>
      <c r="K777" s="1"/>
      <c r="L777" s="1">
        <v>0.05</v>
      </c>
      <c r="M777" s="1">
        <v>8.73</v>
      </c>
      <c r="N777" s="1" t="s">
        <v>33</v>
      </c>
      <c r="O777" s="1" t="s">
        <v>34</v>
      </c>
      <c r="P777" s="2">
        <v>41768</v>
      </c>
      <c r="Q777" s="2" t="b">
        <f t="shared" si="38"/>
        <v>0</v>
      </c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</row>
    <row r="778" spans="1:35" ht="14.25" customHeight="1" x14ac:dyDescent="0.2">
      <c r="A778" s="1">
        <v>42631</v>
      </c>
      <c r="B778" s="1" t="s">
        <v>526</v>
      </c>
      <c r="C778" s="1" t="s">
        <v>21</v>
      </c>
      <c r="D778" s="2">
        <v>41768</v>
      </c>
      <c r="E778" s="1" t="s">
        <v>31</v>
      </c>
      <c r="F778" s="1" t="s">
        <v>945</v>
      </c>
      <c r="G778" s="1">
        <v>41</v>
      </c>
      <c r="H778" s="1">
        <v>6.48</v>
      </c>
      <c r="I778" s="1">
        <f t="shared" si="36"/>
        <v>265.68</v>
      </c>
      <c r="J778" t="str">
        <f t="shared" si="37"/>
        <v>Low</v>
      </c>
      <c r="K778" s="1"/>
      <c r="L778" s="1">
        <v>0.05</v>
      </c>
      <c r="M778" s="1">
        <v>2.74</v>
      </c>
      <c r="N778" s="1" t="s">
        <v>33</v>
      </c>
      <c r="O778" s="1" t="s">
        <v>84</v>
      </c>
      <c r="P778" s="2">
        <v>41768</v>
      </c>
      <c r="Q778" s="2" t="b">
        <f t="shared" si="38"/>
        <v>0</v>
      </c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</row>
    <row r="779" spans="1:35" ht="14.25" customHeight="1" x14ac:dyDescent="0.2">
      <c r="A779" s="1">
        <v>42631</v>
      </c>
      <c r="B779" s="1" t="s">
        <v>526</v>
      </c>
      <c r="C779" s="1" t="s">
        <v>30</v>
      </c>
      <c r="D779" s="2">
        <v>41768</v>
      </c>
      <c r="E779" s="1" t="s">
        <v>31</v>
      </c>
      <c r="F779" s="1" t="s">
        <v>793</v>
      </c>
      <c r="G779" s="1">
        <v>18</v>
      </c>
      <c r="H779" s="1">
        <v>12.53</v>
      </c>
      <c r="I779" s="1">
        <f t="shared" si="36"/>
        <v>225.54</v>
      </c>
      <c r="J779" t="str">
        <f t="shared" si="37"/>
        <v>Low</v>
      </c>
      <c r="K779" s="1"/>
      <c r="L779" s="1">
        <v>0.09</v>
      </c>
      <c r="M779" s="1">
        <v>0.5</v>
      </c>
      <c r="N779" s="1" t="s">
        <v>33</v>
      </c>
      <c r="O779" s="1" t="s">
        <v>34</v>
      </c>
      <c r="P779" s="2">
        <v>41769</v>
      </c>
      <c r="Q779" s="2" t="b">
        <f t="shared" si="38"/>
        <v>0</v>
      </c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</row>
    <row r="780" spans="1:35" ht="14.25" customHeight="1" x14ac:dyDescent="0.2">
      <c r="A780" s="1">
        <v>42631</v>
      </c>
      <c r="B780" s="1" t="s">
        <v>526</v>
      </c>
      <c r="C780" s="1" t="s">
        <v>51</v>
      </c>
      <c r="D780" s="2">
        <v>41768</v>
      </c>
      <c r="E780" s="1" t="s">
        <v>31</v>
      </c>
      <c r="F780" s="1" t="s">
        <v>946</v>
      </c>
      <c r="G780" s="1">
        <v>44</v>
      </c>
      <c r="H780" s="1">
        <v>6.68</v>
      </c>
      <c r="I780" s="1">
        <f t="shared" si="36"/>
        <v>293.91999999999996</v>
      </c>
      <c r="J780" t="str">
        <f t="shared" si="37"/>
        <v>Low</v>
      </c>
      <c r="K780" s="1"/>
      <c r="L780" s="1">
        <v>0.06</v>
      </c>
      <c r="M780" s="1">
        <v>5.41</v>
      </c>
      <c r="N780" s="1" t="s">
        <v>33</v>
      </c>
      <c r="O780" s="1" t="s">
        <v>34</v>
      </c>
      <c r="P780" s="2">
        <v>41769</v>
      </c>
      <c r="Q780" s="2" t="b">
        <f t="shared" si="38"/>
        <v>0</v>
      </c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</row>
    <row r="781" spans="1:35" ht="14.25" customHeight="1" x14ac:dyDescent="0.2">
      <c r="A781" s="1">
        <v>42631</v>
      </c>
      <c r="B781" s="1" t="s">
        <v>526</v>
      </c>
      <c r="C781" s="1" t="s">
        <v>30</v>
      </c>
      <c r="D781" s="2">
        <v>41768</v>
      </c>
      <c r="E781" s="1" t="s">
        <v>31</v>
      </c>
      <c r="F781" s="1" t="s">
        <v>947</v>
      </c>
      <c r="G781" s="1">
        <v>22</v>
      </c>
      <c r="H781" s="1">
        <v>65.989999999999995</v>
      </c>
      <c r="I781" s="1">
        <f t="shared" si="36"/>
        <v>1451.78</v>
      </c>
      <c r="J781" t="str">
        <f t="shared" si="37"/>
        <v>High</v>
      </c>
      <c r="K781" s="1"/>
      <c r="L781" s="1">
        <v>0.08</v>
      </c>
      <c r="M781" s="1">
        <v>8.99</v>
      </c>
      <c r="N781" s="1" t="s">
        <v>25</v>
      </c>
      <c r="O781" s="1" t="s">
        <v>34</v>
      </c>
      <c r="P781" s="2">
        <v>41770</v>
      </c>
      <c r="Q781" s="2" t="b">
        <f t="shared" si="38"/>
        <v>0</v>
      </c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</row>
    <row r="782" spans="1:35" ht="14.25" customHeight="1" x14ac:dyDescent="0.2">
      <c r="A782" s="1">
        <v>45218</v>
      </c>
      <c r="B782" s="1" t="s">
        <v>102</v>
      </c>
      <c r="C782" s="1" t="s">
        <v>21</v>
      </c>
      <c r="D782" s="2">
        <v>41769</v>
      </c>
      <c r="E782" s="1" t="s">
        <v>43</v>
      </c>
      <c r="F782" s="1" t="s">
        <v>945</v>
      </c>
      <c r="G782" s="1">
        <v>49</v>
      </c>
      <c r="H782" s="1">
        <v>6.48</v>
      </c>
      <c r="I782" s="1">
        <f t="shared" si="36"/>
        <v>317.52000000000004</v>
      </c>
      <c r="J782" t="str">
        <f t="shared" si="37"/>
        <v>Low</v>
      </c>
      <c r="K782" s="1"/>
      <c r="L782" s="1">
        <v>0.08</v>
      </c>
      <c r="M782" s="1">
        <v>2.74</v>
      </c>
      <c r="N782" s="1" t="s">
        <v>33</v>
      </c>
      <c r="O782" s="1" t="s">
        <v>84</v>
      </c>
      <c r="P782" s="2">
        <v>41771</v>
      </c>
      <c r="Q782" s="2" t="b">
        <f t="shared" si="38"/>
        <v>0</v>
      </c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</row>
    <row r="783" spans="1:35" ht="14.25" customHeight="1" x14ac:dyDescent="0.2">
      <c r="A783" s="1">
        <v>39908</v>
      </c>
      <c r="B783" s="1" t="s">
        <v>899</v>
      </c>
      <c r="C783" s="1" t="s">
        <v>30</v>
      </c>
      <c r="D783" s="2">
        <v>41769</v>
      </c>
      <c r="E783" s="1" t="s">
        <v>43</v>
      </c>
      <c r="F783" s="1" t="s">
        <v>514</v>
      </c>
      <c r="G783" s="1">
        <v>23</v>
      </c>
      <c r="H783" s="1">
        <v>34.99</v>
      </c>
      <c r="I783" s="1">
        <f t="shared" si="36"/>
        <v>804.7700000000001</v>
      </c>
      <c r="J783" t="str">
        <f t="shared" si="37"/>
        <v>Low</v>
      </c>
      <c r="K783" s="1"/>
      <c r="L783" s="1">
        <v>0.1</v>
      </c>
      <c r="M783" s="1">
        <v>7.73</v>
      </c>
      <c r="N783" s="1" t="s">
        <v>33</v>
      </c>
      <c r="O783" s="1" t="s">
        <v>34</v>
      </c>
      <c r="P783" s="2">
        <v>41771</v>
      </c>
      <c r="Q783" s="2" t="b">
        <f t="shared" si="38"/>
        <v>0</v>
      </c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</row>
    <row r="784" spans="1:35" ht="14.25" customHeight="1" x14ac:dyDescent="0.2">
      <c r="A784" s="1">
        <v>49984</v>
      </c>
      <c r="B784" s="1" t="s">
        <v>948</v>
      </c>
      <c r="C784" s="1" t="s">
        <v>21</v>
      </c>
      <c r="D784" s="2">
        <v>41770</v>
      </c>
      <c r="E784" s="1" t="s">
        <v>43</v>
      </c>
      <c r="F784" s="1" t="s">
        <v>470</v>
      </c>
      <c r="G784" s="1">
        <v>14</v>
      </c>
      <c r="H784" s="1">
        <v>3.8</v>
      </c>
      <c r="I784" s="1">
        <f t="shared" si="36"/>
        <v>53.199999999999996</v>
      </c>
      <c r="J784" t="str">
        <f t="shared" si="37"/>
        <v>Low</v>
      </c>
      <c r="K784" s="1"/>
      <c r="L784" s="1">
        <v>0.02</v>
      </c>
      <c r="M784" s="1">
        <v>1.49</v>
      </c>
      <c r="N784" s="1" t="s">
        <v>33</v>
      </c>
      <c r="O784" s="1" t="s">
        <v>34</v>
      </c>
      <c r="P784" s="2">
        <v>41774</v>
      </c>
      <c r="Q784" s="2" t="b">
        <f t="shared" si="38"/>
        <v>0</v>
      </c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</row>
    <row r="785" spans="1:35" ht="14.25" customHeight="1" x14ac:dyDescent="0.2">
      <c r="A785" s="1">
        <v>49984</v>
      </c>
      <c r="B785" s="1" t="s">
        <v>948</v>
      </c>
      <c r="C785" s="1" t="s">
        <v>21</v>
      </c>
      <c r="D785" s="2">
        <v>41770</v>
      </c>
      <c r="E785" s="1" t="s">
        <v>43</v>
      </c>
      <c r="F785" s="1" t="s">
        <v>939</v>
      </c>
      <c r="G785" s="1">
        <v>32</v>
      </c>
      <c r="H785" s="1">
        <v>6.48</v>
      </c>
      <c r="I785" s="1">
        <f t="shared" si="36"/>
        <v>207.36</v>
      </c>
      <c r="J785" t="str">
        <f t="shared" si="37"/>
        <v>Low</v>
      </c>
      <c r="K785" s="1"/>
      <c r="L785" s="1">
        <v>0.02</v>
      </c>
      <c r="M785" s="1">
        <v>8.4</v>
      </c>
      <c r="N785" s="1" t="s">
        <v>33</v>
      </c>
      <c r="O785" s="1" t="s">
        <v>34</v>
      </c>
      <c r="P785" s="2">
        <v>41770</v>
      </c>
      <c r="Q785" s="2" t="b">
        <f t="shared" si="38"/>
        <v>0</v>
      </c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</row>
    <row r="786" spans="1:35" ht="14.25" customHeight="1" x14ac:dyDescent="0.2">
      <c r="A786" s="1">
        <v>56197</v>
      </c>
      <c r="B786" s="1" t="s">
        <v>949</v>
      </c>
      <c r="C786" s="1" t="s">
        <v>30</v>
      </c>
      <c r="D786" s="2">
        <v>41770</v>
      </c>
      <c r="E786" s="1" t="s">
        <v>31</v>
      </c>
      <c r="F786" s="1" t="s">
        <v>322</v>
      </c>
      <c r="G786" s="1">
        <v>11</v>
      </c>
      <c r="H786" s="1">
        <v>1.74</v>
      </c>
      <c r="I786" s="1">
        <f t="shared" si="36"/>
        <v>19.14</v>
      </c>
      <c r="J786" t="str">
        <f t="shared" si="37"/>
        <v>Low</v>
      </c>
      <c r="K786" s="1"/>
      <c r="L786" s="1">
        <v>0.09</v>
      </c>
      <c r="M786" s="1">
        <v>4.08</v>
      </c>
      <c r="N786" s="1" t="s">
        <v>25</v>
      </c>
      <c r="O786" s="1" t="s">
        <v>84</v>
      </c>
      <c r="P786" s="2">
        <v>41772</v>
      </c>
      <c r="Q786" s="2" t="b">
        <f t="shared" si="38"/>
        <v>0</v>
      </c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</row>
    <row r="787" spans="1:35" ht="14.25" customHeight="1" x14ac:dyDescent="0.2">
      <c r="A787" s="1">
        <v>56197</v>
      </c>
      <c r="B787" s="1" t="s">
        <v>949</v>
      </c>
      <c r="C787" s="1" t="s">
        <v>21</v>
      </c>
      <c r="D787" s="2">
        <v>41770</v>
      </c>
      <c r="E787" s="1" t="s">
        <v>31</v>
      </c>
      <c r="F787" s="1" t="s">
        <v>950</v>
      </c>
      <c r="G787" s="1">
        <v>45</v>
      </c>
      <c r="H787" s="1">
        <v>227.55</v>
      </c>
      <c r="I787" s="1">
        <f t="shared" si="36"/>
        <v>10239.75</v>
      </c>
      <c r="J787" t="str">
        <f t="shared" si="37"/>
        <v>High</v>
      </c>
      <c r="K787" s="1"/>
      <c r="L787" s="1">
        <v>0.08</v>
      </c>
      <c r="M787" s="1">
        <v>32.479999999999997</v>
      </c>
      <c r="N787" s="1" t="s">
        <v>45</v>
      </c>
      <c r="O787" s="1" t="s">
        <v>63</v>
      </c>
      <c r="P787" s="2">
        <v>41770</v>
      </c>
      <c r="Q787" s="2" t="b">
        <f t="shared" si="38"/>
        <v>0</v>
      </c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</row>
    <row r="788" spans="1:35" ht="14.25" customHeight="1" x14ac:dyDescent="0.2">
      <c r="A788" s="1">
        <v>23360</v>
      </c>
      <c r="B788" s="1" t="s">
        <v>308</v>
      </c>
      <c r="C788" s="1" t="s">
        <v>51</v>
      </c>
      <c r="D788" s="2">
        <v>41770</v>
      </c>
      <c r="E788" s="1" t="s">
        <v>43</v>
      </c>
      <c r="F788" s="1" t="s">
        <v>951</v>
      </c>
      <c r="G788" s="1">
        <v>30</v>
      </c>
      <c r="H788" s="1">
        <v>15.67</v>
      </c>
      <c r="I788" s="1">
        <f t="shared" si="36"/>
        <v>470.1</v>
      </c>
      <c r="J788" t="str">
        <f t="shared" si="37"/>
        <v>Low</v>
      </c>
      <c r="K788" s="1"/>
      <c r="L788" s="1">
        <v>0.01</v>
      </c>
      <c r="M788" s="1">
        <v>1.39</v>
      </c>
      <c r="N788" s="1" t="s">
        <v>25</v>
      </c>
      <c r="O788" s="1" t="s">
        <v>34</v>
      </c>
      <c r="P788" s="2">
        <v>41770</v>
      </c>
      <c r="Q788" s="2" t="b">
        <f t="shared" si="38"/>
        <v>0</v>
      </c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</row>
    <row r="789" spans="1:35" ht="14.25" customHeight="1" x14ac:dyDescent="0.2">
      <c r="A789" s="1">
        <v>33317</v>
      </c>
      <c r="B789" s="1" t="s">
        <v>801</v>
      </c>
      <c r="C789" s="1" t="s">
        <v>30</v>
      </c>
      <c r="D789" s="2">
        <v>41770</v>
      </c>
      <c r="E789" s="1" t="s">
        <v>31</v>
      </c>
      <c r="F789" s="1" t="s">
        <v>810</v>
      </c>
      <c r="G789" s="1">
        <v>35</v>
      </c>
      <c r="H789" s="1">
        <v>4.4800000000000004</v>
      </c>
      <c r="I789" s="1">
        <f t="shared" si="36"/>
        <v>156.80000000000001</v>
      </c>
      <c r="J789" t="str">
        <f t="shared" si="37"/>
        <v>Low</v>
      </c>
      <c r="K789" s="1"/>
      <c r="L789" s="1">
        <v>0.08</v>
      </c>
      <c r="M789" s="1">
        <v>49</v>
      </c>
      <c r="N789" s="1" t="s">
        <v>33</v>
      </c>
      <c r="O789" s="1" t="s">
        <v>26</v>
      </c>
      <c r="P789" s="2">
        <v>41772</v>
      </c>
      <c r="Q789" s="2" t="b">
        <f t="shared" si="38"/>
        <v>0</v>
      </c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</row>
    <row r="790" spans="1:35" ht="14.25" customHeight="1" x14ac:dyDescent="0.2">
      <c r="A790" s="1">
        <v>33317</v>
      </c>
      <c r="B790" s="1" t="s">
        <v>801</v>
      </c>
      <c r="C790" s="1" t="s">
        <v>21</v>
      </c>
      <c r="D790" s="2">
        <v>41770</v>
      </c>
      <c r="E790" s="1" t="s">
        <v>31</v>
      </c>
      <c r="F790" s="1" t="s">
        <v>385</v>
      </c>
      <c r="G790" s="1">
        <v>18</v>
      </c>
      <c r="H790" s="1">
        <v>2.16</v>
      </c>
      <c r="I790" s="1">
        <f t="shared" si="36"/>
        <v>38.880000000000003</v>
      </c>
      <c r="J790" t="str">
        <f t="shared" si="37"/>
        <v>Low</v>
      </c>
      <c r="K790" s="1"/>
      <c r="L790" s="1">
        <v>0.03</v>
      </c>
      <c r="M790" s="1">
        <v>6.05</v>
      </c>
      <c r="N790" s="1" t="s">
        <v>33</v>
      </c>
      <c r="O790" s="1" t="s">
        <v>34</v>
      </c>
      <c r="P790" s="2">
        <v>41771</v>
      </c>
      <c r="Q790" s="2" t="b">
        <f t="shared" si="38"/>
        <v>0</v>
      </c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</row>
    <row r="791" spans="1:35" ht="14.25" customHeight="1" x14ac:dyDescent="0.2">
      <c r="A791" s="1">
        <v>33317</v>
      </c>
      <c r="B791" s="1" t="s">
        <v>801</v>
      </c>
      <c r="C791" s="1" t="s">
        <v>21</v>
      </c>
      <c r="D791" s="2">
        <v>41770</v>
      </c>
      <c r="E791" s="1" t="s">
        <v>31</v>
      </c>
      <c r="F791" s="1" t="s">
        <v>474</v>
      </c>
      <c r="G791" s="1">
        <v>5</v>
      </c>
      <c r="H791" s="1">
        <v>9.7100000000000009</v>
      </c>
      <c r="I791" s="1">
        <f t="shared" si="36"/>
        <v>48.550000000000004</v>
      </c>
      <c r="J791" t="str">
        <f t="shared" si="37"/>
        <v>Low</v>
      </c>
      <c r="K791" s="1"/>
      <c r="L791" s="1">
        <v>0.03</v>
      </c>
      <c r="M791" s="1">
        <v>9.4499999999999993</v>
      </c>
      <c r="N791" s="1" t="s">
        <v>33</v>
      </c>
      <c r="O791" s="1" t="s">
        <v>34</v>
      </c>
      <c r="P791" s="2">
        <v>41770</v>
      </c>
      <c r="Q791" s="2" t="b">
        <f t="shared" si="38"/>
        <v>0</v>
      </c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</row>
    <row r="792" spans="1:35" ht="14.25" customHeight="1" x14ac:dyDescent="0.2">
      <c r="A792" s="1">
        <v>33317</v>
      </c>
      <c r="B792" s="1" t="s">
        <v>801</v>
      </c>
      <c r="C792" s="1" t="s">
        <v>21</v>
      </c>
      <c r="D792" s="2">
        <v>41770</v>
      </c>
      <c r="E792" s="1" t="s">
        <v>31</v>
      </c>
      <c r="F792" s="1" t="s">
        <v>952</v>
      </c>
      <c r="G792" s="1">
        <v>13</v>
      </c>
      <c r="H792" s="1">
        <v>55.99</v>
      </c>
      <c r="I792" s="1">
        <f t="shared" si="36"/>
        <v>727.87</v>
      </c>
      <c r="J792" t="str">
        <f t="shared" si="37"/>
        <v>Low</v>
      </c>
      <c r="K792" s="1"/>
      <c r="L792" s="1">
        <v>0.09</v>
      </c>
      <c r="M792" s="1">
        <v>1.25</v>
      </c>
      <c r="N792" s="1" t="s">
        <v>33</v>
      </c>
      <c r="O792" s="1" t="s">
        <v>84</v>
      </c>
      <c r="P792" s="2">
        <v>41772</v>
      </c>
      <c r="Q792" s="2" t="b">
        <f t="shared" si="38"/>
        <v>0</v>
      </c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</row>
    <row r="793" spans="1:35" ht="14.25" customHeight="1" x14ac:dyDescent="0.2">
      <c r="A793" s="1">
        <v>1314</v>
      </c>
      <c r="B793" s="1" t="s">
        <v>492</v>
      </c>
      <c r="C793" s="1" t="s">
        <v>21</v>
      </c>
      <c r="D793" s="2">
        <v>41771</v>
      </c>
      <c r="E793" s="1" t="s">
        <v>101</v>
      </c>
      <c r="F793" s="1" t="s">
        <v>953</v>
      </c>
      <c r="G793" s="1">
        <v>4</v>
      </c>
      <c r="H793" s="1">
        <v>9.27</v>
      </c>
      <c r="I793" s="1">
        <f t="shared" si="36"/>
        <v>37.08</v>
      </c>
      <c r="J793" t="str">
        <f t="shared" si="37"/>
        <v>Low</v>
      </c>
      <c r="K793" s="1"/>
      <c r="L793" s="1">
        <v>0</v>
      </c>
      <c r="M793" s="1">
        <v>4.3899999999999997</v>
      </c>
      <c r="N793" s="1" t="s">
        <v>33</v>
      </c>
      <c r="O793" s="1" t="s">
        <v>55</v>
      </c>
      <c r="P793" s="2">
        <v>41773</v>
      </c>
      <c r="Q793" s="2" t="b">
        <f t="shared" si="38"/>
        <v>0</v>
      </c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</row>
    <row r="794" spans="1:35" ht="14.25" customHeight="1" x14ac:dyDescent="0.2">
      <c r="A794" s="1">
        <v>48772</v>
      </c>
      <c r="B794" s="1" t="s">
        <v>280</v>
      </c>
      <c r="C794" s="1" t="s">
        <v>21</v>
      </c>
      <c r="D794" s="2">
        <v>41771</v>
      </c>
      <c r="E794" s="1" t="s">
        <v>101</v>
      </c>
      <c r="F794" s="1" t="s">
        <v>478</v>
      </c>
      <c r="G794" s="1">
        <v>44</v>
      </c>
      <c r="H794" s="1">
        <v>78.69</v>
      </c>
      <c r="I794" s="1">
        <f t="shared" si="36"/>
        <v>3462.3599999999997</v>
      </c>
      <c r="J794" t="str">
        <f t="shared" si="37"/>
        <v>High</v>
      </c>
      <c r="K794" s="1"/>
      <c r="L794" s="1">
        <v>0.09</v>
      </c>
      <c r="M794" s="1">
        <v>19.989999999999998</v>
      </c>
      <c r="N794" s="1" t="s">
        <v>33</v>
      </c>
      <c r="O794" s="1" t="s">
        <v>34</v>
      </c>
      <c r="P794" s="2">
        <v>41773</v>
      </c>
      <c r="Q794" s="2" t="b">
        <f t="shared" si="38"/>
        <v>0</v>
      </c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</row>
    <row r="795" spans="1:35" ht="14.25" customHeight="1" x14ac:dyDescent="0.2">
      <c r="A795" s="1">
        <v>48772</v>
      </c>
      <c r="B795" s="1" t="s">
        <v>280</v>
      </c>
      <c r="C795" s="1" t="s">
        <v>30</v>
      </c>
      <c r="D795" s="2">
        <v>41771</v>
      </c>
      <c r="E795" s="1" t="s">
        <v>101</v>
      </c>
      <c r="F795" s="1" t="s">
        <v>954</v>
      </c>
      <c r="G795" s="1">
        <v>11</v>
      </c>
      <c r="H795" s="1">
        <v>6.48</v>
      </c>
      <c r="I795" s="1">
        <f t="shared" si="36"/>
        <v>71.28</v>
      </c>
      <c r="J795" t="str">
        <f t="shared" si="37"/>
        <v>Low</v>
      </c>
      <c r="K795" s="1"/>
      <c r="L795" s="1">
        <v>0.01</v>
      </c>
      <c r="M795" s="1">
        <v>7.86</v>
      </c>
      <c r="N795" s="1" t="s">
        <v>33</v>
      </c>
      <c r="O795" s="1" t="s">
        <v>34</v>
      </c>
      <c r="P795" s="2">
        <v>41772</v>
      </c>
      <c r="Q795" s="2" t="b">
        <f t="shared" si="38"/>
        <v>0</v>
      </c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</row>
    <row r="796" spans="1:35" ht="14.25" customHeight="1" x14ac:dyDescent="0.2">
      <c r="A796" s="1">
        <v>48772</v>
      </c>
      <c r="B796" s="1" t="s">
        <v>280</v>
      </c>
      <c r="C796" s="1" t="s">
        <v>21</v>
      </c>
      <c r="D796" s="2">
        <v>41771</v>
      </c>
      <c r="E796" s="1" t="s">
        <v>101</v>
      </c>
      <c r="F796" s="1" t="s">
        <v>955</v>
      </c>
      <c r="G796" s="1">
        <v>18</v>
      </c>
      <c r="H796" s="1">
        <v>3.28</v>
      </c>
      <c r="I796" s="1">
        <f t="shared" si="36"/>
        <v>59.04</v>
      </c>
      <c r="J796" t="str">
        <f t="shared" si="37"/>
        <v>Low</v>
      </c>
      <c r="K796" s="1"/>
      <c r="L796" s="1">
        <v>0.08</v>
      </c>
      <c r="M796" s="1">
        <v>2.31</v>
      </c>
      <c r="N796" s="1" t="s">
        <v>33</v>
      </c>
      <c r="O796" s="1" t="s">
        <v>55</v>
      </c>
      <c r="P796" s="2">
        <v>41772</v>
      </c>
      <c r="Q796" s="2" t="b">
        <f t="shared" si="38"/>
        <v>0</v>
      </c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</row>
    <row r="797" spans="1:35" ht="14.25" customHeight="1" x14ac:dyDescent="0.2">
      <c r="A797" s="1">
        <v>48772</v>
      </c>
      <c r="B797" s="1" t="s">
        <v>280</v>
      </c>
      <c r="C797" s="1" t="s">
        <v>21</v>
      </c>
      <c r="D797" s="2">
        <v>41771</v>
      </c>
      <c r="E797" s="1" t="s">
        <v>101</v>
      </c>
      <c r="F797" s="1" t="s">
        <v>956</v>
      </c>
      <c r="G797" s="1">
        <v>12</v>
      </c>
      <c r="H797" s="1">
        <v>3.28</v>
      </c>
      <c r="I797" s="1">
        <f t="shared" si="36"/>
        <v>39.36</v>
      </c>
      <c r="J797" t="str">
        <f t="shared" si="37"/>
        <v>Low</v>
      </c>
      <c r="K797" s="1"/>
      <c r="L797" s="1">
        <v>0.05</v>
      </c>
      <c r="M797" s="1">
        <v>4.2</v>
      </c>
      <c r="N797" s="1" t="s">
        <v>33</v>
      </c>
      <c r="O797" s="1" t="s">
        <v>55</v>
      </c>
      <c r="P797" s="2">
        <v>41772</v>
      </c>
      <c r="Q797" s="2" t="b">
        <f t="shared" si="38"/>
        <v>0</v>
      </c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</row>
    <row r="798" spans="1:35" ht="14.25" customHeight="1" x14ac:dyDescent="0.2">
      <c r="A798" s="1">
        <v>48772</v>
      </c>
      <c r="B798" s="1" t="s">
        <v>280</v>
      </c>
      <c r="C798" s="1" t="s">
        <v>21</v>
      </c>
      <c r="D798" s="2">
        <v>41771</v>
      </c>
      <c r="E798" s="1" t="s">
        <v>101</v>
      </c>
      <c r="F798" s="1" t="s">
        <v>858</v>
      </c>
      <c r="G798" s="1">
        <v>10</v>
      </c>
      <c r="H798" s="1">
        <v>3.58</v>
      </c>
      <c r="I798" s="1">
        <f t="shared" si="36"/>
        <v>35.799999999999997</v>
      </c>
      <c r="J798" t="str">
        <f t="shared" si="37"/>
        <v>Low</v>
      </c>
      <c r="K798" s="1"/>
      <c r="L798" s="1">
        <v>0.05</v>
      </c>
      <c r="M798" s="1">
        <v>1.63</v>
      </c>
      <c r="N798" s="1" t="s">
        <v>33</v>
      </c>
      <c r="O798" s="1" t="s">
        <v>55</v>
      </c>
      <c r="P798" s="2">
        <v>41772</v>
      </c>
      <c r="Q798" s="2" t="b">
        <f t="shared" si="38"/>
        <v>0</v>
      </c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</row>
    <row r="799" spans="1:35" ht="14.25" customHeight="1" x14ac:dyDescent="0.2">
      <c r="A799" s="1">
        <v>27460</v>
      </c>
      <c r="B799" s="1" t="s">
        <v>432</v>
      </c>
      <c r="C799" s="1" t="s">
        <v>51</v>
      </c>
      <c r="D799" s="2">
        <v>41771</v>
      </c>
      <c r="E799" s="1" t="s">
        <v>22</v>
      </c>
      <c r="F799" s="1" t="s">
        <v>957</v>
      </c>
      <c r="G799" s="1">
        <v>7</v>
      </c>
      <c r="H799" s="1">
        <v>128.24</v>
      </c>
      <c r="I799" s="1">
        <f t="shared" si="36"/>
        <v>897.68000000000006</v>
      </c>
      <c r="J799" t="str">
        <f t="shared" si="37"/>
        <v>Low</v>
      </c>
      <c r="K799" s="1"/>
      <c r="L799" s="1">
        <v>0.08</v>
      </c>
      <c r="M799" s="1">
        <v>12.65</v>
      </c>
      <c r="N799" s="1" t="s">
        <v>33</v>
      </c>
      <c r="O799" s="1" t="s">
        <v>72</v>
      </c>
      <c r="P799" s="2">
        <v>41772</v>
      </c>
      <c r="Q799" s="2" t="b">
        <f t="shared" si="38"/>
        <v>0</v>
      </c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</row>
    <row r="800" spans="1:35" ht="14.25" customHeight="1" x14ac:dyDescent="0.2">
      <c r="A800" s="1">
        <v>27460</v>
      </c>
      <c r="B800" s="1" t="s">
        <v>432</v>
      </c>
      <c r="C800" s="1" t="s">
        <v>21</v>
      </c>
      <c r="D800" s="2">
        <v>41771</v>
      </c>
      <c r="E800" s="1" t="s">
        <v>22</v>
      </c>
      <c r="F800" s="1" t="s">
        <v>958</v>
      </c>
      <c r="G800" s="1">
        <v>31</v>
      </c>
      <c r="H800" s="1">
        <v>5.98</v>
      </c>
      <c r="I800" s="1">
        <f t="shared" si="36"/>
        <v>185.38000000000002</v>
      </c>
      <c r="J800" t="str">
        <f t="shared" si="37"/>
        <v>Low</v>
      </c>
      <c r="K800" s="1"/>
      <c r="L800" s="1">
        <v>0.04</v>
      </c>
      <c r="M800" s="1">
        <v>4.38</v>
      </c>
      <c r="N800" s="1" t="s">
        <v>33</v>
      </c>
      <c r="O800" s="1" t="s">
        <v>84</v>
      </c>
      <c r="P800" s="2">
        <v>41773</v>
      </c>
      <c r="Q800" s="2" t="b">
        <f t="shared" si="38"/>
        <v>0</v>
      </c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</row>
    <row r="801" spans="1:35" ht="14.25" customHeight="1" x14ac:dyDescent="0.2">
      <c r="A801" s="1">
        <v>4647</v>
      </c>
      <c r="B801" s="1" t="s">
        <v>959</v>
      </c>
      <c r="C801" s="1" t="s">
        <v>51</v>
      </c>
      <c r="D801" s="2">
        <v>41772</v>
      </c>
      <c r="E801" s="1" t="s">
        <v>101</v>
      </c>
      <c r="F801" s="1" t="s">
        <v>163</v>
      </c>
      <c r="G801" s="1">
        <v>7</v>
      </c>
      <c r="H801" s="1">
        <v>162.93</v>
      </c>
      <c r="I801" s="1">
        <f t="shared" si="36"/>
        <v>1140.51</v>
      </c>
      <c r="J801" t="str">
        <f t="shared" si="37"/>
        <v>High</v>
      </c>
      <c r="K801" s="1"/>
      <c r="L801" s="1">
        <v>0.03</v>
      </c>
      <c r="M801" s="1">
        <v>19.989999999999998</v>
      </c>
      <c r="N801" s="1" t="s">
        <v>33</v>
      </c>
      <c r="O801" s="1" t="s">
        <v>34</v>
      </c>
      <c r="P801" s="2">
        <v>41773</v>
      </c>
      <c r="Q801" s="2" t="b">
        <f t="shared" si="38"/>
        <v>0</v>
      </c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</row>
    <row r="802" spans="1:35" ht="14.25" customHeight="1" x14ac:dyDescent="0.2">
      <c r="A802" s="1">
        <v>4647</v>
      </c>
      <c r="B802" s="1" t="s">
        <v>959</v>
      </c>
      <c r="C802" s="1" t="s">
        <v>51</v>
      </c>
      <c r="D802" s="2">
        <v>41772</v>
      </c>
      <c r="E802" s="1" t="s">
        <v>101</v>
      </c>
      <c r="F802" s="1" t="s">
        <v>265</v>
      </c>
      <c r="G802" s="1">
        <v>6</v>
      </c>
      <c r="H802" s="1">
        <v>11.58</v>
      </c>
      <c r="I802" s="1">
        <f t="shared" si="36"/>
        <v>69.48</v>
      </c>
      <c r="J802" t="str">
        <f t="shared" si="37"/>
        <v>Low</v>
      </c>
      <c r="K802" s="1"/>
      <c r="L802" s="1">
        <v>0.01</v>
      </c>
      <c r="M802" s="1">
        <v>5.72</v>
      </c>
      <c r="N802" s="1" t="s">
        <v>33</v>
      </c>
      <c r="O802" s="1" t="s">
        <v>34</v>
      </c>
      <c r="P802" s="2">
        <v>41774</v>
      </c>
      <c r="Q802" s="2" t="b">
        <f t="shared" si="38"/>
        <v>0</v>
      </c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</row>
    <row r="803" spans="1:35" ht="14.25" customHeight="1" x14ac:dyDescent="0.2">
      <c r="A803" s="1">
        <v>4647</v>
      </c>
      <c r="B803" s="1" t="s">
        <v>959</v>
      </c>
      <c r="C803" s="1" t="s">
        <v>30</v>
      </c>
      <c r="D803" s="2">
        <v>41772</v>
      </c>
      <c r="E803" s="1" t="s">
        <v>101</v>
      </c>
      <c r="F803" s="1" t="s">
        <v>748</v>
      </c>
      <c r="G803" s="1">
        <v>33</v>
      </c>
      <c r="H803" s="1">
        <v>55.99</v>
      </c>
      <c r="I803" s="1">
        <f t="shared" si="36"/>
        <v>1847.67</v>
      </c>
      <c r="J803" t="str">
        <f t="shared" si="37"/>
        <v>High</v>
      </c>
      <c r="K803" s="1"/>
      <c r="L803" s="1">
        <v>0.01</v>
      </c>
      <c r="M803" s="1">
        <v>5</v>
      </c>
      <c r="N803" s="1" t="s">
        <v>33</v>
      </c>
      <c r="O803" s="1" t="s">
        <v>84</v>
      </c>
      <c r="P803" s="2">
        <v>41773</v>
      </c>
      <c r="Q803" s="2" t="b">
        <f t="shared" si="38"/>
        <v>0</v>
      </c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</row>
    <row r="804" spans="1:35" ht="14.25" customHeight="1" x14ac:dyDescent="0.2">
      <c r="A804" s="1">
        <v>4647</v>
      </c>
      <c r="B804" s="1" t="s">
        <v>959</v>
      </c>
      <c r="C804" s="1" t="s">
        <v>51</v>
      </c>
      <c r="D804" s="2">
        <v>41772</v>
      </c>
      <c r="E804" s="1" t="s">
        <v>101</v>
      </c>
      <c r="F804" s="1" t="s">
        <v>960</v>
      </c>
      <c r="G804" s="1">
        <v>34</v>
      </c>
      <c r="H804" s="1">
        <v>13.9</v>
      </c>
      <c r="I804" s="1">
        <f t="shared" si="36"/>
        <v>472.6</v>
      </c>
      <c r="J804" t="str">
        <f t="shared" si="37"/>
        <v>Low</v>
      </c>
      <c r="K804" s="1"/>
      <c r="L804" s="1">
        <v>0.06</v>
      </c>
      <c r="M804" s="1">
        <v>7.59</v>
      </c>
      <c r="N804" s="1" t="s">
        <v>33</v>
      </c>
      <c r="O804" s="1" t="s">
        <v>84</v>
      </c>
      <c r="P804" s="2">
        <v>41773</v>
      </c>
      <c r="Q804" s="2" t="b">
        <f t="shared" si="38"/>
        <v>0</v>
      </c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</row>
    <row r="805" spans="1:35" ht="14.25" customHeight="1" x14ac:dyDescent="0.2">
      <c r="A805" s="1">
        <v>36358</v>
      </c>
      <c r="B805" s="1" t="s">
        <v>98</v>
      </c>
      <c r="C805" s="1" t="s">
        <v>51</v>
      </c>
      <c r="D805" s="2">
        <v>41772</v>
      </c>
      <c r="E805" s="1" t="s">
        <v>22</v>
      </c>
      <c r="F805" s="1" t="s">
        <v>165</v>
      </c>
      <c r="G805" s="1">
        <v>28</v>
      </c>
      <c r="H805" s="1">
        <v>30.42</v>
      </c>
      <c r="I805" s="1">
        <f t="shared" si="36"/>
        <v>851.76</v>
      </c>
      <c r="J805" t="str">
        <f t="shared" si="37"/>
        <v>Low</v>
      </c>
      <c r="K805" s="1"/>
      <c r="L805" s="1">
        <v>0.06</v>
      </c>
      <c r="M805" s="1">
        <v>8.65</v>
      </c>
      <c r="N805" s="1" t="s">
        <v>33</v>
      </c>
      <c r="O805" s="1" t="s">
        <v>34</v>
      </c>
      <c r="P805" s="2">
        <v>41774</v>
      </c>
      <c r="Q805" s="2" t="b">
        <f t="shared" si="38"/>
        <v>0</v>
      </c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</row>
    <row r="806" spans="1:35" ht="14.25" customHeight="1" x14ac:dyDescent="0.2">
      <c r="A806" s="1">
        <v>36358</v>
      </c>
      <c r="B806" s="1" t="s">
        <v>98</v>
      </c>
      <c r="C806" s="1" t="s">
        <v>21</v>
      </c>
      <c r="D806" s="2">
        <v>41772</v>
      </c>
      <c r="E806" s="1" t="s">
        <v>22</v>
      </c>
      <c r="F806" s="1" t="s">
        <v>759</v>
      </c>
      <c r="G806" s="1">
        <v>22</v>
      </c>
      <c r="H806" s="1">
        <v>37.94</v>
      </c>
      <c r="I806" s="1">
        <f t="shared" si="36"/>
        <v>834.68</v>
      </c>
      <c r="J806" t="str">
        <f t="shared" si="37"/>
        <v>Low</v>
      </c>
      <c r="K806" s="1"/>
      <c r="L806" s="1">
        <v>0.02</v>
      </c>
      <c r="M806" s="1">
        <v>5.08</v>
      </c>
      <c r="N806" s="1" t="s">
        <v>33</v>
      </c>
      <c r="O806" s="1" t="s">
        <v>55</v>
      </c>
      <c r="P806" s="2">
        <v>41773</v>
      </c>
      <c r="Q806" s="2" t="b">
        <f t="shared" si="38"/>
        <v>0</v>
      </c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</row>
    <row r="807" spans="1:35" ht="14.25" customHeight="1" x14ac:dyDescent="0.2">
      <c r="A807" s="1">
        <v>13314</v>
      </c>
      <c r="B807" s="1" t="s">
        <v>171</v>
      </c>
      <c r="C807" s="1" t="s">
        <v>51</v>
      </c>
      <c r="D807" s="2">
        <v>41772</v>
      </c>
      <c r="E807" s="1" t="s">
        <v>31</v>
      </c>
      <c r="F807" s="1" t="s">
        <v>961</v>
      </c>
      <c r="G807" s="1">
        <v>34</v>
      </c>
      <c r="H807" s="1">
        <v>2.62</v>
      </c>
      <c r="I807" s="1">
        <f t="shared" si="36"/>
        <v>89.08</v>
      </c>
      <c r="J807" t="str">
        <f t="shared" si="37"/>
        <v>Low</v>
      </c>
      <c r="K807" s="1"/>
      <c r="L807" s="1">
        <v>0.08</v>
      </c>
      <c r="M807" s="1">
        <v>0.8</v>
      </c>
      <c r="N807" s="1" t="s">
        <v>25</v>
      </c>
      <c r="O807" s="1" t="s">
        <v>55</v>
      </c>
      <c r="P807" s="2">
        <v>41774</v>
      </c>
      <c r="Q807" s="2" t="b">
        <f t="shared" si="38"/>
        <v>0</v>
      </c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</row>
    <row r="808" spans="1:35" ht="14.25" customHeight="1" x14ac:dyDescent="0.2">
      <c r="A808" s="1">
        <v>28097</v>
      </c>
      <c r="B808" s="1" t="s">
        <v>962</v>
      </c>
      <c r="C808" s="1" t="s">
        <v>51</v>
      </c>
      <c r="D808" s="2">
        <v>41772</v>
      </c>
      <c r="E808" s="1" t="s">
        <v>101</v>
      </c>
      <c r="F808" s="1" t="s">
        <v>963</v>
      </c>
      <c r="G808" s="1">
        <v>43</v>
      </c>
      <c r="H808" s="1">
        <v>55.5</v>
      </c>
      <c r="I808" s="1">
        <f t="shared" si="36"/>
        <v>2386.5</v>
      </c>
      <c r="J808" t="str">
        <f t="shared" si="37"/>
        <v>High</v>
      </c>
      <c r="K808" s="1"/>
      <c r="L808" s="1">
        <v>0</v>
      </c>
      <c r="M808" s="1">
        <v>52.2</v>
      </c>
      <c r="N808" s="1" t="s">
        <v>33</v>
      </c>
      <c r="O808" s="1" t="s">
        <v>72</v>
      </c>
      <c r="P808" s="2">
        <v>41775</v>
      </c>
      <c r="Q808" s="2" t="b">
        <f t="shared" si="38"/>
        <v>0</v>
      </c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</row>
    <row r="809" spans="1:35" ht="14.25" customHeight="1" x14ac:dyDescent="0.2">
      <c r="A809" s="1">
        <v>36609</v>
      </c>
      <c r="B809" s="1" t="s">
        <v>825</v>
      </c>
      <c r="C809" s="1" t="s">
        <v>51</v>
      </c>
      <c r="D809" s="2">
        <v>41773</v>
      </c>
      <c r="E809" s="1" t="s">
        <v>22</v>
      </c>
      <c r="F809" s="1" t="s">
        <v>964</v>
      </c>
      <c r="G809" s="1">
        <v>8</v>
      </c>
      <c r="H809" s="1">
        <v>4.9800000000000004</v>
      </c>
      <c r="I809" s="1">
        <f t="shared" si="36"/>
        <v>39.840000000000003</v>
      </c>
      <c r="J809" t="str">
        <f t="shared" si="37"/>
        <v>Low</v>
      </c>
      <c r="K809" s="1"/>
      <c r="L809" s="1">
        <v>0</v>
      </c>
      <c r="M809" s="1">
        <v>5.49</v>
      </c>
      <c r="N809" s="1" t="s">
        <v>33</v>
      </c>
      <c r="O809" s="1" t="s">
        <v>34</v>
      </c>
      <c r="P809" s="2">
        <v>41775</v>
      </c>
      <c r="Q809" s="2" t="b">
        <f t="shared" si="38"/>
        <v>0</v>
      </c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</row>
    <row r="810" spans="1:35" ht="14.25" customHeight="1" x14ac:dyDescent="0.2">
      <c r="A810" s="1">
        <v>43553</v>
      </c>
      <c r="B810" s="1" t="s">
        <v>965</v>
      </c>
      <c r="C810" s="1" t="s">
        <v>30</v>
      </c>
      <c r="D810" s="2">
        <v>41773</v>
      </c>
      <c r="E810" s="1" t="s">
        <v>22</v>
      </c>
      <c r="F810" s="1" t="s">
        <v>966</v>
      </c>
      <c r="G810" s="1">
        <v>29</v>
      </c>
      <c r="H810" s="1">
        <v>4.9800000000000004</v>
      </c>
      <c r="I810" s="1">
        <f t="shared" si="36"/>
        <v>144.42000000000002</v>
      </c>
      <c r="J810" t="str">
        <f t="shared" si="37"/>
        <v>Low</v>
      </c>
      <c r="K810" s="1"/>
      <c r="L810" s="1">
        <v>0.05</v>
      </c>
      <c r="M810" s="1">
        <v>4.72</v>
      </c>
      <c r="N810" s="1" t="s">
        <v>33</v>
      </c>
      <c r="O810" s="1" t="s">
        <v>34</v>
      </c>
      <c r="P810" s="2">
        <v>41774</v>
      </c>
      <c r="Q810" s="2" t="b">
        <f t="shared" si="38"/>
        <v>0</v>
      </c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</row>
    <row r="811" spans="1:35" ht="14.25" customHeight="1" x14ac:dyDescent="0.2">
      <c r="A811" s="1">
        <v>10659</v>
      </c>
      <c r="B811" s="1" t="s">
        <v>361</v>
      </c>
      <c r="C811" s="1" t="s">
        <v>30</v>
      </c>
      <c r="D811" s="2">
        <v>41773</v>
      </c>
      <c r="E811" s="1" t="s">
        <v>38</v>
      </c>
      <c r="F811" s="1" t="s">
        <v>886</v>
      </c>
      <c r="G811" s="1">
        <v>40</v>
      </c>
      <c r="H811" s="1">
        <v>5.28</v>
      </c>
      <c r="I811" s="1">
        <f t="shared" si="36"/>
        <v>211.20000000000002</v>
      </c>
      <c r="J811" t="str">
        <f t="shared" si="37"/>
        <v>Low</v>
      </c>
      <c r="K811" s="1"/>
      <c r="L811" s="1">
        <v>0</v>
      </c>
      <c r="M811" s="1">
        <v>5.61</v>
      </c>
      <c r="N811" s="1" t="s">
        <v>33</v>
      </c>
      <c r="O811" s="1" t="s">
        <v>34</v>
      </c>
      <c r="P811" s="2">
        <v>41773</v>
      </c>
      <c r="Q811" s="2" t="b">
        <f t="shared" si="38"/>
        <v>0</v>
      </c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</row>
    <row r="812" spans="1:35" ht="14.25" customHeight="1" x14ac:dyDescent="0.2">
      <c r="A812" s="1">
        <v>8132</v>
      </c>
      <c r="B812" s="1" t="s">
        <v>967</v>
      </c>
      <c r="C812" s="1" t="s">
        <v>51</v>
      </c>
      <c r="D812" s="2">
        <v>41773</v>
      </c>
      <c r="E812" s="1" t="s">
        <v>43</v>
      </c>
      <c r="F812" s="1" t="s">
        <v>968</v>
      </c>
      <c r="G812" s="1">
        <v>46</v>
      </c>
      <c r="H812" s="1">
        <v>4.8899999999999997</v>
      </c>
      <c r="I812" s="1">
        <f t="shared" si="36"/>
        <v>224.94</v>
      </c>
      <c r="J812" t="str">
        <f t="shared" si="37"/>
        <v>Low</v>
      </c>
      <c r="K812" s="1"/>
      <c r="L812" s="1">
        <v>0.08</v>
      </c>
      <c r="M812" s="1">
        <v>4.93</v>
      </c>
      <c r="N812" s="1" t="s">
        <v>25</v>
      </c>
      <c r="O812" s="1" t="s">
        <v>84</v>
      </c>
      <c r="P812" s="2">
        <v>41773</v>
      </c>
      <c r="Q812" s="2" t="b">
        <f t="shared" si="38"/>
        <v>0</v>
      </c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</row>
    <row r="813" spans="1:35" ht="14.25" customHeight="1" x14ac:dyDescent="0.2">
      <c r="A813" s="1">
        <v>8132</v>
      </c>
      <c r="B813" s="1" t="s">
        <v>967</v>
      </c>
      <c r="C813" s="1" t="s">
        <v>30</v>
      </c>
      <c r="D813" s="2">
        <v>41773</v>
      </c>
      <c r="E813" s="1" t="s">
        <v>43</v>
      </c>
      <c r="F813" s="1" t="s">
        <v>969</v>
      </c>
      <c r="G813" s="1">
        <v>45</v>
      </c>
      <c r="H813" s="1">
        <v>6.68</v>
      </c>
      <c r="I813" s="1">
        <f t="shared" si="36"/>
        <v>300.59999999999997</v>
      </c>
      <c r="J813" t="str">
        <f t="shared" si="37"/>
        <v>Low</v>
      </c>
      <c r="K813" s="1"/>
      <c r="L813" s="1">
        <v>7.0000000000000007E-2</v>
      </c>
      <c r="M813" s="1">
        <v>6.92</v>
      </c>
      <c r="N813" s="1" t="s">
        <v>33</v>
      </c>
      <c r="O813" s="1" t="s">
        <v>34</v>
      </c>
      <c r="P813" s="2">
        <v>41780</v>
      </c>
      <c r="Q813" s="2" t="b">
        <f t="shared" si="38"/>
        <v>0</v>
      </c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</row>
    <row r="814" spans="1:35" ht="14.25" customHeight="1" x14ac:dyDescent="0.2">
      <c r="A814" s="1">
        <v>30852</v>
      </c>
      <c r="B814" s="1" t="s">
        <v>290</v>
      </c>
      <c r="C814" s="1" t="s">
        <v>21</v>
      </c>
      <c r="D814" s="2">
        <v>41773</v>
      </c>
      <c r="E814" s="1" t="s">
        <v>38</v>
      </c>
      <c r="F814" s="1" t="s">
        <v>349</v>
      </c>
      <c r="G814" s="1">
        <v>35</v>
      </c>
      <c r="H814" s="1">
        <v>95.99</v>
      </c>
      <c r="I814" s="1">
        <f t="shared" si="36"/>
        <v>3359.6499999999996</v>
      </c>
      <c r="J814" t="str">
        <f t="shared" si="37"/>
        <v>High</v>
      </c>
      <c r="K814" s="1"/>
      <c r="L814" s="1">
        <v>0.01</v>
      </c>
      <c r="M814" s="1">
        <v>4.9000000000000004</v>
      </c>
      <c r="N814" s="1" t="s">
        <v>33</v>
      </c>
      <c r="O814" s="1" t="s">
        <v>34</v>
      </c>
      <c r="P814" s="2">
        <v>41774</v>
      </c>
      <c r="Q814" s="2" t="b">
        <f t="shared" si="38"/>
        <v>0</v>
      </c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</row>
    <row r="815" spans="1:35" ht="14.25" customHeight="1" x14ac:dyDescent="0.2">
      <c r="A815" s="1">
        <v>10048</v>
      </c>
      <c r="B815" s="1" t="s">
        <v>381</v>
      </c>
      <c r="C815" s="1" t="s">
        <v>30</v>
      </c>
      <c r="D815" s="2">
        <v>41774</v>
      </c>
      <c r="E815" s="1" t="s">
        <v>22</v>
      </c>
      <c r="F815" s="1" t="s">
        <v>311</v>
      </c>
      <c r="G815" s="1">
        <v>46</v>
      </c>
      <c r="H815" s="1">
        <v>73.98</v>
      </c>
      <c r="I815" s="1">
        <f t="shared" si="36"/>
        <v>3403.0800000000004</v>
      </c>
      <c r="J815" t="str">
        <f t="shared" si="37"/>
        <v>High</v>
      </c>
      <c r="K815" s="1"/>
      <c r="L815" s="1">
        <v>0.08</v>
      </c>
      <c r="M815" s="1">
        <v>4</v>
      </c>
      <c r="N815" s="1" t="s">
        <v>33</v>
      </c>
      <c r="O815" s="1" t="s">
        <v>34</v>
      </c>
      <c r="P815" s="2">
        <v>41777</v>
      </c>
      <c r="Q815" s="2" t="b">
        <f t="shared" si="38"/>
        <v>0</v>
      </c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</row>
    <row r="816" spans="1:35" ht="14.25" customHeight="1" x14ac:dyDescent="0.2">
      <c r="A816" s="1">
        <v>10048</v>
      </c>
      <c r="B816" s="1" t="s">
        <v>381</v>
      </c>
      <c r="C816" s="1" t="s">
        <v>51</v>
      </c>
      <c r="D816" s="2">
        <v>41774</v>
      </c>
      <c r="E816" s="1" t="s">
        <v>22</v>
      </c>
      <c r="F816" s="1" t="s">
        <v>970</v>
      </c>
      <c r="G816" s="1">
        <v>21</v>
      </c>
      <c r="H816" s="1">
        <v>3.68</v>
      </c>
      <c r="I816" s="1">
        <f t="shared" si="36"/>
        <v>77.28</v>
      </c>
      <c r="J816" t="str">
        <f t="shared" si="37"/>
        <v>Low</v>
      </c>
      <c r="K816" s="1"/>
      <c r="L816" s="1">
        <v>0.02</v>
      </c>
      <c r="M816" s="1">
        <v>1.32</v>
      </c>
      <c r="N816" s="1" t="s">
        <v>33</v>
      </c>
      <c r="O816" s="1" t="s">
        <v>55</v>
      </c>
      <c r="P816" s="2">
        <v>41776</v>
      </c>
      <c r="Q816" s="2" t="b">
        <f t="shared" si="38"/>
        <v>0</v>
      </c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</row>
    <row r="817" spans="1:35" ht="14.25" customHeight="1" x14ac:dyDescent="0.2">
      <c r="A817" s="1">
        <v>6656</v>
      </c>
      <c r="B817" s="1" t="s">
        <v>588</v>
      </c>
      <c r="C817" s="1" t="s">
        <v>51</v>
      </c>
      <c r="D817" s="2">
        <v>41774</v>
      </c>
      <c r="E817" s="1" t="s">
        <v>38</v>
      </c>
      <c r="F817" s="1" t="s">
        <v>971</v>
      </c>
      <c r="G817" s="1">
        <v>45</v>
      </c>
      <c r="H817" s="1">
        <v>39.06</v>
      </c>
      <c r="I817" s="1">
        <f t="shared" si="36"/>
        <v>1757.7</v>
      </c>
      <c r="J817" t="str">
        <f t="shared" si="37"/>
        <v>High</v>
      </c>
      <c r="K817" s="1"/>
      <c r="L817" s="1">
        <v>0.02</v>
      </c>
      <c r="M817" s="1">
        <v>10.55</v>
      </c>
      <c r="N817" s="1" t="s">
        <v>33</v>
      </c>
      <c r="O817" s="1" t="s">
        <v>34</v>
      </c>
      <c r="P817" s="2">
        <v>41774</v>
      </c>
      <c r="Q817" s="2" t="b">
        <f t="shared" si="38"/>
        <v>0</v>
      </c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</row>
    <row r="818" spans="1:35" ht="14.25" customHeight="1" x14ac:dyDescent="0.2">
      <c r="A818" s="1">
        <v>6656</v>
      </c>
      <c r="B818" s="1" t="s">
        <v>588</v>
      </c>
      <c r="C818" s="1" t="s">
        <v>51</v>
      </c>
      <c r="D818" s="2">
        <v>41774</v>
      </c>
      <c r="E818" s="1" t="s">
        <v>38</v>
      </c>
      <c r="F818" s="1" t="s">
        <v>972</v>
      </c>
      <c r="G818" s="1">
        <v>50</v>
      </c>
      <c r="H818" s="1">
        <v>37.700000000000003</v>
      </c>
      <c r="I818" s="1">
        <f t="shared" si="36"/>
        <v>1885.0000000000002</v>
      </c>
      <c r="J818" t="str">
        <f t="shared" si="37"/>
        <v>High</v>
      </c>
      <c r="K818" s="1"/>
      <c r="L818" s="1">
        <v>0.1</v>
      </c>
      <c r="M818" s="1">
        <v>2.99</v>
      </c>
      <c r="N818" s="1" t="s">
        <v>33</v>
      </c>
      <c r="O818" s="1" t="s">
        <v>34</v>
      </c>
      <c r="P818" s="2">
        <v>41775</v>
      </c>
      <c r="Q818" s="2" t="b">
        <f t="shared" si="38"/>
        <v>0</v>
      </c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</row>
    <row r="819" spans="1:35" ht="14.25" customHeight="1" x14ac:dyDescent="0.2">
      <c r="A819" s="1">
        <v>41793</v>
      </c>
      <c r="B819" s="1" t="s">
        <v>973</v>
      </c>
      <c r="C819" s="1" t="s">
        <v>30</v>
      </c>
      <c r="D819" s="2">
        <v>41774</v>
      </c>
      <c r="E819" s="1" t="s">
        <v>31</v>
      </c>
      <c r="F819" s="1" t="s">
        <v>974</v>
      </c>
      <c r="G819" s="1">
        <v>48</v>
      </c>
      <c r="H819" s="1">
        <v>26.48</v>
      </c>
      <c r="I819" s="1">
        <f t="shared" si="36"/>
        <v>1271.04</v>
      </c>
      <c r="J819" t="str">
        <f t="shared" si="37"/>
        <v>High</v>
      </c>
      <c r="K819" s="1"/>
      <c r="L819" s="1">
        <v>0.05</v>
      </c>
      <c r="M819" s="1">
        <v>6.93</v>
      </c>
      <c r="N819" s="1" t="s">
        <v>33</v>
      </c>
      <c r="O819" s="1" t="s">
        <v>34</v>
      </c>
      <c r="P819" s="2">
        <v>41775</v>
      </c>
      <c r="Q819" s="2" t="b">
        <f t="shared" si="38"/>
        <v>0</v>
      </c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</row>
    <row r="820" spans="1:35" ht="14.25" customHeight="1" x14ac:dyDescent="0.2">
      <c r="A820" s="1">
        <v>18496</v>
      </c>
      <c r="B820" s="1" t="s">
        <v>70</v>
      </c>
      <c r="C820" s="1" t="s">
        <v>51</v>
      </c>
      <c r="D820" s="2">
        <v>41774</v>
      </c>
      <c r="E820" s="1" t="s">
        <v>31</v>
      </c>
      <c r="F820" s="1" t="s">
        <v>975</v>
      </c>
      <c r="G820" s="1">
        <v>30</v>
      </c>
      <c r="H820" s="1">
        <v>30.98</v>
      </c>
      <c r="I820" s="1">
        <f t="shared" si="36"/>
        <v>929.4</v>
      </c>
      <c r="J820" t="str">
        <f t="shared" si="37"/>
        <v>Low</v>
      </c>
      <c r="K820" s="1"/>
      <c r="L820" s="1">
        <v>0.01</v>
      </c>
      <c r="M820" s="1">
        <v>6.5</v>
      </c>
      <c r="N820" s="1" t="s">
        <v>33</v>
      </c>
      <c r="O820" s="1" t="s">
        <v>34</v>
      </c>
      <c r="P820" s="2">
        <v>41775</v>
      </c>
      <c r="Q820" s="2" t="b">
        <f t="shared" si="38"/>
        <v>0</v>
      </c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</row>
    <row r="821" spans="1:35" ht="14.25" customHeight="1" x14ac:dyDescent="0.2">
      <c r="A821" s="1">
        <v>18496</v>
      </c>
      <c r="B821" s="1" t="s">
        <v>70</v>
      </c>
      <c r="C821" s="1" t="s">
        <v>21</v>
      </c>
      <c r="D821" s="2">
        <v>41774</v>
      </c>
      <c r="E821" s="1" t="s">
        <v>31</v>
      </c>
      <c r="F821" s="1" t="s">
        <v>976</v>
      </c>
      <c r="G821" s="1">
        <v>29</v>
      </c>
      <c r="H821" s="1">
        <v>40.99</v>
      </c>
      <c r="I821" s="1">
        <f t="shared" si="36"/>
        <v>1188.71</v>
      </c>
      <c r="J821" t="str">
        <f t="shared" si="37"/>
        <v>High</v>
      </c>
      <c r="K821" s="1"/>
      <c r="L821" s="1">
        <v>0.01</v>
      </c>
      <c r="M821" s="1">
        <v>19.989999999999998</v>
      </c>
      <c r="N821" s="1" t="s">
        <v>33</v>
      </c>
      <c r="O821" s="1" t="s">
        <v>34</v>
      </c>
      <c r="P821" s="2">
        <v>41777</v>
      </c>
      <c r="Q821" s="2" t="b">
        <f t="shared" si="38"/>
        <v>0</v>
      </c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</row>
    <row r="822" spans="1:35" ht="14.25" customHeight="1" x14ac:dyDescent="0.2">
      <c r="A822" s="1">
        <v>8353</v>
      </c>
      <c r="B822" s="1" t="s">
        <v>977</v>
      </c>
      <c r="C822" s="1" t="s">
        <v>21</v>
      </c>
      <c r="D822" s="2">
        <v>41774</v>
      </c>
      <c r="E822" s="1" t="s">
        <v>101</v>
      </c>
      <c r="F822" s="1" t="s">
        <v>553</v>
      </c>
      <c r="G822" s="1">
        <v>34</v>
      </c>
      <c r="H822" s="1">
        <v>8.32</v>
      </c>
      <c r="I822" s="1">
        <f t="shared" si="36"/>
        <v>282.88</v>
      </c>
      <c r="J822" t="str">
        <f t="shared" si="37"/>
        <v>Low</v>
      </c>
      <c r="K822" s="1"/>
      <c r="L822" s="1">
        <v>0.06</v>
      </c>
      <c r="M822" s="1">
        <v>2.38</v>
      </c>
      <c r="N822" s="1" t="s">
        <v>33</v>
      </c>
      <c r="O822" s="1" t="s">
        <v>84</v>
      </c>
      <c r="P822" s="2">
        <v>41776</v>
      </c>
      <c r="Q822" s="2" t="b">
        <f t="shared" si="38"/>
        <v>0</v>
      </c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</row>
    <row r="823" spans="1:35" ht="14.25" customHeight="1" x14ac:dyDescent="0.2">
      <c r="A823" s="1">
        <v>8353</v>
      </c>
      <c r="B823" s="1" t="s">
        <v>977</v>
      </c>
      <c r="C823" s="1" t="s">
        <v>21</v>
      </c>
      <c r="D823" s="2">
        <v>41774</v>
      </c>
      <c r="E823" s="1" t="s">
        <v>101</v>
      </c>
      <c r="F823" s="1" t="s">
        <v>396</v>
      </c>
      <c r="G823" s="1">
        <v>16</v>
      </c>
      <c r="H823" s="1">
        <v>2.94</v>
      </c>
      <c r="I823" s="1">
        <f t="shared" si="36"/>
        <v>47.04</v>
      </c>
      <c r="J823" t="str">
        <f t="shared" si="37"/>
        <v>Low</v>
      </c>
      <c r="K823" s="1"/>
      <c r="L823" s="1">
        <v>0.08</v>
      </c>
      <c r="M823" s="1">
        <v>0.96</v>
      </c>
      <c r="N823" s="1" t="s">
        <v>33</v>
      </c>
      <c r="O823" s="1" t="s">
        <v>55</v>
      </c>
      <c r="P823" s="2">
        <v>41776</v>
      </c>
      <c r="Q823" s="2" t="b">
        <f t="shared" si="38"/>
        <v>0</v>
      </c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</row>
    <row r="824" spans="1:35" ht="14.25" customHeight="1" x14ac:dyDescent="0.2">
      <c r="A824" s="1">
        <v>24358</v>
      </c>
      <c r="B824" s="1" t="s">
        <v>383</v>
      </c>
      <c r="C824" s="1" t="s">
        <v>51</v>
      </c>
      <c r="D824" s="2">
        <v>41775</v>
      </c>
      <c r="E824" s="1" t="s">
        <v>38</v>
      </c>
      <c r="F824" s="1" t="s">
        <v>978</v>
      </c>
      <c r="G824" s="1">
        <v>27</v>
      </c>
      <c r="H824" s="1">
        <v>279.48</v>
      </c>
      <c r="I824" s="1">
        <f t="shared" si="36"/>
        <v>7545.9600000000009</v>
      </c>
      <c r="J824" t="str">
        <f t="shared" si="37"/>
        <v>High</v>
      </c>
      <c r="K824" s="1"/>
      <c r="L824" s="1">
        <v>7.0000000000000007E-2</v>
      </c>
      <c r="M824" s="1">
        <v>35</v>
      </c>
      <c r="N824" s="1" t="s">
        <v>33</v>
      </c>
      <c r="O824" s="1" t="s">
        <v>26</v>
      </c>
      <c r="P824" s="2">
        <v>41775</v>
      </c>
      <c r="Q824" s="2" t="b">
        <f t="shared" si="38"/>
        <v>0</v>
      </c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</row>
    <row r="825" spans="1:35" ht="14.25" customHeight="1" x14ac:dyDescent="0.2">
      <c r="A825" s="1">
        <v>263</v>
      </c>
      <c r="B825" s="1" t="s">
        <v>979</v>
      </c>
      <c r="C825" s="1" t="s">
        <v>51</v>
      </c>
      <c r="D825" s="2">
        <v>41775</v>
      </c>
      <c r="E825" s="1" t="s">
        <v>31</v>
      </c>
      <c r="F825" s="1" t="s">
        <v>980</v>
      </c>
      <c r="G825" s="1">
        <v>25</v>
      </c>
      <c r="H825" s="1">
        <v>5.4</v>
      </c>
      <c r="I825" s="1">
        <f t="shared" si="36"/>
        <v>135</v>
      </c>
      <c r="J825" t="str">
        <f t="shared" si="37"/>
        <v>Low</v>
      </c>
      <c r="K825" s="1"/>
      <c r="L825" s="1">
        <v>0.09</v>
      </c>
      <c r="M825" s="1">
        <v>7.78</v>
      </c>
      <c r="N825" s="1" t="s">
        <v>33</v>
      </c>
      <c r="O825" s="1" t="s">
        <v>34</v>
      </c>
      <c r="P825" s="2">
        <v>41776</v>
      </c>
      <c r="Q825" s="2" t="b">
        <f t="shared" si="38"/>
        <v>0</v>
      </c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</row>
    <row r="826" spans="1:35" ht="14.25" customHeight="1" x14ac:dyDescent="0.2">
      <c r="A826" s="1">
        <v>13218</v>
      </c>
      <c r="B826" s="1" t="s">
        <v>551</v>
      </c>
      <c r="C826" s="1" t="s">
        <v>21</v>
      </c>
      <c r="D826" s="2">
        <v>41775</v>
      </c>
      <c r="E826" s="1" t="s">
        <v>31</v>
      </c>
      <c r="F826" s="1" t="s">
        <v>723</v>
      </c>
      <c r="G826" s="1">
        <v>18</v>
      </c>
      <c r="H826" s="1">
        <v>28.53</v>
      </c>
      <c r="I826" s="1">
        <f t="shared" si="36"/>
        <v>513.54</v>
      </c>
      <c r="J826" t="str">
        <f t="shared" si="37"/>
        <v>Low</v>
      </c>
      <c r="K826" s="1"/>
      <c r="L826" s="1">
        <v>0.03</v>
      </c>
      <c r="M826" s="1">
        <v>1.49</v>
      </c>
      <c r="N826" s="1" t="s">
        <v>33</v>
      </c>
      <c r="O826" s="1" t="s">
        <v>34</v>
      </c>
      <c r="P826" s="2">
        <v>41776</v>
      </c>
      <c r="Q826" s="2" t="b">
        <f t="shared" si="38"/>
        <v>0</v>
      </c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</row>
    <row r="827" spans="1:35" ht="14.25" customHeight="1" x14ac:dyDescent="0.2">
      <c r="A827" s="1">
        <v>13218</v>
      </c>
      <c r="B827" s="1" t="s">
        <v>551</v>
      </c>
      <c r="C827" s="1" t="s">
        <v>21</v>
      </c>
      <c r="D827" s="2">
        <v>41775</v>
      </c>
      <c r="E827" s="1" t="s">
        <v>31</v>
      </c>
      <c r="F827" s="1" t="s">
        <v>981</v>
      </c>
      <c r="G827" s="1">
        <v>16</v>
      </c>
      <c r="H827" s="1">
        <v>5.98</v>
      </c>
      <c r="I827" s="1">
        <f t="shared" si="36"/>
        <v>95.68</v>
      </c>
      <c r="J827" t="str">
        <f t="shared" si="37"/>
        <v>Low</v>
      </c>
      <c r="K827" s="1"/>
      <c r="L827" s="1">
        <v>7.0000000000000007E-2</v>
      </c>
      <c r="M827" s="1">
        <v>7.15</v>
      </c>
      <c r="N827" s="1" t="s">
        <v>33</v>
      </c>
      <c r="O827" s="1" t="s">
        <v>34</v>
      </c>
      <c r="P827" s="2">
        <v>41777</v>
      </c>
      <c r="Q827" s="2" t="b">
        <f t="shared" si="38"/>
        <v>0</v>
      </c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</row>
    <row r="828" spans="1:35" ht="14.25" customHeight="1" x14ac:dyDescent="0.2">
      <c r="A828" s="1">
        <v>21286</v>
      </c>
      <c r="B828" s="1" t="s">
        <v>849</v>
      </c>
      <c r="C828" s="1" t="s">
        <v>21</v>
      </c>
      <c r="D828" s="2">
        <v>41775</v>
      </c>
      <c r="E828" s="1" t="s">
        <v>38</v>
      </c>
      <c r="F828" s="1" t="s">
        <v>181</v>
      </c>
      <c r="G828" s="1">
        <v>17</v>
      </c>
      <c r="H828" s="1">
        <v>14.42</v>
      </c>
      <c r="I828" s="1">
        <f t="shared" si="36"/>
        <v>245.14</v>
      </c>
      <c r="J828" t="str">
        <f t="shared" si="37"/>
        <v>Low</v>
      </c>
      <c r="K828" s="1"/>
      <c r="L828" s="1">
        <v>0</v>
      </c>
      <c r="M828" s="1">
        <v>6.75</v>
      </c>
      <c r="N828" s="1" t="s">
        <v>25</v>
      </c>
      <c r="O828" s="1" t="s">
        <v>72</v>
      </c>
      <c r="P828" s="2">
        <v>41776</v>
      </c>
      <c r="Q828" s="2" t="b">
        <f t="shared" si="38"/>
        <v>0</v>
      </c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</row>
    <row r="829" spans="1:35" ht="14.25" customHeight="1" x14ac:dyDescent="0.2">
      <c r="A829" s="1">
        <v>3553</v>
      </c>
      <c r="B829" s="1" t="s">
        <v>832</v>
      </c>
      <c r="C829" s="1" t="s">
        <v>51</v>
      </c>
      <c r="D829" s="2">
        <v>41776</v>
      </c>
      <c r="E829" s="1" t="s">
        <v>101</v>
      </c>
      <c r="F829" s="1" t="s">
        <v>396</v>
      </c>
      <c r="G829" s="1">
        <v>7</v>
      </c>
      <c r="H829" s="1">
        <v>2.94</v>
      </c>
      <c r="I829" s="1">
        <f t="shared" si="36"/>
        <v>20.58</v>
      </c>
      <c r="J829" t="str">
        <f t="shared" si="37"/>
        <v>Low</v>
      </c>
      <c r="K829" s="1"/>
      <c r="L829" s="1">
        <v>0.06</v>
      </c>
      <c r="M829" s="1">
        <v>0.96</v>
      </c>
      <c r="N829" s="1" t="s">
        <v>33</v>
      </c>
      <c r="O829" s="1" t="s">
        <v>55</v>
      </c>
      <c r="P829" s="2">
        <v>41777</v>
      </c>
      <c r="Q829" s="2" t="b">
        <f t="shared" si="38"/>
        <v>0</v>
      </c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</row>
    <row r="830" spans="1:35" ht="14.25" customHeight="1" x14ac:dyDescent="0.2">
      <c r="A830" s="1">
        <v>59779</v>
      </c>
      <c r="B830" s="1" t="s">
        <v>982</v>
      </c>
      <c r="C830" s="1" t="s">
        <v>30</v>
      </c>
      <c r="D830" s="2">
        <v>41776</v>
      </c>
      <c r="E830" s="1" t="s">
        <v>43</v>
      </c>
      <c r="F830" s="1" t="s">
        <v>584</v>
      </c>
      <c r="G830" s="1">
        <v>30</v>
      </c>
      <c r="H830" s="1">
        <v>113.98</v>
      </c>
      <c r="I830" s="1">
        <f t="shared" si="36"/>
        <v>3419.4</v>
      </c>
      <c r="J830" t="str">
        <f t="shared" si="37"/>
        <v>High</v>
      </c>
      <c r="K830" s="1"/>
      <c r="L830" s="1">
        <v>0.04</v>
      </c>
      <c r="M830" s="1">
        <v>30</v>
      </c>
      <c r="N830" s="1" t="s">
        <v>45</v>
      </c>
      <c r="O830" s="1" t="s">
        <v>46</v>
      </c>
      <c r="P830" s="2">
        <v>41783</v>
      </c>
      <c r="Q830" s="2" t="b">
        <f t="shared" si="38"/>
        <v>0</v>
      </c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</row>
    <row r="831" spans="1:35" ht="14.25" customHeight="1" x14ac:dyDescent="0.2">
      <c r="A831" s="1">
        <v>36131</v>
      </c>
      <c r="B831" s="1" t="s">
        <v>983</v>
      </c>
      <c r="C831" s="1" t="s">
        <v>30</v>
      </c>
      <c r="D831" s="2">
        <v>41776</v>
      </c>
      <c r="E831" s="1" t="s">
        <v>31</v>
      </c>
      <c r="F831" s="1" t="s">
        <v>984</v>
      </c>
      <c r="G831" s="1">
        <v>43</v>
      </c>
      <c r="H831" s="1">
        <v>8.34</v>
      </c>
      <c r="I831" s="1">
        <f t="shared" si="36"/>
        <v>358.62</v>
      </c>
      <c r="J831" t="str">
        <f t="shared" si="37"/>
        <v>Low</v>
      </c>
      <c r="K831" s="1"/>
      <c r="L831" s="1">
        <v>7.0000000000000007E-2</v>
      </c>
      <c r="M831" s="1">
        <v>1.43</v>
      </c>
      <c r="N831" s="1" t="s">
        <v>33</v>
      </c>
      <c r="O831" s="1" t="s">
        <v>55</v>
      </c>
      <c r="P831" s="2">
        <v>41778</v>
      </c>
      <c r="Q831" s="2" t="b">
        <f t="shared" si="38"/>
        <v>0</v>
      </c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</row>
    <row r="832" spans="1:35" ht="14.25" customHeight="1" x14ac:dyDescent="0.2">
      <c r="A832" s="1">
        <v>36131</v>
      </c>
      <c r="B832" s="1" t="s">
        <v>983</v>
      </c>
      <c r="C832" s="1" t="s">
        <v>21</v>
      </c>
      <c r="D832" s="2">
        <v>41776</v>
      </c>
      <c r="E832" s="1" t="s">
        <v>31</v>
      </c>
      <c r="F832" s="1" t="s">
        <v>985</v>
      </c>
      <c r="G832" s="1">
        <v>26</v>
      </c>
      <c r="H832" s="1">
        <v>4.9800000000000004</v>
      </c>
      <c r="I832" s="1">
        <f t="shared" si="36"/>
        <v>129.48000000000002</v>
      </c>
      <c r="J832" t="str">
        <f t="shared" si="37"/>
        <v>Low</v>
      </c>
      <c r="K832" s="1"/>
      <c r="L832" s="1">
        <v>0.09</v>
      </c>
      <c r="M832" s="1">
        <v>6.07</v>
      </c>
      <c r="N832" s="1" t="s">
        <v>33</v>
      </c>
      <c r="O832" s="1" t="s">
        <v>34</v>
      </c>
      <c r="P832" s="2">
        <v>41777</v>
      </c>
      <c r="Q832" s="2" t="b">
        <f t="shared" si="38"/>
        <v>0</v>
      </c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</row>
    <row r="833" spans="1:35" ht="14.25" customHeight="1" x14ac:dyDescent="0.2">
      <c r="A833" s="1">
        <v>36131</v>
      </c>
      <c r="B833" s="1" t="s">
        <v>983</v>
      </c>
      <c r="C833" s="1" t="s">
        <v>21</v>
      </c>
      <c r="D833" s="2">
        <v>41776</v>
      </c>
      <c r="E833" s="1" t="s">
        <v>31</v>
      </c>
      <c r="F833" s="1" t="s">
        <v>986</v>
      </c>
      <c r="G833" s="1">
        <v>26</v>
      </c>
      <c r="H833" s="1">
        <v>19.84</v>
      </c>
      <c r="I833" s="1">
        <f t="shared" si="36"/>
        <v>515.84</v>
      </c>
      <c r="J833" t="str">
        <f t="shared" si="37"/>
        <v>Low</v>
      </c>
      <c r="K833" s="1"/>
      <c r="L833" s="1">
        <v>7.0000000000000007E-2</v>
      </c>
      <c r="M833" s="1">
        <v>4.0999999999999996</v>
      </c>
      <c r="N833" s="1" t="s">
        <v>33</v>
      </c>
      <c r="O833" s="1" t="s">
        <v>55</v>
      </c>
      <c r="P833" s="2">
        <v>41777</v>
      </c>
      <c r="Q833" s="2" t="b">
        <f t="shared" si="38"/>
        <v>0</v>
      </c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</row>
    <row r="834" spans="1:35" ht="14.25" customHeight="1" x14ac:dyDescent="0.2">
      <c r="A834" s="1">
        <v>59207</v>
      </c>
      <c r="B834" s="1" t="s">
        <v>229</v>
      </c>
      <c r="C834" s="1" t="s">
        <v>21</v>
      </c>
      <c r="D834" s="2">
        <v>41777</v>
      </c>
      <c r="E834" s="1" t="s">
        <v>38</v>
      </c>
      <c r="F834" s="1" t="s">
        <v>987</v>
      </c>
      <c r="G834" s="1">
        <v>42</v>
      </c>
      <c r="H834" s="1">
        <v>280.98</v>
      </c>
      <c r="I834" s="1">
        <f t="shared" ref="I834:I897" si="39">G834*H834</f>
        <v>11801.16</v>
      </c>
      <c r="J834" t="str">
        <f t="shared" ref="J834:J897" si="40">IF(I834&lt;1000,"Low","High")</f>
        <v>High</v>
      </c>
      <c r="K834" s="1"/>
      <c r="L834" s="1">
        <v>0.02</v>
      </c>
      <c r="M834" s="1">
        <v>81.98</v>
      </c>
      <c r="N834" s="1" t="s">
        <v>45</v>
      </c>
      <c r="O834" s="1" t="s">
        <v>63</v>
      </c>
      <c r="P834" s="2">
        <v>41777</v>
      </c>
      <c r="Q834" s="2" t="b">
        <f t="shared" ref="Q834:Q897" si="41">AND(N834="Express Air",O834="Large Box")</f>
        <v>0</v>
      </c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</row>
    <row r="835" spans="1:35" ht="14.25" customHeight="1" x14ac:dyDescent="0.2">
      <c r="A835" s="1">
        <v>20614</v>
      </c>
      <c r="B835" s="1" t="s">
        <v>988</v>
      </c>
      <c r="C835" s="1" t="s">
        <v>30</v>
      </c>
      <c r="D835" s="2">
        <v>41777</v>
      </c>
      <c r="E835" s="1" t="s">
        <v>22</v>
      </c>
      <c r="F835" s="1" t="s">
        <v>311</v>
      </c>
      <c r="G835" s="1">
        <v>47</v>
      </c>
      <c r="H835" s="1">
        <v>73.98</v>
      </c>
      <c r="I835" s="1">
        <f t="shared" si="39"/>
        <v>3477.0600000000004</v>
      </c>
      <c r="J835" t="str">
        <f t="shared" si="40"/>
        <v>High</v>
      </c>
      <c r="K835" s="1"/>
      <c r="L835" s="1">
        <v>0</v>
      </c>
      <c r="M835" s="1">
        <v>12.14</v>
      </c>
      <c r="N835" s="1" t="s">
        <v>25</v>
      </c>
      <c r="O835" s="1" t="s">
        <v>34</v>
      </c>
      <c r="P835" s="2">
        <v>41779</v>
      </c>
      <c r="Q835" s="2" t="b">
        <f t="shared" si="41"/>
        <v>0</v>
      </c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</row>
    <row r="836" spans="1:35" ht="14.25" customHeight="1" x14ac:dyDescent="0.2">
      <c r="A836" s="1">
        <v>38341</v>
      </c>
      <c r="B836" s="1" t="s">
        <v>656</v>
      </c>
      <c r="C836" s="1" t="s">
        <v>30</v>
      </c>
      <c r="D836" s="2">
        <v>41777</v>
      </c>
      <c r="E836" s="1" t="s">
        <v>101</v>
      </c>
      <c r="F836" s="1" t="s">
        <v>989</v>
      </c>
      <c r="G836" s="1">
        <v>38</v>
      </c>
      <c r="H836" s="1">
        <v>20.99</v>
      </c>
      <c r="I836" s="1">
        <f t="shared" si="39"/>
        <v>797.61999999999989</v>
      </c>
      <c r="J836" t="str">
        <f t="shared" si="40"/>
        <v>Low</v>
      </c>
      <c r="K836" s="1"/>
      <c r="L836" s="1">
        <v>0.09</v>
      </c>
      <c r="M836" s="1">
        <v>0.99</v>
      </c>
      <c r="N836" s="1" t="s">
        <v>33</v>
      </c>
      <c r="O836" s="1" t="s">
        <v>55</v>
      </c>
      <c r="P836" s="2">
        <v>41777</v>
      </c>
      <c r="Q836" s="2" t="b">
        <f t="shared" si="41"/>
        <v>0</v>
      </c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</row>
    <row r="837" spans="1:35" ht="14.25" customHeight="1" x14ac:dyDescent="0.2">
      <c r="A837" s="1">
        <v>38341</v>
      </c>
      <c r="B837" s="1" t="s">
        <v>656</v>
      </c>
      <c r="C837" s="1" t="s">
        <v>51</v>
      </c>
      <c r="D837" s="2">
        <v>41777</v>
      </c>
      <c r="E837" s="1" t="s">
        <v>101</v>
      </c>
      <c r="F837" s="1" t="s">
        <v>76</v>
      </c>
      <c r="G837" s="1">
        <v>15</v>
      </c>
      <c r="H837" s="1">
        <v>3.36</v>
      </c>
      <c r="I837" s="1">
        <f t="shared" si="39"/>
        <v>50.4</v>
      </c>
      <c r="J837" t="str">
        <f t="shared" si="40"/>
        <v>Low</v>
      </c>
      <c r="K837" s="1"/>
      <c r="L837" s="1">
        <v>0.1</v>
      </c>
      <c r="M837" s="1">
        <v>6.27</v>
      </c>
      <c r="N837" s="1" t="s">
        <v>25</v>
      </c>
      <c r="O837" s="1" t="s">
        <v>34</v>
      </c>
      <c r="P837" s="2">
        <v>41778</v>
      </c>
      <c r="Q837" s="2" t="b">
        <f t="shared" si="41"/>
        <v>0</v>
      </c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</row>
    <row r="838" spans="1:35" ht="14.25" customHeight="1" x14ac:dyDescent="0.2">
      <c r="A838" s="1">
        <v>38341</v>
      </c>
      <c r="B838" s="1" t="s">
        <v>656</v>
      </c>
      <c r="C838" s="1" t="s">
        <v>51</v>
      </c>
      <c r="D838" s="2">
        <v>41777</v>
      </c>
      <c r="E838" s="1" t="s">
        <v>101</v>
      </c>
      <c r="F838" s="1" t="s">
        <v>708</v>
      </c>
      <c r="G838" s="1">
        <v>5</v>
      </c>
      <c r="H838" s="1">
        <v>12.28</v>
      </c>
      <c r="I838" s="1">
        <f t="shared" si="39"/>
        <v>61.4</v>
      </c>
      <c r="J838" t="str">
        <f t="shared" si="40"/>
        <v>Low</v>
      </c>
      <c r="K838" s="1"/>
      <c r="L838" s="1">
        <v>7.0000000000000007E-2</v>
      </c>
      <c r="M838" s="1">
        <v>4.8600000000000003</v>
      </c>
      <c r="N838" s="1" t="s">
        <v>33</v>
      </c>
      <c r="O838" s="1" t="s">
        <v>34</v>
      </c>
      <c r="P838" s="2">
        <v>41779</v>
      </c>
      <c r="Q838" s="2" t="b">
        <f t="shared" si="41"/>
        <v>0</v>
      </c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</row>
    <row r="839" spans="1:35" ht="14.25" customHeight="1" x14ac:dyDescent="0.2">
      <c r="A839" s="1">
        <v>58147</v>
      </c>
      <c r="B839" s="1" t="s">
        <v>688</v>
      </c>
      <c r="C839" s="1" t="s">
        <v>51</v>
      </c>
      <c r="D839" s="2">
        <v>41777</v>
      </c>
      <c r="E839" s="1" t="s">
        <v>31</v>
      </c>
      <c r="F839" s="1" t="s">
        <v>990</v>
      </c>
      <c r="G839" s="1">
        <v>41</v>
      </c>
      <c r="H839" s="1">
        <v>10.98</v>
      </c>
      <c r="I839" s="1">
        <f t="shared" si="39"/>
        <v>450.18</v>
      </c>
      <c r="J839" t="str">
        <f t="shared" si="40"/>
        <v>Low</v>
      </c>
      <c r="K839" s="1"/>
      <c r="L839" s="1">
        <v>0.04</v>
      </c>
      <c r="M839" s="1">
        <v>3.99</v>
      </c>
      <c r="N839" s="1" t="s">
        <v>33</v>
      </c>
      <c r="O839" s="1" t="s">
        <v>34</v>
      </c>
      <c r="P839" s="2">
        <v>41777</v>
      </c>
      <c r="Q839" s="2" t="b">
        <f t="shared" si="41"/>
        <v>0</v>
      </c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</row>
    <row r="840" spans="1:35" ht="14.25" customHeight="1" x14ac:dyDescent="0.2">
      <c r="A840" s="1">
        <v>59208</v>
      </c>
      <c r="B840" s="1" t="s">
        <v>812</v>
      </c>
      <c r="C840" s="1" t="s">
        <v>21</v>
      </c>
      <c r="D840" s="2">
        <v>41777</v>
      </c>
      <c r="E840" s="1" t="s">
        <v>38</v>
      </c>
      <c r="F840" s="1" t="s">
        <v>453</v>
      </c>
      <c r="G840" s="1">
        <v>3</v>
      </c>
      <c r="H840" s="1">
        <v>2.98</v>
      </c>
      <c r="I840" s="1">
        <f t="shared" si="39"/>
        <v>8.94</v>
      </c>
      <c r="J840" t="str">
        <f t="shared" si="40"/>
        <v>Low</v>
      </c>
      <c r="K840" s="1"/>
      <c r="L840" s="1">
        <v>0.09</v>
      </c>
      <c r="M840" s="1">
        <v>1.58</v>
      </c>
      <c r="N840" s="1" t="s">
        <v>33</v>
      </c>
      <c r="O840" s="1" t="s">
        <v>55</v>
      </c>
      <c r="P840" s="2">
        <v>41778</v>
      </c>
      <c r="Q840" s="2" t="b">
        <f t="shared" si="41"/>
        <v>0</v>
      </c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</row>
    <row r="841" spans="1:35" ht="14.25" customHeight="1" x14ac:dyDescent="0.2">
      <c r="A841" s="1">
        <v>55909</v>
      </c>
      <c r="B841" s="1" t="s">
        <v>991</v>
      </c>
      <c r="C841" s="1" t="s">
        <v>21</v>
      </c>
      <c r="D841" s="2">
        <v>41778</v>
      </c>
      <c r="E841" s="1" t="s">
        <v>43</v>
      </c>
      <c r="F841" s="1" t="s">
        <v>992</v>
      </c>
      <c r="G841" s="1">
        <v>3</v>
      </c>
      <c r="H841" s="1">
        <v>172.99</v>
      </c>
      <c r="I841" s="1">
        <f t="shared" si="39"/>
        <v>518.97</v>
      </c>
      <c r="J841" t="str">
        <f t="shared" si="40"/>
        <v>Low</v>
      </c>
      <c r="K841" s="1"/>
      <c r="L841" s="1">
        <v>7.0000000000000007E-2</v>
      </c>
      <c r="M841" s="1">
        <v>19.989999999999998</v>
      </c>
      <c r="N841" s="1" t="s">
        <v>33</v>
      </c>
      <c r="O841" s="1" t="s">
        <v>34</v>
      </c>
      <c r="P841" s="2">
        <v>41782</v>
      </c>
      <c r="Q841" s="2" t="b">
        <f t="shared" si="41"/>
        <v>0</v>
      </c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</row>
    <row r="842" spans="1:35" ht="14.25" customHeight="1" x14ac:dyDescent="0.2">
      <c r="A842" s="1">
        <v>55909</v>
      </c>
      <c r="B842" s="1" t="s">
        <v>991</v>
      </c>
      <c r="C842" s="1" t="s">
        <v>21</v>
      </c>
      <c r="D842" s="2">
        <v>41778</v>
      </c>
      <c r="E842" s="1" t="s">
        <v>43</v>
      </c>
      <c r="F842" s="1" t="s">
        <v>241</v>
      </c>
      <c r="G842" s="1">
        <v>2</v>
      </c>
      <c r="H842" s="1">
        <v>13.43</v>
      </c>
      <c r="I842" s="1">
        <f t="shared" si="39"/>
        <v>26.86</v>
      </c>
      <c r="J842" t="str">
        <f t="shared" si="40"/>
        <v>Low</v>
      </c>
      <c r="K842" s="1"/>
      <c r="L842" s="1">
        <v>0.03</v>
      </c>
      <c r="M842" s="1">
        <v>5.5</v>
      </c>
      <c r="N842" s="1" t="s">
        <v>33</v>
      </c>
      <c r="O842" s="1" t="s">
        <v>34</v>
      </c>
      <c r="P842" s="2">
        <v>41785</v>
      </c>
      <c r="Q842" s="2" t="b">
        <f t="shared" si="41"/>
        <v>0</v>
      </c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</row>
    <row r="843" spans="1:35" ht="14.25" customHeight="1" x14ac:dyDescent="0.2">
      <c r="A843" s="1">
        <v>8930</v>
      </c>
      <c r="B843" s="1" t="s">
        <v>993</v>
      </c>
      <c r="C843" s="1" t="s">
        <v>21</v>
      </c>
      <c r="D843" s="2">
        <v>41778</v>
      </c>
      <c r="E843" s="1" t="s">
        <v>101</v>
      </c>
      <c r="F843" s="1" t="s">
        <v>994</v>
      </c>
      <c r="G843" s="1">
        <v>14</v>
      </c>
      <c r="H843" s="1">
        <v>9.99</v>
      </c>
      <c r="I843" s="1">
        <f t="shared" si="39"/>
        <v>139.86000000000001</v>
      </c>
      <c r="J843" t="str">
        <f t="shared" si="40"/>
        <v>Low</v>
      </c>
      <c r="K843" s="1"/>
      <c r="L843" s="1">
        <v>0.04</v>
      </c>
      <c r="M843" s="1">
        <v>11.59</v>
      </c>
      <c r="N843" s="1" t="s">
        <v>33</v>
      </c>
      <c r="O843" s="1" t="s">
        <v>34</v>
      </c>
      <c r="P843" s="2">
        <v>41780</v>
      </c>
      <c r="Q843" s="2" t="b">
        <f t="shared" si="41"/>
        <v>0</v>
      </c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</row>
    <row r="844" spans="1:35" ht="14.25" customHeight="1" x14ac:dyDescent="0.2">
      <c r="A844" s="1">
        <v>5698</v>
      </c>
      <c r="B844" s="1" t="s">
        <v>159</v>
      </c>
      <c r="C844" s="1" t="s">
        <v>51</v>
      </c>
      <c r="D844" s="2">
        <v>41779</v>
      </c>
      <c r="E844" s="1" t="s">
        <v>101</v>
      </c>
      <c r="F844" s="1" t="s">
        <v>995</v>
      </c>
      <c r="G844" s="1">
        <v>15</v>
      </c>
      <c r="H844" s="1">
        <v>20.48</v>
      </c>
      <c r="I844" s="1">
        <f t="shared" si="39"/>
        <v>307.2</v>
      </c>
      <c r="J844" t="str">
        <f t="shared" si="40"/>
        <v>Low</v>
      </c>
      <c r="K844" s="1"/>
      <c r="L844" s="1">
        <v>0.09</v>
      </c>
      <c r="M844" s="1">
        <v>6.32</v>
      </c>
      <c r="N844" s="1" t="s">
        <v>33</v>
      </c>
      <c r="O844" s="1" t="s">
        <v>34</v>
      </c>
      <c r="P844" s="2">
        <v>41780</v>
      </c>
      <c r="Q844" s="2" t="b">
        <f t="shared" si="41"/>
        <v>0</v>
      </c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</row>
    <row r="845" spans="1:35" ht="14.25" customHeight="1" x14ac:dyDescent="0.2">
      <c r="A845" s="1">
        <v>5698</v>
      </c>
      <c r="B845" s="1" t="s">
        <v>159</v>
      </c>
      <c r="C845" s="1" t="s">
        <v>21</v>
      </c>
      <c r="D845" s="2">
        <v>41779</v>
      </c>
      <c r="E845" s="1" t="s">
        <v>101</v>
      </c>
      <c r="F845" s="1" t="s">
        <v>951</v>
      </c>
      <c r="G845" s="1">
        <v>7</v>
      </c>
      <c r="H845" s="1">
        <v>15.67</v>
      </c>
      <c r="I845" s="1">
        <f t="shared" si="39"/>
        <v>109.69</v>
      </c>
      <c r="J845" t="str">
        <f t="shared" si="40"/>
        <v>Low</v>
      </c>
      <c r="K845" s="1"/>
      <c r="L845" s="1">
        <v>0.06</v>
      </c>
      <c r="M845" s="1">
        <v>1.39</v>
      </c>
      <c r="N845" s="1" t="s">
        <v>33</v>
      </c>
      <c r="O845" s="1" t="s">
        <v>34</v>
      </c>
      <c r="P845" s="2">
        <v>41780</v>
      </c>
      <c r="Q845" s="2" t="b">
        <f t="shared" si="41"/>
        <v>0</v>
      </c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</row>
    <row r="846" spans="1:35" ht="14.25" customHeight="1" x14ac:dyDescent="0.2">
      <c r="A846" s="1">
        <v>20261</v>
      </c>
      <c r="B846" s="1" t="s">
        <v>996</v>
      </c>
      <c r="C846" s="1" t="s">
        <v>30</v>
      </c>
      <c r="D846" s="2">
        <v>41779</v>
      </c>
      <c r="E846" s="1" t="s">
        <v>101</v>
      </c>
      <c r="F846" s="1" t="s">
        <v>997</v>
      </c>
      <c r="G846" s="1">
        <v>25</v>
      </c>
      <c r="H846" s="1">
        <v>31.74</v>
      </c>
      <c r="I846" s="1">
        <f t="shared" si="39"/>
        <v>793.5</v>
      </c>
      <c r="J846" t="str">
        <f t="shared" si="40"/>
        <v>Low</v>
      </c>
      <c r="K846" s="1"/>
      <c r="L846" s="1">
        <v>0.09</v>
      </c>
      <c r="M846" s="1">
        <v>12.62</v>
      </c>
      <c r="N846" s="1" t="s">
        <v>25</v>
      </c>
      <c r="O846" s="1" t="s">
        <v>34</v>
      </c>
      <c r="P846" s="2">
        <v>41779</v>
      </c>
      <c r="Q846" s="2" t="b">
        <f t="shared" si="41"/>
        <v>0</v>
      </c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</row>
    <row r="847" spans="1:35" ht="14.25" customHeight="1" x14ac:dyDescent="0.2">
      <c r="A847" s="1">
        <v>20261</v>
      </c>
      <c r="B847" s="1" t="s">
        <v>996</v>
      </c>
      <c r="C847" s="1" t="s">
        <v>30</v>
      </c>
      <c r="D847" s="2">
        <v>41779</v>
      </c>
      <c r="E847" s="1" t="s">
        <v>101</v>
      </c>
      <c r="F847" s="1" t="s">
        <v>220</v>
      </c>
      <c r="G847" s="1">
        <v>36</v>
      </c>
      <c r="H847" s="1">
        <v>6.35</v>
      </c>
      <c r="I847" s="1">
        <f t="shared" si="39"/>
        <v>228.6</v>
      </c>
      <c r="J847" t="str">
        <f t="shared" si="40"/>
        <v>Low</v>
      </c>
      <c r="K847" s="1"/>
      <c r="L847" s="1">
        <v>0.04</v>
      </c>
      <c r="M847" s="1">
        <v>1.02</v>
      </c>
      <c r="N847" s="1" t="s">
        <v>33</v>
      </c>
      <c r="O847" s="1" t="s">
        <v>55</v>
      </c>
      <c r="P847" s="2">
        <v>41782</v>
      </c>
      <c r="Q847" s="2" t="b">
        <f t="shared" si="41"/>
        <v>0</v>
      </c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</row>
    <row r="848" spans="1:35" ht="14.25" customHeight="1" x14ac:dyDescent="0.2">
      <c r="A848" s="1">
        <v>20261</v>
      </c>
      <c r="B848" s="1" t="s">
        <v>996</v>
      </c>
      <c r="C848" s="1" t="s">
        <v>30</v>
      </c>
      <c r="D848" s="2">
        <v>41779</v>
      </c>
      <c r="E848" s="1" t="s">
        <v>101</v>
      </c>
      <c r="F848" s="1" t="s">
        <v>937</v>
      </c>
      <c r="G848" s="1">
        <v>21</v>
      </c>
      <c r="H848" s="1">
        <v>65.989999999999995</v>
      </c>
      <c r="I848" s="1">
        <f t="shared" si="39"/>
        <v>1385.79</v>
      </c>
      <c r="J848" t="str">
        <f t="shared" si="40"/>
        <v>High</v>
      </c>
      <c r="K848" s="1"/>
      <c r="L848" s="1">
        <v>0.02</v>
      </c>
      <c r="M848" s="1">
        <v>8.99</v>
      </c>
      <c r="N848" s="1" t="s">
        <v>25</v>
      </c>
      <c r="O848" s="1" t="s">
        <v>34</v>
      </c>
      <c r="P848" s="2">
        <v>41780</v>
      </c>
      <c r="Q848" s="2" t="b">
        <f t="shared" si="41"/>
        <v>0</v>
      </c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</row>
    <row r="849" spans="1:35" ht="14.25" customHeight="1" x14ac:dyDescent="0.2">
      <c r="A849" s="1">
        <v>20903</v>
      </c>
      <c r="B849" s="1" t="s">
        <v>53</v>
      </c>
      <c r="C849" s="1" t="s">
        <v>30</v>
      </c>
      <c r="D849" s="2">
        <v>41779</v>
      </c>
      <c r="E849" s="1" t="s">
        <v>31</v>
      </c>
      <c r="F849" s="1" t="s">
        <v>107</v>
      </c>
      <c r="G849" s="1">
        <v>4</v>
      </c>
      <c r="H849" s="1">
        <v>100.98</v>
      </c>
      <c r="I849" s="1">
        <f t="shared" si="39"/>
        <v>403.92</v>
      </c>
      <c r="J849" t="str">
        <f t="shared" si="40"/>
        <v>Low</v>
      </c>
      <c r="K849" s="1"/>
      <c r="L849" s="1">
        <v>0.04</v>
      </c>
      <c r="M849" s="1">
        <v>35.840000000000003</v>
      </c>
      <c r="N849" s="1" t="s">
        <v>45</v>
      </c>
      <c r="O849" s="1" t="s">
        <v>63</v>
      </c>
      <c r="P849" s="2">
        <v>41780</v>
      </c>
      <c r="Q849" s="2" t="b">
        <f t="shared" si="41"/>
        <v>0</v>
      </c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</row>
    <row r="850" spans="1:35" ht="14.25" customHeight="1" x14ac:dyDescent="0.2">
      <c r="A850" s="1">
        <v>2725</v>
      </c>
      <c r="B850" s="1" t="s">
        <v>779</v>
      </c>
      <c r="C850" s="1" t="s">
        <v>30</v>
      </c>
      <c r="D850" s="2">
        <v>41779</v>
      </c>
      <c r="E850" s="1" t="s">
        <v>22</v>
      </c>
      <c r="F850" s="1" t="s">
        <v>998</v>
      </c>
      <c r="G850" s="1">
        <v>39</v>
      </c>
      <c r="H850" s="1">
        <v>65.989999999999995</v>
      </c>
      <c r="I850" s="1">
        <f t="shared" si="39"/>
        <v>2573.6099999999997</v>
      </c>
      <c r="J850" t="str">
        <f t="shared" si="40"/>
        <v>High</v>
      </c>
      <c r="K850" s="1"/>
      <c r="L850" s="1">
        <v>0.01</v>
      </c>
      <c r="M850" s="1">
        <v>8.99</v>
      </c>
      <c r="N850" s="1" t="s">
        <v>25</v>
      </c>
      <c r="O850" s="1" t="s">
        <v>34</v>
      </c>
      <c r="P850" s="2">
        <v>41780</v>
      </c>
      <c r="Q850" s="2" t="b">
        <f t="shared" si="41"/>
        <v>0</v>
      </c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</row>
    <row r="851" spans="1:35" ht="14.25" customHeight="1" x14ac:dyDescent="0.2">
      <c r="A851" s="1">
        <v>32355</v>
      </c>
      <c r="B851" s="1" t="s">
        <v>635</v>
      </c>
      <c r="C851" s="1" t="s">
        <v>30</v>
      </c>
      <c r="D851" s="2">
        <v>41779</v>
      </c>
      <c r="E851" s="1" t="s">
        <v>22</v>
      </c>
      <c r="F851" s="1" t="s">
        <v>999</v>
      </c>
      <c r="G851" s="1">
        <v>34</v>
      </c>
      <c r="H851" s="1">
        <v>5.94</v>
      </c>
      <c r="I851" s="1">
        <f t="shared" si="39"/>
        <v>201.96</v>
      </c>
      <c r="J851" t="str">
        <f t="shared" si="40"/>
        <v>Low</v>
      </c>
      <c r="K851" s="1"/>
      <c r="L851" s="1">
        <v>0.01</v>
      </c>
      <c r="M851" s="1">
        <v>9.92</v>
      </c>
      <c r="N851" s="1" t="s">
        <v>33</v>
      </c>
      <c r="O851" s="1" t="s">
        <v>34</v>
      </c>
      <c r="P851" s="2">
        <v>41782</v>
      </c>
      <c r="Q851" s="2" t="b">
        <f t="shared" si="41"/>
        <v>0</v>
      </c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</row>
    <row r="852" spans="1:35" ht="14.25" customHeight="1" x14ac:dyDescent="0.2">
      <c r="A852" s="1">
        <v>32355</v>
      </c>
      <c r="B852" s="1" t="s">
        <v>635</v>
      </c>
      <c r="C852" s="1" t="s">
        <v>21</v>
      </c>
      <c r="D852" s="2">
        <v>41779</v>
      </c>
      <c r="E852" s="1" t="s">
        <v>22</v>
      </c>
      <c r="F852" s="1" t="s">
        <v>1000</v>
      </c>
      <c r="G852" s="1">
        <v>50</v>
      </c>
      <c r="H852" s="1">
        <v>6.48</v>
      </c>
      <c r="I852" s="1">
        <f t="shared" si="39"/>
        <v>324</v>
      </c>
      <c r="J852" t="str">
        <f t="shared" si="40"/>
        <v>Low</v>
      </c>
      <c r="K852" s="1"/>
      <c r="L852" s="1">
        <v>0</v>
      </c>
      <c r="M852" s="1">
        <v>5.1100000000000003</v>
      </c>
      <c r="N852" s="1" t="s">
        <v>33</v>
      </c>
      <c r="O852" s="1" t="s">
        <v>34</v>
      </c>
      <c r="P852" s="2">
        <v>41781</v>
      </c>
      <c r="Q852" s="2" t="b">
        <f t="shared" si="41"/>
        <v>0</v>
      </c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</row>
    <row r="853" spans="1:35" ht="14.25" customHeight="1" x14ac:dyDescent="0.2">
      <c r="A853" s="1">
        <v>13735</v>
      </c>
      <c r="B853" s="1" t="s">
        <v>429</v>
      </c>
      <c r="C853" s="1" t="s">
        <v>21</v>
      </c>
      <c r="D853" s="2">
        <v>41780</v>
      </c>
      <c r="E853" s="1" t="s">
        <v>101</v>
      </c>
      <c r="F853" s="1" t="s">
        <v>598</v>
      </c>
      <c r="G853" s="1">
        <v>36</v>
      </c>
      <c r="H853" s="1">
        <v>7.64</v>
      </c>
      <c r="I853" s="1">
        <f t="shared" si="39"/>
        <v>275.03999999999996</v>
      </c>
      <c r="J853" t="str">
        <f t="shared" si="40"/>
        <v>Low</v>
      </c>
      <c r="K853" s="1"/>
      <c r="L853" s="1">
        <v>0.02</v>
      </c>
      <c r="M853" s="1">
        <v>1.39</v>
      </c>
      <c r="N853" s="1" t="s">
        <v>33</v>
      </c>
      <c r="O853" s="1" t="s">
        <v>34</v>
      </c>
      <c r="P853" s="2">
        <v>41782</v>
      </c>
      <c r="Q853" s="2" t="b">
        <f t="shared" si="41"/>
        <v>0</v>
      </c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</row>
    <row r="854" spans="1:35" ht="14.25" customHeight="1" x14ac:dyDescent="0.2">
      <c r="A854" s="1">
        <v>38726</v>
      </c>
      <c r="B854" s="1" t="s">
        <v>881</v>
      </c>
      <c r="C854" s="1" t="s">
        <v>51</v>
      </c>
      <c r="D854" s="2">
        <v>41780</v>
      </c>
      <c r="E854" s="1" t="s">
        <v>101</v>
      </c>
      <c r="F854" s="1" t="s">
        <v>1001</v>
      </c>
      <c r="G854" s="1">
        <v>44</v>
      </c>
      <c r="H854" s="1">
        <v>2.08</v>
      </c>
      <c r="I854" s="1">
        <f t="shared" si="39"/>
        <v>91.52000000000001</v>
      </c>
      <c r="J854" t="str">
        <f t="shared" si="40"/>
        <v>Low</v>
      </c>
      <c r="K854" s="1"/>
      <c r="L854" s="1">
        <v>0.04</v>
      </c>
      <c r="M854" s="1">
        <v>1.49</v>
      </c>
      <c r="N854" s="1" t="s">
        <v>33</v>
      </c>
      <c r="O854" s="1" t="s">
        <v>34</v>
      </c>
      <c r="P854" s="2">
        <v>41782</v>
      </c>
      <c r="Q854" s="2" t="b">
        <f t="shared" si="41"/>
        <v>0</v>
      </c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</row>
    <row r="855" spans="1:35" ht="14.25" customHeight="1" x14ac:dyDescent="0.2">
      <c r="A855" s="1">
        <v>39040</v>
      </c>
      <c r="B855" s="1" t="s">
        <v>1002</v>
      </c>
      <c r="C855" s="1" t="s">
        <v>30</v>
      </c>
      <c r="D855" s="2">
        <v>41780</v>
      </c>
      <c r="E855" s="1" t="s">
        <v>38</v>
      </c>
      <c r="F855" s="1" t="s">
        <v>197</v>
      </c>
      <c r="G855" s="1">
        <v>7</v>
      </c>
      <c r="H855" s="1">
        <v>1.98</v>
      </c>
      <c r="I855" s="1">
        <f t="shared" si="39"/>
        <v>13.86</v>
      </c>
      <c r="J855" t="str">
        <f t="shared" si="40"/>
        <v>Low</v>
      </c>
      <c r="K855" s="1"/>
      <c r="L855" s="1">
        <v>0.04</v>
      </c>
      <c r="M855" s="1">
        <v>0.7</v>
      </c>
      <c r="N855" s="1" t="s">
        <v>25</v>
      </c>
      <c r="O855" s="1" t="s">
        <v>55</v>
      </c>
      <c r="P855" s="2">
        <v>41781</v>
      </c>
      <c r="Q855" s="2" t="b">
        <f t="shared" si="41"/>
        <v>0</v>
      </c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</row>
    <row r="856" spans="1:35" ht="14.25" customHeight="1" x14ac:dyDescent="0.2">
      <c r="A856" s="1">
        <v>25472</v>
      </c>
      <c r="B856" s="1" t="s">
        <v>1003</v>
      </c>
      <c r="C856" s="1" t="s">
        <v>30</v>
      </c>
      <c r="D856" s="2">
        <v>41780</v>
      </c>
      <c r="E856" s="1" t="s">
        <v>31</v>
      </c>
      <c r="F856" s="1" t="s">
        <v>357</v>
      </c>
      <c r="G856" s="1">
        <v>40</v>
      </c>
      <c r="H856" s="1">
        <v>4.9800000000000004</v>
      </c>
      <c r="I856" s="1">
        <f t="shared" si="39"/>
        <v>199.20000000000002</v>
      </c>
      <c r="J856" t="str">
        <f t="shared" si="40"/>
        <v>Low</v>
      </c>
      <c r="K856" s="1"/>
      <c r="L856" s="1">
        <v>0.03</v>
      </c>
      <c r="M856" s="1">
        <v>0.8</v>
      </c>
      <c r="N856" s="1" t="s">
        <v>33</v>
      </c>
      <c r="O856" s="1" t="s">
        <v>55</v>
      </c>
      <c r="P856" s="2">
        <v>41781</v>
      </c>
      <c r="Q856" s="2" t="b">
        <f t="shared" si="41"/>
        <v>0</v>
      </c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</row>
    <row r="857" spans="1:35" ht="14.25" customHeight="1" x14ac:dyDescent="0.2">
      <c r="A857" s="1">
        <v>39040</v>
      </c>
      <c r="B857" s="1" t="s">
        <v>1002</v>
      </c>
      <c r="C857" s="1" t="s">
        <v>21</v>
      </c>
      <c r="D857" s="2">
        <v>41780</v>
      </c>
      <c r="E857" s="1" t="s">
        <v>38</v>
      </c>
      <c r="F857" s="1" t="s">
        <v>752</v>
      </c>
      <c r="G857" s="1">
        <v>26</v>
      </c>
      <c r="H857" s="1">
        <v>55.99</v>
      </c>
      <c r="I857" s="1">
        <f t="shared" si="39"/>
        <v>1455.74</v>
      </c>
      <c r="J857" t="str">
        <f t="shared" si="40"/>
        <v>High</v>
      </c>
      <c r="K857" s="1"/>
      <c r="L857" s="1">
        <v>0.03</v>
      </c>
      <c r="M857" s="1">
        <v>5</v>
      </c>
      <c r="N857" s="1" t="s">
        <v>33</v>
      </c>
      <c r="O857" s="1" t="s">
        <v>84</v>
      </c>
      <c r="P857" s="2">
        <v>41781</v>
      </c>
      <c r="Q857" s="2" t="b">
        <f t="shared" si="41"/>
        <v>0</v>
      </c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</row>
    <row r="858" spans="1:35" ht="14.25" customHeight="1" x14ac:dyDescent="0.2">
      <c r="A858" s="1">
        <v>23170</v>
      </c>
      <c r="B858" s="1" t="s">
        <v>749</v>
      </c>
      <c r="C858" s="1" t="s">
        <v>30</v>
      </c>
      <c r="D858" s="2">
        <v>41780</v>
      </c>
      <c r="E858" s="1" t="s">
        <v>22</v>
      </c>
      <c r="F858" s="1" t="s">
        <v>1004</v>
      </c>
      <c r="G858" s="1">
        <v>20</v>
      </c>
      <c r="H858" s="1">
        <v>218.08</v>
      </c>
      <c r="I858" s="1">
        <f t="shared" si="39"/>
        <v>4361.6000000000004</v>
      </c>
      <c r="J858" t="str">
        <f t="shared" si="40"/>
        <v>High</v>
      </c>
      <c r="K858" s="1"/>
      <c r="L858" s="1">
        <v>0.06</v>
      </c>
      <c r="M858" s="1">
        <v>18.059999999999999</v>
      </c>
      <c r="N858" s="1" t="s">
        <v>25</v>
      </c>
      <c r="O858" s="1" t="s">
        <v>26</v>
      </c>
      <c r="P858" s="2">
        <v>41782</v>
      </c>
      <c r="Q858" s="2" t="b">
        <f t="shared" si="41"/>
        <v>1</v>
      </c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</row>
    <row r="859" spans="1:35" ht="14.25" customHeight="1" x14ac:dyDescent="0.2">
      <c r="A859" s="1">
        <v>31810</v>
      </c>
      <c r="B859" s="1" t="s">
        <v>1005</v>
      </c>
      <c r="C859" s="1" t="s">
        <v>21</v>
      </c>
      <c r="D859" s="2">
        <v>41780</v>
      </c>
      <c r="E859" s="1" t="s">
        <v>38</v>
      </c>
      <c r="F859" s="1" t="s">
        <v>1006</v>
      </c>
      <c r="G859" s="1">
        <v>46</v>
      </c>
      <c r="H859" s="1">
        <v>7.28</v>
      </c>
      <c r="I859" s="1">
        <f t="shared" si="39"/>
        <v>334.88</v>
      </c>
      <c r="J859" t="str">
        <f t="shared" si="40"/>
        <v>Low</v>
      </c>
      <c r="K859" s="1"/>
      <c r="L859" s="1">
        <v>0.03</v>
      </c>
      <c r="M859" s="1">
        <v>7.98</v>
      </c>
      <c r="N859" s="1" t="s">
        <v>33</v>
      </c>
      <c r="O859" s="1" t="s">
        <v>55</v>
      </c>
      <c r="P859" s="2">
        <v>41780</v>
      </c>
      <c r="Q859" s="2" t="b">
        <f t="shared" si="41"/>
        <v>0</v>
      </c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</row>
    <row r="860" spans="1:35" ht="14.25" customHeight="1" x14ac:dyDescent="0.2">
      <c r="A860" s="1">
        <v>42949</v>
      </c>
      <c r="B860" s="1" t="s">
        <v>973</v>
      </c>
      <c r="C860" s="1" t="s">
        <v>51</v>
      </c>
      <c r="D860" s="2">
        <v>41780</v>
      </c>
      <c r="E860" s="1" t="s">
        <v>22</v>
      </c>
      <c r="F860" s="1" t="s">
        <v>1007</v>
      </c>
      <c r="G860" s="1">
        <v>40</v>
      </c>
      <c r="H860" s="1">
        <v>5</v>
      </c>
      <c r="I860" s="1">
        <f t="shared" si="39"/>
        <v>200</v>
      </c>
      <c r="J860" t="str">
        <f t="shared" si="40"/>
        <v>Low</v>
      </c>
      <c r="K860" s="1"/>
      <c r="L860" s="1">
        <v>0.08</v>
      </c>
      <c r="M860" s="1">
        <v>3.39</v>
      </c>
      <c r="N860" s="1" t="s">
        <v>33</v>
      </c>
      <c r="O860" s="1" t="s">
        <v>55</v>
      </c>
      <c r="P860" s="2">
        <v>41781</v>
      </c>
      <c r="Q860" s="2" t="b">
        <f t="shared" si="41"/>
        <v>0</v>
      </c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</row>
    <row r="861" spans="1:35" ht="14.25" customHeight="1" x14ac:dyDescent="0.2">
      <c r="A861" s="1">
        <v>42949</v>
      </c>
      <c r="B861" s="1" t="s">
        <v>973</v>
      </c>
      <c r="C861" s="1" t="s">
        <v>21</v>
      </c>
      <c r="D861" s="2">
        <v>41780</v>
      </c>
      <c r="E861" s="1" t="s">
        <v>22</v>
      </c>
      <c r="F861" s="1" t="s">
        <v>1008</v>
      </c>
      <c r="G861" s="1">
        <v>49</v>
      </c>
      <c r="H861" s="1">
        <v>12.99</v>
      </c>
      <c r="I861" s="1">
        <f t="shared" si="39"/>
        <v>636.51</v>
      </c>
      <c r="J861" t="str">
        <f t="shared" si="40"/>
        <v>Low</v>
      </c>
      <c r="K861" s="1"/>
      <c r="L861" s="1">
        <v>7.0000000000000007E-2</v>
      </c>
      <c r="M861" s="1">
        <v>9.44</v>
      </c>
      <c r="N861" s="1" t="s">
        <v>33</v>
      </c>
      <c r="O861" s="1" t="s">
        <v>72</v>
      </c>
      <c r="P861" s="2">
        <v>41782</v>
      </c>
      <c r="Q861" s="2" t="b">
        <f t="shared" si="41"/>
        <v>0</v>
      </c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</row>
    <row r="862" spans="1:35" ht="14.25" customHeight="1" x14ac:dyDescent="0.2">
      <c r="A862" s="1">
        <v>28069</v>
      </c>
      <c r="B862" s="1" t="s">
        <v>1009</v>
      </c>
      <c r="C862" s="1" t="s">
        <v>21</v>
      </c>
      <c r="D862" s="2">
        <v>41780</v>
      </c>
      <c r="E862" s="1" t="s">
        <v>43</v>
      </c>
      <c r="F862" s="1" t="s">
        <v>1010</v>
      </c>
      <c r="G862" s="1">
        <v>1</v>
      </c>
      <c r="H862" s="1">
        <v>5.18</v>
      </c>
      <c r="I862" s="1">
        <f t="shared" si="39"/>
        <v>5.18</v>
      </c>
      <c r="J862" t="str">
        <f t="shared" si="40"/>
        <v>Low</v>
      </c>
      <c r="K862" s="1"/>
      <c r="L862" s="1">
        <v>0.02</v>
      </c>
      <c r="M862" s="1">
        <v>2.04</v>
      </c>
      <c r="N862" s="1" t="s">
        <v>25</v>
      </c>
      <c r="O862" s="1" t="s">
        <v>55</v>
      </c>
      <c r="P862" s="2">
        <v>41785</v>
      </c>
      <c r="Q862" s="2" t="b">
        <f t="shared" si="41"/>
        <v>0</v>
      </c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</row>
    <row r="863" spans="1:35" ht="14.25" customHeight="1" x14ac:dyDescent="0.2">
      <c r="A863" s="1">
        <v>28069</v>
      </c>
      <c r="B863" s="1" t="s">
        <v>1009</v>
      </c>
      <c r="C863" s="1" t="s">
        <v>51</v>
      </c>
      <c r="D863" s="2">
        <v>41780</v>
      </c>
      <c r="E863" s="1" t="s">
        <v>43</v>
      </c>
      <c r="F863" s="1" t="s">
        <v>1011</v>
      </c>
      <c r="G863" s="1">
        <v>4</v>
      </c>
      <c r="H863" s="1">
        <v>5.84</v>
      </c>
      <c r="I863" s="1">
        <f t="shared" si="39"/>
        <v>23.36</v>
      </c>
      <c r="J863" t="str">
        <f t="shared" si="40"/>
        <v>Low</v>
      </c>
      <c r="K863" s="1"/>
      <c r="L863" s="1">
        <v>0.09</v>
      </c>
      <c r="M863" s="1">
        <v>0.83</v>
      </c>
      <c r="N863" s="1" t="s">
        <v>33</v>
      </c>
      <c r="O863" s="1" t="s">
        <v>55</v>
      </c>
      <c r="P863" s="2">
        <v>41784</v>
      </c>
      <c r="Q863" s="2" t="b">
        <f t="shared" si="41"/>
        <v>0</v>
      </c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</row>
    <row r="864" spans="1:35" ht="14.25" customHeight="1" x14ac:dyDescent="0.2">
      <c r="A864" s="1">
        <v>46853</v>
      </c>
      <c r="B864" s="1" t="s">
        <v>769</v>
      </c>
      <c r="C864" s="1" t="s">
        <v>51</v>
      </c>
      <c r="D864" s="2">
        <v>41781</v>
      </c>
      <c r="E864" s="1" t="s">
        <v>43</v>
      </c>
      <c r="F864" s="1" t="s">
        <v>1012</v>
      </c>
      <c r="G864" s="1">
        <v>22</v>
      </c>
      <c r="H864" s="1">
        <v>256.99</v>
      </c>
      <c r="I864" s="1">
        <f t="shared" si="39"/>
        <v>5653.7800000000007</v>
      </c>
      <c r="J864" t="str">
        <f t="shared" si="40"/>
        <v>High</v>
      </c>
      <c r="K864" s="1"/>
      <c r="L864" s="1">
        <v>0.03</v>
      </c>
      <c r="M864" s="1">
        <v>11.25</v>
      </c>
      <c r="N864" s="1" t="s">
        <v>33</v>
      </c>
      <c r="O864" s="1" t="s">
        <v>34</v>
      </c>
      <c r="P864" s="2">
        <v>41781</v>
      </c>
      <c r="Q864" s="2" t="b">
        <f t="shared" si="41"/>
        <v>0</v>
      </c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</row>
    <row r="865" spans="1:35" ht="14.25" customHeight="1" x14ac:dyDescent="0.2">
      <c r="A865" s="1">
        <v>57666</v>
      </c>
      <c r="B865" s="1" t="s">
        <v>1013</v>
      </c>
      <c r="C865" s="1" t="s">
        <v>51</v>
      </c>
      <c r="D865" s="2">
        <v>41781</v>
      </c>
      <c r="E865" s="1" t="s">
        <v>22</v>
      </c>
      <c r="F865" s="1" t="s">
        <v>1014</v>
      </c>
      <c r="G865" s="1">
        <v>45</v>
      </c>
      <c r="H865" s="1">
        <v>25.98</v>
      </c>
      <c r="I865" s="1">
        <f t="shared" si="39"/>
        <v>1169.0999999999999</v>
      </c>
      <c r="J865" t="str">
        <f t="shared" si="40"/>
        <v>High</v>
      </c>
      <c r="K865" s="1"/>
      <c r="L865" s="1">
        <v>0.03</v>
      </c>
      <c r="M865" s="1">
        <v>4.08</v>
      </c>
      <c r="N865" s="1" t="s">
        <v>33</v>
      </c>
      <c r="O865" s="1" t="s">
        <v>84</v>
      </c>
      <c r="P865" s="2">
        <v>41784</v>
      </c>
      <c r="Q865" s="2" t="b">
        <f t="shared" si="41"/>
        <v>0</v>
      </c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</row>
    <row r="866" spans="1:35" ht="14.25" customHeight="1" x14ac:dyDescent="0.2">
      <c r="A866" s="1">
        <v>57666</v>
      </c>
      <c r="B866" s="1" t="s">
        <v>1013</v>
      </c>
      <c r="C866" s="1" t="s">
        <v>21</v>
      </c>
      <c r="D866" s="2">
        <v>41781</v>
      </c>
      <c r="E866" s="1" t="s">
        <v>22</v>
      </c>
      <c r="F866" s="1" t="s">
        <v>521</v>
      </c>
      <c r="G866" s="1">
        <v>44</v>
      </c>
      <c r="H866" s="1">
        <v>20.98</v>
      </c>
      <c r="I866" s="1">
        <f t="shared" si="39"/>
        <v>923.12</v>
      </c>
      <c r="J866" t="str">
        <f t="shared" si="40"/>
        <v>Low</v>
      </c>
      <c r="K866" s="1"/>
      <c r="L866" s="1">
        <v>0.1</v>
      </c>
      <c r="M866" s="1">
        <v>53.03</v>
      </c>
      <c r="N866" s="1" t="s">
        <v>45</v>
      </c>
      <c r="O866" s="1" t="s">
        <v>46</v>
      </c>
      <c r="P866" s="2">
        <v>41781</v>
      </c>
      <c r="Q866" s="2" t="b">
        <f t="shared" si="41"/>
        <v>0</v>
      </c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</row>
    <row r="867" spans="1:35" ht="14.25" customHeight="1" x14ac:dyDescent="0.2">
      <c r="A867" s="1">
        <v>25509</v>
      </c>
      <c r="B867" s="1" t="s">
        <v>577</v>
      </c>
      <c r="C867" s="1" t="s">
        <v>21</v>
      </c>
      <c r="D867" s="2">
        <v>41781</v>
      </c>
      <c r="E867" s="1" t="s">
        <v>38</v>
      </c>
      <c r="F867" s="1" t="s">
        <v>1015</v>
      </c>
      <c r="G867" s="1">
        <v>43</v>
      </c>
      <c r="H867" s="1">
        <v>4.9800000000000004</v>
      </c>
      <c r="I867" s="1">
        <f t="shared" si="39"/>
        <v>214.14000000000001</v>
      </c>
      <c r="J867" t="str">
        <f t="shared" si="40"/>
        <v>Low</v>
      </c>
      <c r="K867" s="1"/>
      <c r="L867" s="1">
        <v>0.06</v>
      </c>
      <c r="M867" s="1">
        <v>4.95</v>
      </c>
      <c r="N867" s="1" t="s">
        <v>33</v>
      </c>
      <c r="O867" s="1" t="s">
        <v>34</v>
      </c>
      <c r="P867" s="2">
        <v>41783</v>
      </c>
      <c r="Q867" s="2" t="b">
        <f t="shared" si="41"/>
        <v>0</v>
      </c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</row>
    <row r="868" spans="1:35" ht="14.25" customHeight="1" x14ac:dyDescent="0.2">
      <c r="A868" s="1">
        <v>834</v>
      </c>
      <c r="B868" s="1" t="s">
        <v>863</v>
      </c>
      <c r="C868" s="1" t="s">
        <v>21</v>
      </c>
      <c r="D868" s="2">
        <v>41781</v>
      </c>
      <c r="E868" s="1" t="s">
        <v>101</v>
      </c>
      <c r="F868" s="1" t="s">
        <v>214</v>
      </c>
      <c r="G868" s="1">
        <v>15</v>
      </c>
      <c r="H868" s="1">
        <v>115.99</v>
      </c>
      <c r="I868" s="1">
        <f t="shared" si="39"/>
        <v>1739.85</v>
      </c>
      <c r="J868" t="str">
        <f t="shared" si="40"/>
        <v>High</v>
      </c>
      <c r="K868" s="1"/>
      <c r="L868" s="1">
        <v>0.01</v>
      </c>
      <c r="M868" s="1">
        <v>56.14</v>
      </c>
      <c r="N868" s="1" t="s">
        <v>45</v>
      </c>
      <c r="O868" s="1" t="s">
        <v>46</v>
      </c>
      <c r="P868" s="2">
        <v>41782</v>
      </c>
      <c r="Q868" s="2" t="b">
        <f t="shared" si="41"/>
        <v>0</v>
      </c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</row>
    <row r="869" spans="1:35" ht="14.25" customHeight="1" x14ac:dyDescent="0.2">
      <c r="A869" s="1">
        <v>22818</v>
      </c>
      <c r="B869" s="1" t="s">
        <v>1016</v>
      </c>
      <c r="C869" s="1" t="s">
        <v>30</v>
      </c>
      <c r="D869" s="2">
        <v>41781</v>
      </c>
      <c r="E869" s="1" t="s">
        <v>38</v>
      </c>
      <c r="F869" s="1" t="s">
        <v>857</v>
      </c>
      <c r="G869" s="1">
        <v>50</v>
      </c>
      <c r="H869" s="1">
        <v>130.97999999999999</v>
      </c>
      <c r="I869" s="1">
        <f t="shared" si="39"/>
        <v>6548.9999999999991</v>
      </c>
      <c r="J869" t="str">
        <f t="shared" si="40"/>
        <v>High</v>
      </c>
      <c r="K869" s="1"/>
      <c r="L869" s="1">
        <v>0.1</v>
      </c>
      <c r="M869" s="1">
        <v>30</v>
      </c>
      <c r="N869" s="1" t="s">
        <v>45</v>
      </c>
      <c r="O869" s="1" t="s">
        <v>46</v>
      </c>
      <c r="P869" s="2">
        <v>41783</v>
      </c>
      <c r="Q869" s="2" t="b">
        <f t="shared" si="41"/>
        <v>0</v>
      </c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</row>
    <row r="870" spans="1:35" ht="14.25" customHeight="1" x14ac:dyDescent="0.2">
      <c r="A870" s="1">
        <v>22818</v>
      </c>
      <c r="B870" s="1" t="s">
        <v>1016</v>
      </c>
      <c r="C870" s="1" t="s">
        <v>21</v>
      </c>
      <c r="D870" s="2">
        <v>41781</v>
      </c>
      <c r="E870" s="1" t="s">
        <v>43</v>
      </c>
      <c r="F870" s="1" t="s">
        <v>671</v>
      </c>
      <c r="G870" s="1">
        <v>19</v>
      </c>
      <c r="H870" s="1">
        <v>19.98</v>
      </c>
      <c r="I870" s="1">
        <f t="shared" si="39"/>
        <v>379.62</v>
      </c>
      <c r="J870" t="str">
        <f t="shared" si="40"/>
        <v>Low</v>
      </c>
      <c r="K870" s="1"/>
      <c r="L870" s="1">
        <v>0.08</v>
      </c>
      <c r="M870" s="1">
        <v>4</v>
      </c>
      <c r="N870" s="1" t="s">
        <v>33</v>
      </c>
      <c r="O870" s="1" t="s">
        <v>34</v>
      </c>
      <c r="P870" s="2">
        <v>41785</v>
      </c>
      <c r="Q870" s="2" t="b">
        <f t="shared" si="41"/>
        <v>0</v>
      </c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</row>
    <row r="871" spans="1:35" ht="14.25" customHeight="1" x14ac:dyDescent="0.2">
      <c r="A871" s="1">
        <v>19431</v>
      </c>
      <c r="B871" s="1" t="s">
        <v>1017</v>
      </c>
      <c r="C871" s="1" t="s">
        <v>51</v>
      </c>
      <c r="D871" s="2">
        <v>41782</v>
      </c>
      <c r="E871" s="1" t="s">
        <v>22</v>
      </c>
      <c r="F871" s="1" t="s">
        <v>1018</v>
      </c>
      <c r="G871" s="1">
        <v>4</v>
      </c>
      <c r="H871" s="1">
        <v>4.13</v>
      </c>
      <c r="I871" s="1">
        <f t="shared" si="39"/>
        <v>16.52</v>
      </c>
      <c r="J871" t="str">
        <f t="shared" si="40"/>
        <v>Low</v>
      </c>
      <c r="K871" s="1"/>
      <c r="L871" s="1">
        <v>0.08</v>
      </c>
      <c r="M871" s="1">
        <v>1.17</v>
      </c>
      <c r="N871" s="1" t="s">
        <v>33</v>
      </c>
      <c r="O871" s="1" t="s">
        <v>55</v>
      </c>
      <c r="P871" s="2">
        <v>41784</v>
      </c>
      <c r="Q871" s="2" t="b">
        <f t="shared" si="41"/>
        <v>0</v>
      </c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</row>
    <row r="872" spans="1:35" ht="14.25" customHeight="1" x14ac:dyDescent="0.2">
      <c r="A872" s="1">
        <v>55908</v>
      </c>
      <c r="B872" s="1" t="s">
        <v>744</v>
      </c>
      <c r="C872" s="1" t="s">
        <v>21</v>
      </c>
      <c r="D872" s="2">
        <v>41782</v>
      </c>
      <c r="E872" s="1" t="s">
        <v>31</v>
      </c>
      <c r="F872" s="1" t="s">
        <v>1019</v>
      </c>
      <c r="G872" s="1">
        <v>44</v>
      </c>
      <c r="H872" s="1">
        <v>42.8</v>
      </c>
      <c r="I872" s="1">
        <f t="shared" si="39"/>
        <v>1883.1999999999998</v>
      </c>
      <c r="J872" t="str">
        <f t="shared" si="40"/>
        <v>High</v>
      </c>
      <c r="K872" s="1"/>
      <c r="L872" s="1">
        <v>0.03</v>
      </c>
      <c r="M872" s="1">
        <v>2.99</v>
      </c>
      <c r="N872" s="1" t="s">
        <v>33</v>
      </c>
      <c r="O872" s="1" t="s">
        <v>34</v>
      </c>
      <c r="P872" s="2">
        <v>41783</v>
      </c>
      <c r="Q872" s="2" t="b">
        <f t="shared" si="41"/>
        <v>0</v>
      </c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</row>
    <row r="873" spans="1:35" ht="14.25" customHeight="1" x14ac:dyDescent="0.2">
      <c r="A873" s="1">
        <v>26758</v>
      </c>
      <c r="B873" s="1" t="s">
        <v>1020</v>
      </c>
      <c r="C873" s="1" t="s">
        <v>30</v>
      </c>
      <c r="D873" s="2">
        <v>41782</v>
      </c>
      <c r="E873" s="1" t="s">
        <v>22</v>
      </c>
      <c r="F873" s="1" t="s">
        <v>1021</v>
      </c>
      <c r="G873" s="1">
        <v>46</v>
      </c>
      <c r="H873" s="1">
        <v>77.510000000000005</v>
      </c>
      <c r="I873" s="1">
        <f t="shared" si="39"/>
        <v>3565.46</v>
      </c>
      <c r="J873" t="str">
        <f t="shared" si="40"/>
        <v>High</v>
      </c>
      <c r="K873" s="1"/>
      <c r="L873" s="1">
        <v>0.09</v>
      </c>
      <c r="M873" s="1">
        <v>4</v>
      </c>
      <c r="N873" s="1" t="s">
        <v>25</v>
      </c>
      <c r="O873" s="1" t="s">
        <v>34</v>
      </c>
      <c r="P873" s="2">
        <v>41784</v>
      </c>
      <c r="Q873" s="2" t="b">
        <f t="shared" si="41"/>
        <v>0</v>
      </c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</row>
    <row r="874" spans="1:35" ht="14.25" customHeight="1" x14ac:dyDescent="0.2">
      <c r="A874" s="1">
        <v>26758</v>
      </c>
      <c r="B874" s="1" t="s">
        <v>1020</v>
      </c>
      <c r="C874" s="1" t="s">
        <v>30</v>
      </c>
      <c r="D874" s="2">
        <v>41782</v>
      </c>
      <c r="E874" s="1" t="s">
        <v>22</v>
      </c>
      <c r="F874" s="1" t="s">
        <v>274</v>
      </c>
      <c r="G874" s="1">
        <v>37</v>
      </c>
      <c r="H874" s="1">
        <v>2.88</v>
      </c>
      <c r="I874" s="1">
        <f t="shared" si="39"/>
        <v>106.56</v>
      </c>
      <c r="J874" t="str">
        <f t="shared" si="40"/>
        <v>Low</v>
      </c>
      <c r="K874" s="1"/>
      <c r="L874" s="1">
        <v>0</v>
      </c>
      <c r="M874" s="1">
        <v>0.7</v>
      </c>
      <c r="N874" s="1" t="s">
        <v>33</v>
      </c>
      <c r="O874" s="1" t="s">
        <v>55</v>
      </c>
      <c r="P874" s="2">
        <v>41784</v>
      </c>
      <c r="Q874" s="2" t="b">
        <f t="shared" si="41"/>
        <v>0</v>
      </c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</row>
    <row r="875" spans="1:35" ht="14.25" customHeight="1" x14ac:dyDescent="0.2">
      <c r="A875" s="1">
        <v>10663</v>
      </c>
      <c r="B875" s="1" t="s">
        <v>1022</v>
      </c>
      <c r="C875" s="1" t="s">
        <v>51</v>
      </c>
      <c r="D875" s="2">
        <v>41782</v>
      </c>
      <c r="E875" s="1" t="s">
        <v>31</v>
      </c>
      <c r="F875" s="1" t="s">
        <v>1023</v>
      </c>
      <c r="G875" s="1">
        <v>40</v>
      </c>
      <c r="H875" s="1">
        <v>2.61</v>
      </c>
      <c r="I875" s="1">
        <f t="shared" si="39"/>
        <v>104.39999999999999</v>
      </c>
      <c r="J875" t="str">
        <f t="shared" si="40"/>
        <v>Low</v>
      </c>
      <c r="K875" s="1"/>
      <c r="L875" s="1">
        <v>7.0000000000000007E-2</v>
      </c>
      <c r="M875" s="1">
        <v>0.5</v>
      </c>
      <c r="N875" s="1" t="s">
        <v>33</v>
      </c>
      <c r="O875" s="1" t="s">
        <v>34</v>
      </c>
      <c r="P875" s="2">
        <v>41782</v>
      </c>
      <c r="Q875" s="2" t="b">
        <f t="shared" si="41"/>
        <v>0</v>
      </c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</row>
    <row r="876" spans="1:35" ht="14.25" customHeight="1" x14ac:dyDescent="0.2">
      <c r="A876" s="1">
        <v>5760</v>
      </c>
      <c r="B876" s="1" t="s">
        <v>1024</v>
      </c>
      <c r="C876" s="1" t="s">
        <v>21</v>
      </c>
      <c r="D876" s="2">
        <v>41783</v>
      </c>
      <c r="E876" s="1" t="s">
        <v>22</v>
      </c>
      <c r="F876" s="1" t="s">
        <v>1025</v>
      </c>
      <c r="G876" s="1">
        <v>34</v>
      </c>
      <c r="H876" s="1">
        <v>150.97999999999999</v>
      </c>
      <c r="I876" s="1">
        <f t="shared" si="39"/>
        <v>5133.32</v>
      </c>
      <c r="J876" t="str">
        <f t="shared" si="40"/>
        <v>High</v>
      </c>
      <c r="K876" s="1"/>
      <c r="L876" s="1">
        <v>0.05</v>
      </c>
      <c r="M876" s="1">
        <v>43.71</v>
      </c>
      <c r="N876" s="1" t="s">
        <v>45</v>
      </c>
      <c r="O876" s="1" t="s">
        <v>46</v>
      </c>
      <c r="P876" s="2">
        <v>41784</v>
      </c>
      <c r="Q876" s="2" t="b">
        <f t="shared" si="41"/>
        <v>0</v>
      </c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</row>
    <row r="877" spans="1:35" ht="14.25" customHeight="1" x14ac:dyDescent="0.2">
      <c r="A877" s="1">
        <v>12516</v>
      </c>
      <c r="B877" s="1" t="s">
        <v>455</v>
      </c>
      <c r="C877" s="1" t="s">
        <v>21</v>
      </c>
      <c r="D877" s="2">
        <v>41783</v>
      </c>
      <c r="E877" s="1" t="s">
        <v>43</v>
      </c>
      <c r="F877" s="1" t="s">
        <v>370</v>
      </c>
      <c r="G877" s="1">
        <v>31</v>
      </c>
      <c r="H877" s="1">
        <v>80.97</v>
      </c>
      <c r="I877" s="1">
        <f t="shared" si="39"/>
        <v>2510.0700000000002</v>
      </c>
      <c r="J877" t="str">
        <f t="shared" si="40"/>
        <v>High</v>
      </c>
      <c r="K877" s="1"/>
      <c r="L877" s="1">
        <v>0.1</v>
      </c>
      <c r="M877" s="1">
        <v>33.6</v>
      </c>
      <c r="N877" s="1" t="s">
        <v>45</v>
      </c>
      <c r="O877" s="1" t="s">
        <v>46</v>
      </c>
      <c r="P877" s="2">
        <v>41788</v>
      </c>
      <c r="Q877" s="2" t="b">
        <f t="shared" si="41"/>
        <v>0</v>
      </c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</row>
    <row r="878" spans="1:35" ht="14.25" customHeight="1" x14ac:dyDescent="0.2">
      <c r="A878" s="1">
        <v>12516</v>
      </c>
      <c r="B878" s="1" t="s">
        <v>455</v>
      </c>
      <c r="C878" s="1" t="s">
        <v>30</v>
      </c>
      <c r="D878" s="2">
        <v>41783</v>
      </c>
      <c r="E878" s="1" t="s">
        <v>43</v>
      </c>
      <c r="F878" s="1" t="s">
        <v>1000</v>
      </c>
      <c r="G878" s="1">
        <v>22</v>
      </c>
      <c r="H878" s="1">
        <v>6.48</v>
      </c>
      <c r="I878" s="1">
        <f t="shared" si="39"/>
        <v>142.56</v>
      </c>
      <c r="J878" t="str">
        <f t="shared" si="40"/>
        <v>Low</v>
      </c>
      <c r="K878" s="1"/>
      <c r="L878" s="1">
        <v>0.02</v>
      </c>
      <c r="M878" s="1">
        <v>5.1100000000000003</v>
      </c>
      <c r="N878" s="1" t="s">
        <v>33</v>
      </c>
      <c r="O878" s="1" t="s">
        <v>34</v>
      </c>
      <c r="P878" s="2">
        <v>41787</v>
      </c>
      <c r="Q878" s="2" t="b">
        <f t="shared" si="41"/>
        <v>0</v>
      </c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</row>
    <row r="879" spans="1:35" ht="14.25" customHeight="1" x14ac:dyDescent="0.2">
      <c r="A879" s="1">
        <v>23205</v>
      </c>
      <c r="B879" s="1" t="s">
        <v>270</v>
      </c>
      <c r="C879" s="1" t="s">
        <v>30</v>
      </c>
      <c r="D879" s="2">
        <v>41783</v>
      </c>
      <c r="E879" s="1" t="s">
        <v>31</v>
      </c>
      <c r="F879" s="1" t="s">
        <v>1026</v>
      </c>
      <c r="G879" s="1">
        <v>8</v>
      </c>
      <c r="H879" s="1">
        <v>40.98</v>
      </c>
      <c r="I879" s="1">
        <f t="shared" si="39"/>
        <v>327.84</v>
      </c>
      <c r="J879" t="str">
        <f t="shared" si="40"/>
        <v>Low</v>
      </c>
      <c r="K879" s="1"/>
      <c r="L879" s="1">
        <v>0.08</v>
      </c>
      <c r="M879" s="1">
        <v>7.2</v>
      </c>
      <c r="N879" s="1" t="s">
        <v>25</v>
      </c>
      <c r="O879" s="1" t="s">
        <v>34</v>
      </c>
      <c r="P879" s="2">
        <v>41784</v>
      </c>
      <c r="Q879" s="2" t="b">
        <f t="shared" si="41"/>
        <v>0</v>
      </c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</row>
    <row r="880" spans="1:35" ht="14.25" customHeight="1" x14ac:dyDescent="0.2">
      <c r="A880" s="1">
        <v>23205</v>
      </c>
      <c r="B880" s="1" t="s">
        <v>270</v>
      </c>
      <c r="C880" s="1" t="s">
        <v>51</v>
      </c>
      <c r="D880" s="2">
        <v>41783</v>
      </c>
      <c r="E880" s="1" t="s">
        <v>31</v>
      </c>
      <c r="F880" s="1" t="s">
        <v>647</v>
      </c>
      <c r="G880" s="1">
        <v>32</v>
      </c>
      <c r="H880" s="1">
        <v>8.1199999999999992</v>
      </c>
      <c r="I880" s="1">
        <f t="shared" si="39"/>
        <v>259.83999999999997</v>
      </c>
      <c r="J880" t="str">
        <f t="shared" si="40"/>
        <v>Low</v>
      </c>
      <c r="K880" s="1"/>
      <c r="L880" s="1">
        <v>0.08</v>
      </c>
      <c r="M880" s="1">
        <v>2.83</v>
      </c>
      <c r="N880" s="1" t="s">
        <v>25</v>
      </c>
      <c r="O880" s="1" t="s">
        <v>84</v>
      </c>
      <c r="P880" s="2">
        <v>41784</v>
      </c>
      <c r="Q880" s="2" t="b">
        <f t="shared" si="41"/>
        <v>0</v>
      </c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</row>
    <row r="881" spans="1:35" ht="14.25" customHeight="1" x14ac:dyDescent="0.2">
      <c r="A881" s="1">
        <v>23205</v>
      </c>
      <c r="B881" s="1" t="s">
        <v>270</v>
      </c>
      <c r="C881" s="1" t="s">
        <v>21</v>
      </c>
      <c r="D881" s="2">
        <v>41783</v>
      </c>
      <c r="E881" s="1" t="s">
        <v>31</v>
      </c>
      <c r="F881" s="1" t="s">
        <v>1027</v>
      </c>
      <c r="G881" s="1">
        <v>26</v>
      </c>
      <c r="H881" s="1">
        <v>262.11</v>
      </c>
      <c r="I881" s="1">
        <f t="shared" si="39"/>
        <v>6814.8600000000006</v>
      </c>
      <c r="J881" t="str">
        <f t="shared" si="40"/>
        <v>High</v>
      </c>
      <c r="K881" s="1"/>
      <c r="L881" s="1">
        <v>0.02</v>
      </c>
      <c r="M881" s="1">
        <v>62.74</v>
      </c>
      <c r="N881" s="1" t="s">
        <v>45</v>
      </c>
      <c r="O881" s="1" t="s">
        <v>63</v>
      </c>
      <c r="P881" s="2">
        <v>41784</v>
      </c>
      <c r="Q881" s="2" t="b">
        <f t="shared" si="41"/>
        <v>0</v>
      </c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</row>
    <row r="882" spans="1:35" ht="14.25" customHeight="1" x14ac:dyDescent="0.2">
      <c r="A882" s="1">
        <v>41091</v>
      </c>
      <c r="B882" s="1" t="s">
        <v>774</v>
      </c>
      <c r="C882" s="1" t="s">
        <v>30</v>
      </c>
      <c r="D882" s="2">
        <v>41783</v>
      </c>
      <c r="E882" s="1" t="s">
        <v>101</v>
      </c>
      <c r="F882" s="1" t="s">
        <v>1004</v>
      </c>
      <c r="G882" s="1">
        <v>32</v>
      </c>
      <c r="H882" s="1">
        <v>218.08</v>
      </c>
      <c r="I882" s="1">
        <f t="shared" si="39"/>
        <v>6978.56</v>
      </c>
      <c r="J882" t="str">
        <f t="shared" si="40"/>
        <v>High</v>
      </c>
      <c r="K882" s="1"/>
      <c r="L882" s="1">
        <v>0.1</v>
      </c>
      <c r="M882" s="1">
        <v>18.059999999999999</v>
      </c>
      <c r="N882" s="1" t="s">
        <v>25</v>
      </c>
      <c r="O882" s="1" t="s">
        <v>26</v>
      </c>
      <c r="P882" s="2">
        <v>41784</v>
      </c>
      <c r="Q882" s="2" t="b">
        <f t="shared" si="41"/>
        <v>1</v>
      </c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</row>
    <row r="883" spans="1:35" ht="14.25" customHeight="1" x14ac:dyDescent="0.2">
      <c r="A883" s="1">
        <v>3589</v>
      </c>
      <c r="B883" s="1" t="s">
        <v>1028</v>
      </c>
      <c r="C883" s="1" t="s">
        <v>30</v>
      </c>
      <c r="D883" s="2">
        <v>41784</v>
      </c>
      <c r="E883" s="1" t="s">
        <v>31</v>
      </c>
      <c r="F883" s="1" t="s">
        <v>1029</v>
      </c>
      <c r="G883" s="1">
        <v>23</v>
      </c>
      <c r="H883" s="1">
        <v>3.15</v>
      </c>
      <c r="I883" s="1">
        <f t="shared" si="39"/>
        <v>72.45</v>
      </c>
      <c r="J883" t="str">
        <f t="shared" si="40"/>
        <v>Low</v>
      </c>
      <c r="K883" s="1"/>
      <c r="L883" s="1">
        <v>0.01</v>
      </c>
      <c r="M883" s="1">
        <v>0.49</v>
      </c>
      <c r="N883" s="1" t="s">
        <v>33</v>
      </c>
      <c r="O883" s="1" t="s">
        <v>34</v>
      </c>
      <c r="P883" s="2">
        <v>41786</v>
      </c>
      <c r="Q883" s="2" t="b">
        <f t="shared" si="41"/>
        <v>0</v>
      </c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</row>
    <row r="884" spans="1:35" ht="14.25" customHeight="1" x14ac:dyDescent="0.2">
      <c r="A884" s="1">
        <v>39335</v>
      </c>
      <c r="B884" s="1" t="s">
        <v>1030</v>
      </c>
      <c r="C884" s="1" t="s">
        <v>21</v>
      </c>
      <c r="D884" s="2">
        <v>41784</v>
      </c>
      <c r="E884" s="1" t="s">
        <v>22</v>
      </c>
      <c r="F884" s="1" t="s">
        <v>862</v>
      </c>
      <c r="G884" s="1">
        <v>24</v>
      </c>
      <c r="H884" s="1">
        <v>4.7699999999999996</v>
      </c>
      <c r="I884" s="1">
        <f t="shared" si="39"/>
        <v>114.47999999999999</v>
      </c>
      <c r="J884" t="str">
        <f t="shared" si="40"/>
        <v>Low</v>
      </c>
      <c r="K884" s="1"/>
      <c r="L884" s="1">
        <v>0.06</v>
      </c>
      <c r="M884" s="1">
        <v>2.39</v>
      </c>
      <c r="N884" s="1" t="s">
        <v>33</v>
      </c>
      <c r="O884" s="1" t="s">
        <v>84</v>
      </c>
      <c r="P884" s="2">
        <v>41785</v>
      </c>
      <c r="Q884" s="2" t="b">
        <f t="shared" si="41"/>
        <v>0</v>
      </c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</row>
    <row r="885" spans="1:35" ht="14.25" customHeight="1" x14ac:dyDescent="0.2">
      <c r="A885" s="1">
        <v>39335</v>
      </c>
      <c r="B885" s="1" t="s">
        <v>1030</v>
      </c>
      <c r="C885" s="1" t="s">
        <v>30</v>
      </c>
      <c r="D885" s="2">
        <v>41784</v>
      </c>
      <c r="E885" s="1" t="s">
        <v>22</v>
      </c>
      <c r="F885" s="1" t="s">
        <v>1031</v>
      </c>
      <c r="G885" s="1">
        <v>34</v>
      </c>
      <c r="H885" s="1">
        <v>27.18</v>
      </c>
      <c r="I885" s="1">
        <f t="shared" si="39"/>
        <v>924.12</v>
      </c>
      <c r="J885" t="str">
        <f t="shared" si="40"/>
        <v>Low</v>
      </c>
      <c r="K885" s="1"/>
      <c r="L885" s="1">
        <v>0.1</v>
      </c>
      <c r="M885" s="1">
        <v>8.23</v>
      </c>
      <c r="N885" s="1" t="s">
        <v>33</v>
      </c>
      <c r="O885" s="1" t="s">
        <v>34</v>
      </c>
      <c r="P885" s="2">
        <v>41786</v>
      </c>
      <c r="Q885" s="2" t="b">
        <f t="shared" si="41"/>
        <v>0</v>
      </c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</row>
    <row r="886" spans="1:35" ht="14.25" customHeight="1" x14ac:dyDescent="0.2">
      <c r="A886" s="1">
        <v>29637</v>
      </c>
      <c r="B886" s="1" t="s">
        <v>1032</v>
      </c>
      <c r="C886" s="1" t="s">
        <v>21</v>
      </c>
      <c r="D886" s="2">
        <v>41784</v>
      </c>
      <c r="E886" s="1" t="s">
        <v>31</v>
      </c>
      <c r="F886" s="1" t="s">
        <v>734</v>
      </c>
      <c r="G886" s="1">
        <v>34</v>
      </c>
      <c r="H886" s="1">
        <v>17.98</v>
      </c>
      <c r="I886" s="1">
        <f t="shared" si="39"/>
        <v>611.32000000000005</v>
      </c>
      <c r="J886" t="str">
        <f t="shared" si="40"/>
        <v>Low</v>
      </c>
      <c r="K886" s="1"/>
      <c r="L886" s="1">
        <v>0.09</v>
      </c>
      <c r="M886" s="1">
        <v>8.51</v>
      </c>
      <c r="N886" s="1" t="s">
        <v>33</v>
      </c>
      <c r="O886" s="1" t="s">
        <v>72</v>
      </c>
      <c r="P886" s="2">
        <v>41786</v>
      </c>
      <c r="Q886" s="2" t="b">
        <f t="shared" si="41"/>
        <v>0</v>
      </c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</row>
    <row r="887" spans="1:35" ht="14.25" customHeight="1" x14ac:dyDescent="0.2">
      <c r="A887" s="1">
        <v>59072</v>
      </c>
      <c r="B887" s="1" t="s">
        <v>1033</v>
      </c>
      <c r="C887" s="1" t="s">
        <v>21</v>
      </c>
      <c r="D887" s="2">
        <v>41784</v>
      </c>
      <c r="E887" s="1" t="s">
        <v>22</v>
      </c>
      <c r="F887" s="1" t="s">
        <v>1034</v>
      </c>
      <c r="G887" s="1">
        <v>12</v>
      </c>
      <c r="H887" s="1">
        <v>5.44</v>
      </c>
      <c r="I887" s="1">
        <f t="shared" si="39"/>
        <v>65.28</v>
      </c>
      <c r="J887" t="str">
        <f t="shared" si="40"/>
        <v>Low</v>
      </c>
      <c r="K887" s="1"/>
      <c r="L887" s="1">
        <v>0.03</v>
      </c>
      <c r="M887" s="1">
        <v>7.46</v>
      </c>
      <c r="N887" s="1" t="s">
        <v>25</v>
      </c>
      <c r="O887" s="1" t="s">
        <v>34</v>
      </c>
      <c r="P887" s="2">
        <v>41786</v>
      </c>
      <c r="Q887" s="2" t="b">
        <f t="shared" si="41"/>
        <v>0</v>
      </c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</row>
    <row r="888" spans="1:35" ht="14.25" customHeight="1" x14ac:dyDescent="0.2">
      <c r="A888" s="1">
        <v>59072</v>
      </c>
      <c r="B888" s="1" t="s">
        <v>1033</v>
      </c>
      <c r="C888" s="1" t="s">
        <v>21</v>
      </c>
      <c r="D888" s="2">
        <v>41784</v>
      </c>
      <c r="E888" s="1" t="s">
        <v>22</v>
      </c>
      <c r="F888" s="1" t="s">
        <v>1035</v>
      </c>
      <c r="G888" s="1">
        <v>22</v>
      </c>
      <c r="H888" s="1">
        <v>26.38</v>
      </c>
      <c r="I888" s="1">
        <f t="shared" si="39"/>
        <v>580.36</v>
      </c>
      <c r="J888" t="str">
        <f t="shared" si="40"/>
        <v>Low</v>
      </c>
      <c r="K888" s="1"/>
      <c r="L888" s="1">
        <v>0.08</v>
      </c>
      <c r="M888" s="1">
        <v>5.58</v>
      </c>
      <c r="N888" s="1" t="s">
        <v>33</v>
      </c>
      <c r="O888" s="1" t="s">
        <v>34</v>
      </c>
      <c r="P888" s="2">
        <v>41785</v>
      </c>
      <c r="Q888" s="2" t="b">
        <f t="shared" si="41"/>
        <v>0</v>
      </c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</row>
    <row r="889" spans="1:35" ht="14.25" customHeight="1" x14ac:dyDescent="0.2">
      <c r="A889" s="1">
        <v>59072</v>
      </c>
      <c r="B889" s="1" t="s">
        <v>1033</v>
      </c>
      <c r="C889" s="1" t="s">
        <v>21</v>
      </c>
      <c r="D889" s="2">
        <v>41784</v>
      </c>
      <c r="E889" s="1" t="s">
        <v>22</v>
      </c>
      <c r="F889" s="1" t="s">
        <v>1036</v>
      </c>
      <c r="G889" s="1">
        <v>2</v>
      </c>
      <c r="H889" s="1">
        <v>20.99</v>
      </c>
      <c r="I889" s="1">
        <f t="shared" si="39"/>
        <v>41.98</v>
      </c>
      <c r="J889" t="str">
        <f t="shared" si="40"/>
        <v>Low</v>
      </c>
      <c r="K889" s="1"/>
      <c r="L889" s="1">
        <v>0.06</v>
      </c>
      <c r="M889" s="1">
        <v>2.5</v>
      </c>
      <c r="N889" s="1" t="s">
        <v>33</v>
      </c>
      <c r="O889" s="1" t="s">
        <v>55</v>
      </c>
      <c r="P889" s="2">
        <v>41786</v>
      </c>
      <c r="Q889" s="2" t="b">
        <f t="shared" si="41"/>
        <v>0</v>
      </c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</row>
    <row r="890" spans="1:35" ht="14.25" customHeight="1" x14ac:dyDescent="0.2">
      <c r="A890" s="1">
        <v>59072</v>
      </c>
      <c r="B890" s="1" t="s">
        <v>1033</v>
      </c>
      <c r="C890" s="1" t="s">
        <v>51</v>
      </c>
      <c r="D890" s="2">
        <v>41784</v>
      </c>
      <c r="E890" s="1" t="s">
        <v>22</v>
      </c>
      <c r="F890" s="1" t="s">
        <v>1037</v>
      </c>
      <c r="G890" s="1">
        <v>38</v>
      </c>
      <c r="H890" s="1">
        <v>125.99</v>
      </c>
      <c r="I890" s="1">
        <f t="shared" si="39"/>
        <v>4787.62</v>
      </c>
      <c r="J890" t="str">
        <f t="shared" si="40"/>
        <v>High</v>
      </c>
      <c r="K890" s="1"/>
      <c r="L890" s="1">
        <v>0</v>
      </c>
      <c r="M890" s="1">
        <v>2.5</v>
      </c>
      <c r="N890" s="1" t="s">
        <v>33</v>
      </c>
      <c r="O890" s="1" t="s">
        <v>34</v>
      </c>
      <c r="P890" s="2">
        <v>41786</v>
      </c>
      <c r="Q890" s="2" t="b">
        <f t="shared" si="41"/>
        <v>0</v>
      </c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</row>
    <row r="891" spans="1:35" ht="14.25" customHeight="1" x14ac:dyDescent="0.2">
      <c r="A891" s="1">
        <v>6880</v>
      </c>
      <c r="B891" s="1" t="s">
        <v>509</v>
      </c>
      <c r="C891" s="1" t="s">
        <v>30</v>
      </c>
      <c r="D891" s="2">
        <v>41784</v>
      </c>
      <c r="E891" s="1" t="s">
        <v>101</v>
      </c>
      <c r="F891" s="1" t="s">
        <v>761</v>
      </c>
      <c r="G891" s="1">
        <v>5</v>
      </c>
      <c r="H891" s="1">
        <v>47.9</v>
      </c>
      <c r="I891" s="1">
        <f t="shared" si="39"/>
        <v>239.5</v>
      </c>
      <c r="J891" t="str">
        <f t="shared" si="40"/>
        <v>Low</v>
      </c>
      <c r="K891" s="1"/>
      <c r="L891" s="1">
        <v>0.06</v>
      </c>
      <c r="M891" s="1">
        <v>5.86</v>
      </c>
      <c r="N891" s="1" t="s">
        <v>33</v>
      </c>
      <c r="O891" s="1" t="s">
        <v>34</v>
      </c>
      <c r="P891" s="2">
        <v>41786</v>
      </c>
      <c r="Q891" s="2" t="b">
        <f t="shared" si="41"/>
        <v>0</v>
      </c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</row>
    <row r="892" spans="1:35" ht="14.25" customHeight="1" x14ac:dyDescent="0.2">
      <c r="A892" s="1">
        <v>25445</v>
      </c>
      <c r="B892" s="1" t="s">
        <v>1038</v>
      </c>
      <c r="C892" s="1" t="s">
        <v>30</v>
      </c>
      <c r="D892" s="2">
        <v>41784</v>
      </c>
      <c r="E892" s="1" t="s">
        <v>43</v>
      </c>
      <c r="F892" s="1" t="s">
        <v>419</v>
      </c>
      <c r="G892" s="1">
        <v>48</v>
      </c>
      <c r="H892" s="1">
        <v>30.56</v>
      </c>
      <c r="I892" s="1">
        <f t="shared" si="39"/>
        <v>1466.8799999999999</v>
      </c>
      <c r="J892" t="str">
        <f t="shared" si="40"/>
        <v>High</v>
      </c>
      <c r="K892" s="1"/>
      <c r="L892" s="1">
        <v>0.08</v>
      </c>
      <c r="M892" s="1">
        <v>2.99</v>
      </c>
      <c r="N892" s="1" t="s">
        <v>33</v>
      </c>
      <c r="O892" s="1" t="s">
        <v>34</v>
      </c>
      <c r="P892" s="2">
        <v>41786</v>
      </c>
      <c r="Q892" s="2" t="b">
        <f t="shared" si="41"/>
        <v>0</v>
      </c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</row>
    <row r="893" spans="1:35" ht="14.25" customHeight="1" x14ac:dyDescent="0.2">
      <c r="A893" s="1">
        <v>9476</v>
      </c>
      <c r="B893" s="1" t="s">
        <v>143</v>
      </c>
      <c r="C893" s="1" t="s">
        <v>51</v>
      </c>
      <c r="D893" s="2">
        <v>41784</v>
      </c>
      <c r="E893" s="1" t="s">
        <v>22</v>
      </c>
      <c r="F893" s="1" t="s">
        <v>137</v>
      </c>
      <c r="G893" s="1">
        <v>10</v>
      </c>
      <c r="H893" s="1">
        <v>15.99</v>
      </c>
      <c r="I893" s="1">
        <f t="shared" si="39"/>
        <v>159.9</v>
      </c>
      <c r="J893" t="str">
        <f t="shared" si="40"/>
        <v>Low</v>
      </c>
      <c r="K893" s="1"/>
      <c r="L893" s="1">
        <v>0.08</v>
      </c>
      <c r="M893" s="1">
        <v>13.18</v>
      </c>
      <c r="N893" s="1" t="s">
        <v>25</v>
      </c>
      <c r="O893" s="1" t="s">
        <v>34</v>
      </c>
      <c r="P893" s="2">
        <v>41786</v>
      </c>
      <c r="Q893" s="2" t="b">
        <f t="shared" si="41"/>
        <v>0</v>
      </c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</row>
    <row r="894" spans="1:35" ht="14.25" customHeight="1" x14ac:dyDescent="0.2">
      <c r="A894" s="1">
        <v>57153</v>
      </c>
      <c r="B894" s="1" t="s">
        <v>1039</v>
      </c>
      <c r="C894" s="1" t="s">
        <v>30</v>
      </c>
      <c r="D894" s="2">
        <v>41785</v>
      </c>
      <c r="E894" s="1" t="s">
        <v>38</v>
      </c>
      <c r="F894" s="1" t="s">
        <v>755</v>
      </c>
      <c r="G894" s="1">
        <v>9</v>
      </c>
      <c r="H894" s="1">
        <v>11.33</v>
      </c>
      <c r="I894" s="1">
        <f t="shared" si="39"/>
        <v>101.97</v>
      </c>
      <c r="J894" t="str">
        <f t="shared" si="40"/>
        <v>Low</v>
      </c>
      <c r="K894" s="1"/>
      <c r="L894" s="1">
        <v>0.02</v>
      </c>
      <c r="M894" s="1">
        <v>6.12</v>
      </c>
      <c r="N894" s="1" t="s">
        <v>33</v>
      </c>
      <c r="O894" s="1" t="s">
        <v>72</v>
      </c>
      <c r="P894" s="2">
        <v>41787</v>
      </c>
      <c r="Q894" s="2" t="b">
        <f t="shared" si="41"/>
        <v>0</v>
      </c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</row>
    <row r="895" spans="1:35" ht="14.25" customHeight="1" x14ac:dyDescent="0.2">
      <c r="A895" s="1">
        <v>57153</v>
      </c>
      <c r="B895" s="1" t="s">
        <v>1039</v>
      </c>
      <c r="C895" s="1" t="s">
        <v>30</v>
      </c>
      <c r="D895" s="2">
        <v>41785</v>
      </c>
      <c r="E895" s="1" t="s">
        <v>38</v>
      </c>
      <c r="F895" s="1" t="s">
        <v>951</v>
      </c>
      <c r="G895" s="1">
        <v>45</v>
      </c>
      <c r="H895" s="1">
        <v>15.67</v>
      </c>
      <c r="I895" s="1">
        <f t="shared" si="39"/>
        <v>705.15</v>
      </c>
      <c r="J895" t="str">
        <f t="shared" si="40"/>
        <v>Low</v>
      </c>
      <c r="K895" s="1"/>
      <c r="L895" s="1">
        <v>0.01</v>
      </c>
      <c r="M895" s="1">
        <v>1.39</v>
      </c>
      <c r="N895" s="1" t="s">
        <v>33</v>
      </c>
      <c r="O895" s="1" t="s">
        <v>34</v>
      </c>
      <c r="P895" s="2">
        <v>41786</v>
      </c>
      <c r="Q895" s="2" t="b">
        <f t="shared" si="41"/>
        <v>0</v>
      </c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</row>
    <row r="896" spans="1:35" ht="14.25" customHeight="1" x14ac:dyDescent="0.2">
      <c r="A896" s="1">
        <v>39426</v>
      </c>
      <c r="B896" s="1" t="s">
        <v>948</v>
      </c>
      <c r="C896" s="1" t="s">
        <v>30</v>
      </c>
      <c r="D896" s="2">
        <v>41785</v>
      </c>
      <c r="E896" s="1" t="s">
        <v>38</v>
      </c>
      <c r="F896" s="1" t="s">
        <v>961</v>
      </c>
      <c r="G896" s="1">
        <v>21</v>
      </c>
      <c r="H896" s="1">
        <v>2.62</v>
      </c>
      <c r="I896" s="1">
        <f t="shared" si="39"/>
        <v>55.02</v>
      </c>
      <c r="J896" t="str">
        <f t="shared" si="40"/>
        <v>Low</v>
      </c>
      <c r="K896" s="1"/>
      <c r="L896" s="1">
        <v>0.05</v>
      </c>
      <c r="M896" s="1">
        <v>0.8</v>
      </c>
      <c r="N896" s="1" t="s">
        <v>33</v>
      </c>
      <c r="O896" s="1" t="s">
        <v>55</v>
      </c>
      <c r="P896" s="2">
        <v>41786</v>
      </c>
      <c r="Q896" s="2" t="b">
        <f t="shared" si="41"/>
        <v>0</v>
      </c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</row>
    <row r="897" spans="1:35" ht="14.25" customHeight="1" x14ac:dyDescent="0.2">
      <c r="A897" s="1">
        <v>51815</v>
      </c>
      <c r="B897" s="1" t="s">
        <v>866</v>
      </c>
      <c r="C897" s="1" t="s">
        <v>21</v>
      </c>
      <c r="D897" s="2">
        <v>41785</v>
      </c>
      <c r="E897" s="1" t="s">
        <v>43</v>
      </c>
      <c r="F897" s="1" t="s">
        <v>999</v>
      </c>
      <c r="G897" s="1">
        <v>37</v>
      </c>
      <c r="H897" s="1">
        <v>5.94</v>
      </c>
      <c r="I897" s="1">
        <f t="shared" si="39"/>
        <v>219.78</v>
      </c>
      <c r="J897" t="str">
        <f t="shared" si="40"/>
        <v>Low</v>
      </c>
      <c r="K897" s="1"/>
      <c r="L897" s="1">
        <v>0.01</v>
      </c>
      <c r="M897" s="1">
        <v>9.92</v>
      </c>
      <c r="N897" s="1" t="s">
        <v>33</v>
      </c>
      <c r="O897" s="1" t="s">
        <v>34</v>
      </c>
      <c r="P897" s="2">
        <v>41792</v>
      </c>
      <c r="Q897" s="2" t="b">
        <f t="shared" si="41"/>
        <v>0</v>
      </c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</row>
    <row r="898" spans="1:35" ht="14.25" customHeight="1" x14ac:dyDescent="0.2">
      <c r="A898" s="1">
        <v>51815</v>
      </c>
      <c r="B898" s="1" t="s">
        <v>866</v>
      </c>
      <c r="C898" s="1" t="s">
        <v>21</v>
      </c>
      <c r="D898" s="2">
        <v>41785</v>
      </c>
      <c r="E898" s="1" t="s">
        <v>43</v>
      </c>
      <c r="F898" s="1" t="s">
        <v>1040</v>
      </c>
      <c r="G898" s="1">
        <v>21</v>
      </c>
      <c r="H898" s="1">
        <v>125.99</v>
      </c>
      <c r="I898" s="1">
        <f t="shared" ref="I898:I961" si="42">G898*H898</f>
        <v>2645.79</v>
      </c>
      <c r="J898" t="str">
        <f t="shared" ref="J898:J961" si="43">IF(I898&lt;1000,"Low","High")</f>
        <v>High</v>
      </c>
      <c r="K898" s="1"/>
      <c r="L898" s="1">
        <v>0.02</v>
      </c>
      <c r="M898" s="1">
        <v>3</v>
      </c>
      <c r="N898" s="1" t="s">
        <v>33</v>
      </c>
      <c r="O898" s="1" t="s">
        <v>34</v>
      </c>
      <c r="P898" s="2">
        <v>41785</v>
      </c>
      <c r="Q898" s="2" t="b">
        <f t="shared" ref="Q898:Q961" si="44">AND(N898="Express Air",O898="Large Box")</f>
        <v>0</v>
      </c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</row>
    <row r="899" spans="1:35" ht="14.25" customHeight="1" x14ac:dyDescent="0.2">
      <c r="A899" s="1">
        <v>5222</v>
      </c>
      <c r="B899" s="1" t="s">
        <v>678</v>
      </c>
      <c r="C899" s="1" t="s">
        <v>51</v>
      </c>
      <c r="D899" s="2">
        <v>41785</v>
      </c>
      <c r="E899" s="1" t="s">
        <v>22</v>
      </c>
      <c r="F899" s="1" t="s">
        <v>811</v>
      </c>
      <c r="G899" s="1">
        <v>40</v>
      </c>
      <c r="H899" s="1">
        <v>349.45</v>
      </c>
      <c r="I899" s="1">
        <f t="shared" si="42"/>
        <v>13978</v>
      </c>
      <c r="J899" t="str">
        <f t="shared" si="43"/>
        <v>High</v>
      </c>
      <c r="K899" s="1"/>
      <c r="L899" s="1">
        <v>0.01</v>
      </c>
      <c r="M899" s="1">
        <v>60</v>
      </c>
      <c r="N899" s="1" t="s">
        <v>45</v>
      </c>
      <c r="O899" s="1" t="s">
        <v>46</v>
      </c>
      <c r="P899" s="2">
        <v>41786</v>
      </c>
      <c r="Q899" s="2" t="b">
        <f t="shared" si="44"/>
        <v>0</v>
      </c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</row>
    <row r="900" spans="1:35" ht="14.25" customHeight="1" x14ac:dyDescent="0.2">
      <c r="A900" s="1">
        <v>23076</v>
      </c>
      <c r="B900" s="1" t="s">
        <v>1041</v>
      </c>
      <c r="C900" s="1" t="s">
        <v>21</v>
      </c>
      <c r="D900" s="2">
        <v>41786</v>
      </c>
      <c r="E900" s="1" t="s">
        <v>38</v>
      </c>
      <c r="F900" s="1" t="s">
        <v>636</v>
      </c>
      <c r="G900" s="1">
        <v>50</v>
      </c>
      <c r="H900" s="1">
        <v>14.2</v>
      </c>
      <c r="I900" s="1">
        <f t="shared" si="42"/>
        <v>710</v>
      </c>
      <c r="J900" t="str">
        <f t="shared" si="43"/>
        <v>Low</v>
      </c>
      <c r="K900" s="1"/>
      <c r="L900" s="1">
        <v>0.03</v>
      </c>
      <c r="M900" s="1">
        <v>5.3</v>
      </c>
      <c r="N900" s="1" t="s">
        <v>33</v>
      </c>
      <c r="O900" s="1" t="s">
        <v>55</v>
      </c>
      <c r="P900" s="2">
        <v>41787</v>
      </c>
      <c r="Q900" s="2" t="b">
        <f t="shared" si="44"/>
        <v>0</v>
      </c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</row>
    <row r="901" spans="1:35" ht="14.25" customHeight="1" x14ac:dyDescent="0.2">
      <c r="A901" s="1">
        <v>17408</v>
      </c>
      <c r="B901" s="1" t="s">
        <v>1042</v>
      </c>
      <c r="C901" s="1" t="s">
        <v>51</v>
      </c>
      <c r="D901" s="2">
        <v>41786</v>
      </c>
      <c r="E901" s="1" t="s">
        <v>22</v>
      </c>
      <c r="F901" s="1" t="s">
        <v>980</v>
      </c>
      <c r="G901" s="1">
        <v>26</v>
      </c>
      <c r="H901" s="1">
        <v>5.4</v>
      </c>
      <c r="I901" s="1">
        <f t="shared" si="42"/>
        <v>140.4</v>
      </c>
      <c r="J901" t="str">
        <f t="shared" si="43"/>
        <v>Low</v>
      </c>
      <c r="K901" s="1"/>
      <c r="L901" s="1">
        <v>0.05</v>
      </c>
      <c r="M901" s="1">
        <v>7.78</v>
      </c>
      <c r="N901" s="1" t="s">
        <v>25</v>
      </c>
      <c r="O901" s="1" t="s">
        <v>34</v>
      </c>
      <c r="P901" s="2">
        <v>41788</v>
      </c>
      <c r="Q901" s="2" t="b">
        <f t="shared" si="44"/>
        <v>0</v>
      </c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</row>
    <row r="902" spans="1:35" ht="14.25" customHeight="1" x14ac:dyDescent="0.2">
      <c r="A902" s="1">
        <v>17408</v>
      </c>
      <c r="B902" s="1" t="s">
        <v>1042</v>
      </c>
      <c r="C902" s="1" t="s">
        <v>21</v>
      </c>
      <c r="D902" s="2">
        <v>41786</v>
      </c>
      <c r="E902" s="1" t="s">
        <v>22</v>
      </c>
      <c r="F902" s="1" t="s">
        <v>652</v>
      </c>
      <c r="G902" s="1">
        <v>41</v>
      </c>
      <c r="H902" s="1">
        <v>20.99</v>
      </c>
      <c r="I902" s="1">
        <f t="shared" si="42"/>
        <v>860.58999999999992</v>
      </c>
      <c r="J902" t="str">
        <f t="shared" si="43"/>
        <v>Low</v>
      </c>
      <c r="K902" s="1"/>
      <c r="L902" s="1">
        <v>0.02</v>
      </c>
      <c r="M902" s="1">
        <v>4.8099999999999996</v>
      </c>
      <c r="N902" s="1" t="s">
        <v>33</v>
      </c>
      <c r="O902" s="1" t="s">
        <v>72</v>
      </c>
      <c r="P902" s="2">
        <v>41788</v>
      </c>
      <c r="Q902" s="2" t="b">
        <f t="shared" si="44"/>
        <v>0</v>
      </c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</row>
    <row r="903" spans="1:35" ht="14.25" customHeight="1" x14ac:dyDescent="0.2">
      <c r="A903" s="1">
        <v>22402</v>
      </c>
      <c r="B903" s="1" t="s">
        <v>825</v>
      </c>
      <c r="C903" s="1" t="s">
        <v>51</v>
      </c>
      <c r="D903" s="2">
        <v>41786</v>
      </c>
      <c r="E903" s="1" t="s">
        <v>38</v>
      </c>
      <c r="F903" s="1" t="s">
        <v>972</v>
      </c>
      <c r="G903" s="1">
        <v>33</v>
      </c>
      <c r="H903" s="1">
        <v>37.700000000000003</v>
      </c>
      <c r="I903" s="1">
        <f t="shared" si="42"/>
        <v>1244.1000000000001</v>
      </c>
      <c r="J903" t="str">
        <f t="shared" si="43"/>
        <v>High</v>
      </c>
      <c r="K903" s="1"/>
      <c r="L903" s="1">
        <v>0.04</v>
      </c>
      <c r="M903" s="1">
        <v>2.99</v>
      </c>
      <c r="N903" s="1" t="s">
        <v>33</v>
      </c>
      <c r="O903" s="1" t="s">
        <v>34</v>
      </c>
      <c r="P903" s="2">
        <v>41787</v>
      </c>
      <c r="Q903" s="2" t="b">
        <f t="shared" si="44"/>
        <v>0</v>
      </c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</row>
    <row r="904" spans="1:35" ht="14.25" customHeight="1" x14ac:dyDescent="0.2">
      <c r="A904" s="1">
        <v>22402</v>
      </c>
      <c r="B904" s="1" t="s">
        <v>825</v>
      </c>
      <c r="C904" s="1" t="s">
        <v>30</v>
      </c>
      <c r="D904" s="2">
        <v>41786</v>
      </c>
      <c r="E904" s="1" t="s">
        <v>38</v>
      </c>
      <c r="F904" s="1" t="s">
        <v>752</v>
      </c>
      <c r="G904" s="1">
        <v>1</v>
      </c>
      <c r="H904" s="1">
        <v>55.99</v>
      </c>
      <c r="I904" s="1">
        <f t="shared" si="42"/>
        <v>55.99</v>
      </c>
      <c r="J904" t="str">
        <f t="shared" si="43"/>
        <v>Low</v>
      </c>
      <c r="K904" s="1"/>
      <c r="L904" s="1">
        <v>0.01</v>
      </c>
      <c r="M904" s="1">
        <v>5</v>
      </c>
      <c r="N904" s="1" t="s">
        <v>33</v>
      </c>
      <c r="O904" s="1" t="s">
        <v>84</v>
      </c>
      <c r="P904" s="2">
        <v>41787</v>
      </c>
      <c r="Q904" s="2" t="b">
        <f t="shared" si="44"/>
        <v>0</v>
      </c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</row>
    <row r="905" spans="1:35" ht="14.25" customHeight="1" x14ac:dyDescent="0.2">
      <c r="A905" s="1">
        <v>6464</v>
      </c>
      <c r="B905" s="1" t="s">
        <v>1043</v>
      </c>
      <c r="C905" s="1" t="s">
        <v>51</v>
      </c>
      <c r="D905" s="2">
        <v>41787</v>
      </c>
      <c r="E905" s="1" t="s">
        <v>101</v>
      </c>
      <c r="F905" s="1" t="s">
        <v>1044</v>
      </c>
      <c r="G905" s="1">
        <v>1</v>
      </c>
      <c r="H905" s="1">
        <v>60.97</v>
      </c>
      <c r="I905" s="1">
        <f t="shared" si="42"/>
        <v>60.97</v>
      </c>
      <c r="J905" t="str">
        <f t="shared" si="43"/>
        <v>Low</v>
      </c>
      <c r="K905" s="1"/>
      <c r="L905" s="1">
        <v>7.0000000000000007E-2</v>
      </c>
      <c r="M905" s="1">
        <v>4.5</v>
      </c>
      <c r="N905" s="1" t="s">
        <v>33</v>
      </c>
      <c r="O905" s="1" t="s">
        <v>34</v>
      </c>
      <c r="P905" s="2">
        <v>41789</v>
      </c>
      <c r="Q905" s="2" t="b">
        <f t="shared" si="44"/>
        <v>0</v>
      </c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</row>
    <row r="906" spans="1:35" ht="14.25" customHeight="1" x14ac:dyDescent="0.2">
      <c r="A906" s="1">
        <v>6464</v>
      </c>
      <c r="B906" s="1" t="s">
        <v>1043</v>
      </c>
      <c r="C906" s="1" t="s">
        <v>30</v>
      </c>
      <c r="D906" s="2">
        <v>41787</v>
      </c>
      <c r="E906" s="1" t="s">
        <v>101</v>
      </c>
      <c r="F906" s="1" t="s">
        <v>326</v>
      </c>
      <c r="G906" s="1">
        <v>42</v>
      </c>
      <c r="H906" s="1">
        <v>90.98</v>
      </c>
      <c r="I906" s="1">
        <f t="shared" si="42"/>
        <v>3821.1600000000003</v>
      </c>
      <c r="J906" t="str">
        <f t="shared" si="43"/>
        <v>High</v>
      </c>
      <c r="K906" s="1"/>
      <c r="L906" s="1">
        <v>0</v>
      </c>
      <c r="M906" s="1">
        <v>56.2</v>
      </c>
      <c r="N906" s="1" t="s">
        <v>33</v>
      </c>
      <c r="O906" s="1" t="s">
        <v>72</v>
      </c>
      <c r="P906" s="2">
        <v>41789</v>
      </c>
      <c r="Q906" s="2" t="b">
        <f t="shared" si="44"/>
        <v>0</v>
      </c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</row>
    <row r="907" spans="1:35" ht="14.25" customHeight="1" x14ac:dyDescent="0.2">
      <c r="A907" s="1">
        <v>58337</v>
      </c>
      <c r="B907" s="1" t="s">
        <v>875</v>
      </c>
      <c r="C907" s="1" t="s">
        <v>21</v>
      </c>
      <c r="D907" s="2">
        <v>41787</v>
      </c>
      <c r="E907" s="1" t="s">
        <v>43</v>
      </c>
      <c r="F907" s="1" t="s">
        <v>1045</v>
      </c>
      <c r="G907" s="1">
        <v>18</v>
      </c>
      <c r="H907" s="1">
        <v>5.85</v>
      </c>
      <c r="I907" s="1">
        <f t="shared" si="42"/>
        <v>105.3</v>
      </c>
      <c r="J907" t="str">
        <f t="shared" si="43"/>
        <v>Low</v>
      </c>
      <c r="K907" s="1"/>
      <c r="L907" s="1">
        <v>0.03</v>
      </c>
      <c r="M907" s="1">
        <v>2.27</v>
      </c>
      <c r="N907" s="1" t="s">
        <v>33</v>
      </c>
      <c r="O907" s="1" t="s">
        <v>55</v>
      </c>
      <c r="P907" s="2">
        <v>41789</v>
      </c>
      <c r="Q907" s="2" t="b">
        <f t="shared" si="44"/>
        <v>0</v>
      </c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</row>
    <row r="908" spans="1:35" ht="14.25" customHeight="1" x14ac:dyDescent="0.2">
      <c r="A908" s="1">
        <v>21190</v>
      </c>
      <c r="B908" s="1" t="s">
        <v>280</v>
      </c>
      <c r="C908" s="1" t="s">
        <v>51</v>
      </c>
      <c r="D908" s="2">
        <v>41787</v>
      </c>
      <c r="E908" s="1" t="s">
        <v>101</v>
      </c>
      <c r="F908" s="1" t="s">
        <v>1046</v>
      </c>
      <c r="G908" s="1">
        <v>28</v>
      </c>
      <c r="H908" s="1">
        <v>35.94</v>
      </c>
      <c r="I908" s="1">
        <f t="shared" si="42"/>
        <v>1006.3199999999999</v>
      </c>
      <c r="J908" t="str">
        <f t="shared" si="43"/>
        <v>High</v>
      </c>
      <c r="K908" s="1"/>
      <c r="L908" s="1">
        <v>0.01</v>
      </c>
      <c r="M908" s="1">
        <v>6.66</v>
      </c>
      <c r="N908" s="1" t="s">
        <v>33</v>
      </c>
      <c r="O908" s="1" t="s">
        <v>34</v>
      </c>
      <c r="P908" s="2">
        <v>41787</v>
      </c>
      <c r="Q908" s="2" t="b">
        <f t="shared" si="44"/>
        <v>0</v>
      </c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</row>
    <row r="909" spans="1:35" ht="14.25" customHeight="1" x14ac:dyDescent="0.2">
      <c r="A909" s="1">
        <v>56486</v>
      </c>
      <c r="B909" s="1" t="s">
        <v>1047</v>
      </c>
      <c r="C909" s="1" t="s">
        <v>30</v>
      </c>
      <c r="D909" s="2">
        <v>41787</v>
      </c>
      <c r="E909" s="1" t="s">
        <v>38</v>
      </c>
      <c r="F909" s="1" t="s">
        <v>327</v>
      </c>
      <c r="G909" s="1">
        <v>11</v>
      </c>
      <c r="H909" s="1">
        <v>5.98</v>
      </c>
      <c r="I909" s="1">
        <f t="shared" si="42"/>
        <v>65.78</v>
      </c>
      <c r="J909" t="str">
        <f t="shared" si="43"/>
        <v>Low</v>
      </c>
      <c r="K909" s="1"/>
      <c r="L909" s="1">
        <v>0.03</v>
      </c>
      <c r="M909" s="1">
        <v>5.35</v>
      </c>
      <c r="N909" s="1" t="s">
        <v>33</v>
      </c>
      <c r="O909" s="1" t="s">
        <v>34</v>
      </c>
      <c r="P909" s="2">
        <v>41788</v>
      </c>
      <c r="Q909" s="2" t="b">
        <f t="shared" si="44"/>
        <v>0</v>
      </c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</row>
    <row r="910" spans="1:35" ht="14.25" customHeight="1" x14ac:dyDescent="0.2">
      <c r="A910" s="1">
        <v>16225</v>
      </c>
      <c r="B910" s="1" t="s">
        <v>277</v>
      </c>
      <c r="C910" s="1" t="s">
        <v>21</v>
      </c>
      <c r="D910" s="2">
        <v>41787</v>
      </c>
      <c r="E910" s="1" t="s">
        <v>38</v>
      </c>
      <c r="F910" s="1" t="s">
        <v>417</v>
      </c>
      <c r="G910" s="1">
        <v>30</v>
      </c>
      <c r="H910" s="1">
        <v>17.7</v>
      </c>
      <c r="I910" s="1">
        <f t="shared" si="42"/>
        <v>531</v>
      </c>
      <c r="J910" t="str">
        <f t="shared" si="43"/>
        <v>Low</v>
      </c>
      <c r="K910" s="1"/>
      <c r="L910" s="1">
        <v>0.03</v>
      </c>
      <c r="M910" s="1">
        <v>9.4700000000000006</v>
      </c>
      <c r="N910" s="1" t="s">
        <v>33</v>
      </c>
      <c r="O910" s="1" t="s">
        <v>34</v>
      </c>
      <c r="P910" s="2">
        <v>41789</v>
      </c>
      <c r="Q910" s="2" t="b">
        <f t="shared" si="44"/>
        <v>0</v>
      </c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</row>
    <row r="911" spans="1:35" ht="14.25" customHeight="1" x14ac:dyDescent="0.2">
      <c r="A911" s="1">
        <v>22342</v>
      </c>
      <c r="B911" s="1" t="s">
        <v>1048</v>
      </c>
      <c r="C911" s="1" t="s">
        <v>21</v>
      </c>
      <c r="D911" s="2">
        <v>41788</v>
      </c>
      <c r="E911" s="1" t="s">
        <v>43</v>
      </c>
      <c r="F911" s="1" t="s">
        <v>608</v>
      </c>
      <c r="G911" s="1">
        <v>13</v>
      </c>
      <c r="H911" s="1">
        <v>20.99</v>
      </c>
      <c r="I911" s="1">
        <f t="shared" si="42"/>
        <v>272.87</v>
      </c>
      <c r="J911" t="str">
        <f t="shared" si="43"/>
        <v>Low</v>
      </c>
      <c r="K911" s="1"/>
      <c r="L911" s="1">
        <v>0</v>
      </c>
      <c r="M911" s="1">
        <v>3.3</v>
      </c>
      <c r="N911" s="1" t="s">
        <v>33</v>
      </c>
      <c r="O911" s="1" t="s">
        <v>84</v>
      </c>
      <c r="P911" s="2">
        <v>41795</v>
      </c>
      <c r="Q911" s="2" t="b">
        <f t="shared" si="44"/>
        <v>0</v>
      </c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</row>
    <row r="912" spans="1:35" ht="14.25" customHeight="1" x14ac:dyDescent="0.2">
      <c r="A912" s="1">
        <v>1895</v>
      </c>
      <c r="B912" s="1" t="s">
        <v>912</v>
      </c>
      <c r="C912" s="1" t="s">
        <v>21</v>
      </c>
      <c r="D912" s="2">
        <v>41788</v>
      </c>
      <c r="E912" s="1" t="s">
        <v>101</v>
      </c>
      <c r="F912" s="1" t="s">
        <v>1049</v>
      </c>
      <c r="G912" s="1">
        <v>5</v>
      </c>
      <c r="H912" s="1">
        <v>6.48</v>
      </c>
      <c r="I912" s="1">
        <f t="shared" si="42"/>
        <v>32.400000000000006</v>
      </c>
      <c r="J912" t="str">
        <f t="shared" si="43"/>
        <v>Low</v>
      </c>
      <c r="K912" s="1"/>
      <c r="L912" s="1">
        <v>0.02</v>
      </c>
      <c r="M912" s="1">
        <v>7.91</v>
      </c>
      <c r="N912" s="1" t="s">
        <v>33</v>
      </c>
      <c r="O912" s="1" t="s">
        <v>34</v>
      </c>
      <c r="P912" s="2">
        <v>41790</v>
      </c>
      <c r="Q912" s="2" t="b">
        <f t="shared" si="44"/>
        <v>0</v>
      </c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</row>
    <row r="913" spans="1:35" ht="14.25" customHeight="1" x14ac:dyDescent="0.2">
      <c r="A913" s="1">
        <v>50501</v>
      </c>
      <c r="B913" s="1" t="s">
        <v>639</v>
      </c>
      <c r="C913" s="1" t="s">
        <v>30</v>
      </c>
      <c r="D913" s="2">
        <v>41788</v>
      </c>
      <c r="E913" s="1" t="s">
        <v>31</v>
      </c>
      <c r="F913" s="1" t="s">
        <v>1050</v>
      </c>
      <c r="G913" s="1">
        <v>31</v>
      </c>
      <c r="H913" s="1">
        <v>23.99</v>
      </c>
      <c r="I913" s="1">
        <f t="shared" si="42"/>
        <v>743.68999999999994</v>
      </c>
      <c r="J913" t="str">
        <f t="shared" si="43"/>
        <v>Low</v>
      </c>
      <c r="K913" s="1"/>
      <c r="L913" s="1">
        <v>0.01</v>
      </c>
      <c r="M913" s="1">
        <v>6.3</v>
      </c>
      <c r="N913" s="1" t="s">
        <v>33</v>
      </c>
      <c r="O913" s="1" t="s">
        <v>72</v>
      </c>
      <c r="P913" s="2">
        <v>41790</v>
      </c>
      <c r="Q913" s="2" t="b">
        <f t="shared" si="44"/>
        <v>0</v>
      </c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</row>
    <row r="914" spans="1:35" ht="14.25" customHeight="1" x14ac:dyDescent="0.2">
      <c r="A914" s="1">
        <v>42981</v>
      </c>
      <c r="B914" s="1" t="s">
        <v>80</v>
      </c>
      <c r="C914" s="1" t="s">
        <v>21</v>
      </c>
      <c r="D914" s="2">
        <v>41789</v>
      </c>
      <c r="E914" s="1" t="s">
        <v>38</v>
      </c>
      <c r="F914" s="1" t="s">
        <v>144</v>
      </c>
      <c r="G914" s="1">
        <v>4</v>
      </c>
      <c r="H914" s="1">
        <v>896.99</v>
      </c>
      <c r="I914" s="1">
        <f t="shared" si="42"/>
        <v>3587.96</v>
      </c>
      <c r="J914" t="str">
        <f t="shared" si="43"/>
        <v>High</v>
      </c>
      <c r="K914" s="1"/>
      <c r="L914" s="1">
        <v>0.05</v>
      </c>
      <c r="M914" s="1">
        <v>19.989999999999998</v>
      </c>
      <c r="N914" s="1" t="s">
        <v>33</v>
      </c>
      <c r="O914" s="1" t="s">
        <v>34</v>
      </c>
      <c r="P914" s="2">
        <v>41791</v>
      </c>
      <c r="Q914" s="2" t="b">
        <f t="shared" si="44"/>
        <v>0</v>
      </c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</row>
    <row r="915" spans="1:35" ht="14.25" customHeight="1" x14ac:dyDescent="0.2">
      <c r="A915" s="1">
        <v>50374</v>
      </c>
      <c r="B915" s="1" t="s">
        <v>80</v>
      </c>
      <c r="C915" s="1" t="s">
        <v>21</v>
      </c>
      <c r="D915" s="2">
        <v>41789</v>
      </c>
      <c r="E915" s="1" t="s">
        <v>22</v>
      </c>
      <c r="F915" s="1" t="s">
        <v>552</v>
      </c>
      <c r="G915" s="1">
        <v>30</v>
      </c>
      <c r="H915" s="1">
        <v>120.98</v>
      </c>
      <c r="I915" s="1">
        <f t="shared" si="42"/>
        <v>3629.4</v>
      </c>
      <c r="J915" t="str">
        <f t="shared" si="43"/>
        <v>High</v>
      </c>
      <c r="K915" s="1"/>
      <c r="L915" s="1">
        <v>0.05</v>
      </c>
      <c r="M915" s="1">
        <v>9.07</v>
      </c>
      <c r="N915" s="1" t="s">
        <v>33</v>
      </c>
      <c r="O915" s="1" t="s">
        <v>34</v>
      </c>
      <c r="P915" s="2">
        <v>41790</v>
      </c>
      <c r="Q915" s="2" t="b">
        <f t="shared" si="44"/>
        <v>0</v>
      </c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</row>
    <row r="916" spans="1:35" ht="14.25" customHeight="1" x14ac:dyDescent="0.2">
      <c r="A916" s="1">
        <v>21766</v>
      </c>
      <c r="B916" s="1" t="s">
        <v>1051</v>
      </c>
      <c r="C916" s="1" t="s">
        <v>21</v>
      </c>
      <c r="D916" s="2">
        <v>41791</v>
      </c>
      <c r="E916" s="1" t="s">
        <v>31</v>
      </c>
      <c r="F916" s="1" t="s">
        <v>1052</v>
      </c>
      <c r="G916" s="1">
        <v>41</v>
      </c>
      <c r="H916" s="1">
        <v>120.98</v>
      </c>
      <c r="I916" s="1">
        <f t="shared" si="42"/>
        <v>4960.18</v>
      </c>
      <c r="J916" t="str">
        <f t="shared" si="43"/>
        <v>High</v>
      </c>
      <c r="K916" s="1"/>
      <c r="L916" s="1">
        <v>0.03</v>
      </c>
      <c r="M916" s="1">
        <v>30</v>
      </c>
      <c r="N916" s="1" t="s">
        <v>45</v>
      </c>
      <c r="O916" s="1" t="s">
        <v>46</v>
      </c>
      <c r="P916" s="2">
        <v>41793</v>
      </c>
      <c r="Q916" s="2" t="b">
        <f t="shared" si="44"/>
        <v>0</v>
      </c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</row>
    <row r="917" spans="1:35" ht="14.25" customHeight="1" x14ac:dyDescent="0.2">
      <c r="A917" s="1">
        <v>21766</v>
      </c>
      <c r="B917" s="1" t="s">
        <v>1051</v>
      </c>
      <c r="C917" s="1" t="s">
        <v>21</v>
      </c>
      <c r="D917" s="2">
        <v>41791</v>
      </c>
      <c r="E917" s="1" t="s">
        <v>31</v>
      </c>
      <c r="F917" s="1" t="s">
        <v>1053</v>
      </c>
      <c r="G917" s="1">
        <v>32</v>
      </c>
      <c r="H917" s="1">
        <v>15.68</v>
      </c>
      <c r="I917" s="1">
        <f t="shared" si="42"/>
        <v>501.76</v>
      </c>
      <c r="J917" t="str">
        <f t="shared" si="43"/>
        <v>Low</v>
      </c>
      <c r="K917" s="1"/>
      <c r="L917" s="1">
        <v>0.01</v>
      </c>
      <c r="M917" s="1">
        <v>3.73</v>
      </c>
      <c r="N917" s="1" t="s">
        <v>33</v>
      </c>
      <c r="O917" s="1" t="s">
        <v>84</v>
      </c>
      <c r="P917" s="2">
        <v>41793</v>
      </c>
      <c r="Q917" s="2" t="b">
        <f t="shared" si="44"/>
        <v>0</v>
      </c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</row>
    <row r="918" spans="1:35" ht="14.25" customHeight="1" x14ac:dyDescent="0.2">
      <c r="A918" s="1">
        <v>52487</v>
      </c>
      <c r="B918" s="1" t="s">
        <v>297</v>
      </c>
      <c r="C918" s="1" t="s">
        <v>30</v>
      </c>
      <c r="D918" s="2">
        <v>41791</v>
      </c>
      <c r="E918" s="1" t="s">
        <v>38</v>
      </c>
      <c r="F918" s="1" t="s">
        <v>1054</v>
      </c>
      <c r="G918" s="1">
        <v>17</v>
      </c>
      <c r="H918" s="1">
        <v>7.78</v>
      </c>
      <c r="I918" s="1">
        <f t="shared" si="42"/>
        <v>132.26</v>
      </c>
      <c r="J918" t="str">
        <f t="shared" si="43"/>
        <v>Low</v>
      </c>
      <c r="K918" s="1"/>
      <c r="L918" s="1">
        <v>0.09</v>
      </c>
      <c r="M918" s="1">
        <v>2.5</v>
      </c>
      <c r="N918" s="1" t="s">
        <v>33</v>
      </c>
      <c r="O918" s="1" t="s">
        <v>34</v>
      </c>
      <c r="P918" s="2">
        <v>41792</v>
      </c>
      <c r="Q918" s="2" t="b">
        <f t="shared" si="44"/>
        <v>0</v>
      </c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</row>
    <row r="919" spans="1:35" ht="14.25" customHeight="1" x14ac:dyDescent="0.2">
      <c r="A919" s="1">
        <v>42851</v>
      </c>
      <c r="B919" s="1" t="s">
        <v>1055</v>
      </c>
      <c r="C919" s="1" t="s">
        <v>30</v>
      </c>
      <c r="D919" s="2">
        <v>41791</v>
      </c>
      <c r="E919" s="1" t="s">
        <v>31</v>
      </c>
      <c r="F919" s="1" t="s">
        <v>1056</v>
      </c>
      <c r="G919" s="1">
        <v>4</v>
      </c>
      <c r="H919" s="1">
        <v>4.71</v>
      </c>
      <c r="I919" s="1">
        <f t="shared" si="42"/>
        <v>18.84</v>
      </c>
      <c r="J919" t="str">
        <f t="shared" si="43"/>
        <v>Low</v>
      </c>
      <c r="K919" s="1"/>
      <c r="L919" s="1">
        <v>0.05</v>
      </c>
      <c r="M919" s="1">
        <v>0.7</v>
      </c>
      <c r="N919" s="1" t="s">
        <v>25</v>
      </c>
      <c r="O919" s="1" t="s">
        <v>55</v>
      </c>
      <c r="P919" s="2">
        <v>41792</v>
      </c>
      <c r="Q919" s="2" t="b">
        <f t="shared" si="44"/>
        <v>0</v>
      </c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</row>
    <row r="920" spans="1:35" ht="14.25" customHeight="1" x14ac:dyDescent="0.2">
      <c r="A920" s="1">
        <v>42851</v>
      </c>
      <c r="B920" s="1" t="s">
        <v>1055</v>
      </c>
      <c r="C920" s="1" t="s">
        <v>30</v>
      </c>
      <c r="D920" s="2">
        <v>41791</v>
      </c>
      <c r="E920" s="1" t="s">
        <v>31</v>
      </c>
      <c r="F920" s="1" t="s">
        <v>1057</v>
      </c>
      <c r="G920" s="1">
        <v>7</v>
      </c>
      <c r="H920" s="1">
        <v>55.99</v>
      </c>
      <c r="I920" s="1">
        <f t="shared" si="42"/>
        <v>391.93</v>
      </c>
      <c r="J920" t="str">
        <f t="shared" si="43"/>
        <v>Low</v>
      </c>
      <c r="K920" s="1"/>
      <c r="L920" s="1">
        <v>0.04</v>
      </c>
      <c r="M920" s="1">
        <v>1.25</v>
      </c>
      <c r="N920" s="1" t="s">
        <v>25</v>
      </c>
      <c r="O920" s="1" t="s">
        <v>84</v>
      </c>
      <c r="P920" s="2">
        <v>41792</v>
      </c>
      <c r="Q920" s="2" t="b">
        <f t="shared" si="44"/>
        <v>0</v>
      </c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</row>
    <row r="921" spans="1:35" ht="14.25" customHeight="1" x14ac:dyDescent="0.2">
      <c r="A921" s="1">
        <v>5639</v>
      </c>
      <c r="B921" s="1" t="s">
        <v>837</v>
      </c>
      <c r="C921" s="1" t="s">
        <v>51</v>
      </c>
      <c r="D921" s="2">
        <v>41791</v>
      </c>
      <c r="E921" s="1" t="s">
        <v>101</v>
      </c>
      <c r="F921" s="1" t="s">
        <v>1058</v>
      </c>
      <c r="G921" s="1">
        <v>31</v>
      </c>
      <c r="H921" s="1">
        <v>15.31</v>
      </c>
      <c r="I921" s="1">
        <f t="shared" si="42"/>
        <v>474.61</v>
      </c>
      <c r="J921" t="str">
        <f t="shared" si="43"/>
        <v>Low</v>
      </c>
      <c r="K921" s="1"/>
      <c r="L921" s="1">
        <v>0.03</v>
      </c>
      <c r="M921" s="1">
        <v>8.7799999999999994</v>
      </c>
      <c r="N921" s="1" t="s">
        <v>33</v>
      </c>
      <c r="O921" s="1" t="s">
        <v>34</v>
      </c>
      <c r="P921" s="2">
        <v>41792</v>
      </c>
      <c r="Q921" s="2" t="b">
        <f t="shared" si="44"/>
        <v>0</v>
      </c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</row>
    <row r="922" spans="1:35" ht="14.25" customHeight="1" x14ac:dyDescent="0.2">
      <c r="A922" s="1">
        <v>35461</v>
      </c>
      <c r="B922" s="1" t="s">
        <v>129</v>
      </c>
      <c r="C922" s="1" t="s">
        <v>21</v>
      </c>
      <c r="D922" s="2">
        <v>41791</v>
      </c>
      <c r="E922" s="1" t="s">
        <v>38</v>
      </c>
      <c r="F922" s="1" t="s">
        <v>1059</v>
      </c>
      <c r="G922" s="1">
        <v>11</v>
      </c>
      <c r="H922" s="1">
        <v>4.49</v>
      </c>
      <c r="I922" s="1">
        <f t="shared" si="42"/>
        <v>49.39</v>
      </c>
      <c r="J922" t="str">
        <f t="shared" si="43"/>
        <v>Low</v>
      </c>
      <c r="K922" s="1"/>
      <c r="L922" s="1">
        <v>0.08</v>
      </c>
      <c r="M922" s="1">
        <v>1.49</v>
      </c>
      <c r="N922" s="1" t="s">
        <v>33</v>
      </c>
      <c r="O922" s="1" t="s">
        <v>34</v>
      </c>
      <c r="P922" s="2">
        <v>41791</v>
      </c>
      <c r="Q922" s="2" t="b">
        <f t="shared" si="44"/>
        <v>0</v>
      </c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</row>
    <row r="923" spans="1:35" ht="14.25" customHeight="1" x14ac:dyDescent="0.2">
      <c r="A923" s="1">
        <v>35461</v>
      </c>
      <c r="B923" s="1" t="s">
        <v>129</v>
      </c>
      <c r="C923" s="1" t="s">
        <v>30</v>
      </c>
      <c r="D923" s="2">
        <v>41791</v>
      </c>
      <c r="E923" s="1" t="s">
        <v>38</v>
      </c>
      <c r="F923" s="1" t="s">
        <v>970</v>
      </c>
      <c r="G923" s="1">
        <v>30</v>
      </c>
      <c r="H923" s="1">
        <v>3.68</v>
      </c>
      <c r="I923" s="1">
        <f t="shared" si="42"/>
        <v>110.4</v>
      </c>
      <c r="J923" t="str">
        <f t="shared" si="43"/>
        <v>Low</v>
      </c>
      <c r="K923" s="1"/>
      <c r="L923" s="1">
        <v>0.04</v>
      </c>
      <c r="M923" s="1">
        <v>1.32</v>
      </c>
      <c r="N923" s="1" t="s">
        <v>33</v>
      </c>
      <c r="O923" s="1" t="s">
        <v>55</v>
      </c>
      <c r="P923" s="2">
        <v>41792</v>
      </c>
      <c r="Q923" s="2" t="b">
        <f t="shared" si="44"/>
        <v>0</v>
      </c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</row>
    <row r="924" spans="1:35" ht="14.25" customHeight="1" x14ac:dyDescent="0.2">
      <c r="A924" s="1">
        <v>2050</v>
      </c>
      <c r="B924" s="1" t="s">
        <v>843</v>
      </c>
      <c r="C924" s="1" t="s">
        <v>30</v>
      </c>
      <c r="D924" s="2">
        <v>41791</v>
      </c>
      <c r="E924" s="1" t="s">
        <v>22</v>
      </c>
      <c r="F924" s="1" t="s">
        <v>1060</v>
      </c>
      <c r="G924" s="1">
        <v>16</v>
      </c>
      <c r="H924" s="1">
        <v>2.89</v>
      </c>
      <c r="I924" s="1">
        <f t="shared" si="42"/>
        <v>46.24</v>
      </c>
      <c r="J924" t="str">
        <f t="shared" si="43"/>
        <v>Low</v>
      </c>
      <c r="K924" s="1"/>
      <c r="L924" s="1">
        <v>0.06</v>
      </c>
      <c r="M924" s="1">
        <v>0.99</v>
      </c>
      <c r="N924" s="1" t="s">
        <v>33</v>
      </c>
      <c r="O924" s="1" t="s">
        <v>34</v>
      </c>
      <c r="P924" s="2">
        <v>41793</v>
      </c>
      <c r="Q924" s="2" t="b">
        <f t="shared" si="44"/>
        <v>0</v>
      </c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</row>
    <row r="925" spans="1:35" ht="14.25" customHeight="1" x14ac:dyDescent="0.2">
      <c r="A925" s="1">
        <v>2050</v>
      </c>
      <c r="B925" s="1" t="s">
        <v>843</v>
      </c>
      <c r="C925" s="1" t="s">
        <v>21</v>
      </c>
      <c r="D925" s="2">
        <v>41791</v>
      </c>
      <c r="E925" s="1" t="s">
        <v>22</v>
      </c>
      <c r="F925" s="1" t="s">
        <v>710</v>
      </c>
      <c r="G925" s="1">
        <v>25</v>
      </c>
      <c r="H925" s="1">
        <v>22.84</v>
      </c>
      <c r="I925" s="1">
        <f t="shared" si="42"/>
        <v>571</v>
      </c>
      <c r="J925" t="str">
        <f t="shared" si="43"/>
        <v>Low</v>
      </c>
      <c r="K925" s="1"/>
      <c r="L925" s="1">
        <v>0.08</v>
      </c>
      <c r="M925" s="1">
        <v>11.54</v>
      </c>
      <c r="N925" s="1" t="s">
        <v>33</v>
      </c>
      <c r="O925" s="1" t="s">
        <v>34</v>
      </c>
      <c r="P925" s="2">
        <v>41793</v>
      </c>
      <c r="Q925" s="2" t="b">
        <f t="shared" si="44"/>
        <v>0</v>
      </c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</row>
    <row r="926" spans="1:35" ht="14.25" customHeight="1" x14ac:dyDescent="0.2">
      <c r="A926" s="1">
        <v>7398</v>
      </c>
      <c r="B926" s="1" t="s">
        <v>609</v>
      </c>
      <c r="C926" s="1" t="s">
        <v>21</v>
      </c>
      <c r="D926" s="2">
        <v>41791</v>
      </c>
      <c r="E926" s="1" t="s">
        <v>22</v>
      </c>
      <c r="F926" s="1" t="s">
        <v>1061</v>
      </c>
      <c r="G926" s="1">
        <v>6</v>
      </c>
      <c r="H926" s="1">
        <v>9.11</v>
      </c>
      <c r="I926" s="1">
        <f t="shared" si="42"/>
        <v>54.66</v>
      </c>
      <c r="J926" t="str">
        <f t="shared" si="43"/>
        <v>Low</v>
      </c>
      <c r="K926" s="1"/>
      <c r="L926" s="1">
        <v>0.04</v>
      </c>
      <c r="M926" s="1">
        <v>2.25</v>
      </c>
      <c r="N926" s="1" t="s">
        <v>33</v>
      </c>
      <c r="O926" s="1" t="s">
        <v>55</v>
      </c>
      <c r="P926" s="2">
        <v>41794</v>
      </c>
      <c r="Q926" s="2" t="b">
        <f t="shared" si="44"/>
        <v>0</v>
      </c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</row>
    <row r="927" spans="1:35" ht="14.25" customHeight="1" x14ac:dyDescent="0.2">
      <c r="A927" s="1">
        <v>7398</v>
      </c>
      <c r="B927" s="1" t="s">
        <v>609</v>
      </c>
      <c r="C927" s="1" t="s">
        <v>51</v>
      </c>
      <c r="D927" s="2">
        <v>41791</v>
      </c>
      <c r="E927" s="1" t="s">
        <v>22</v>
      </c>
      <c r="F927" s="1" t="s">
        <v>1062</v>
      </c>
      <c r="G927" s="1">
        <v>34</v>
      </c>
      <c r="H927" s="1">
        <v>64.650000000000006</v>
      </c>
      <c r="I927" s="1">
        <f t="shared" si="42"/>
        <v>2198.1000000000004</v>
      </c>
      <c r="J927" t="str">
        <f t="shared" si="43"/>
        <v>High</v>
      </c>
      <c r="K927" s="1"/>
      <c r="L927" s="1">
        <v>7.0000000000000007E-2</v>
      </c>
      <c r="M927" s="1">
        <v>35</v>
      </c>
      <c r="N927" s="1" t="s">
        <v>33</v>
      </c>
      <c r="O927" s="1" t="s">
        <v>26</v>
      </c>
      <c r="P927" s="2">
        <v>41793</v>
      </c>
      <c r="Q927" s="2" t="b">
        <f t="shared" si="44"/>
        <v>0</v>
      </c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</row>
    <row r="928" spans="1:35" ht="14.25" customHeight="1" x14ac:dyDescent="0.2">
      <c r="A928" s="1">
        <v>48455</v>
      </c>
      <c r="B928" s="1" t="s">
        <v>223</v>
      </c>
      <c r="C928" s="1" t="s">
        <v>30</v>
      </c>
      <c r="D928" s="2">
        <v>41792</v>
      </c>
      <c r="E928" s="1" t="s">
        <v>38</v>
      </c>
      <c r="F928" s="1" t="s">
        <v>710</v>
      </c>
      <c r="G928" s="1">
        <v>34</v>
      </c>
      <c r="H928" s="1">
        <v>22.84</v>
      </c>
      <c r="I928" s="1">
        <f t="shared" si="42"/>
        <v>776.56</v>
      </c>
      <c r="J928" t="str">
        <f t="shared" si="43"/>
        <v>Low</v>
      </c>
      <c r="K928" s="1"/>
      <c r="L928" s="1">
        <v>0.03</v>
      </c>
      <c r="M928" s="1">
        <v>11.54</v>
      </c>
      <c r="N928" s="1" t="s">
        <v>33</v>
      </c>
      <c r="O928" s="1" t="s">
        <v>34</v>
      </c>
      <c r="P928" s="2">
        <v>41793</v>
      </c>
      <c r="Q928" s="2" t="b">
        <f t="shared" si="44"/>
        <v>0</v>
      </c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</row>
    <row r="929" spans="1:35" ht="14.25" customHeight="1" x14ac:dyDescent="0.2">
      <c r="A929" s="1">
        <v>6179</v>
      </c>
      <c r="B929" s="1" t="s">
        <v>1063</v>
      </c>
      <c r="C929" s="1" t="s">
        <v>30</v>
      </c>
      <c r="D929" s="2">
        <v>41792</v>
      </c>
      <c r="E929" s="1" t="s">
        <v>22</v>
      </c>
      <c r="F929" s="1" t="s">
        <v>574</v>
      </c>
      <c r="G929" s="1">
        <v>50</v>
      </c>
      <c r="H929" s="1">
        <v>9.7799999999999994</v>
      </c>
      <c r="I929" s="1">
        <f t="shared" si="42"/>
        <v>488.99999999999994</v>
      </c>
      <c r="J929" t="str">
        <f t="shared" si="43"/>
        <v>Low</v>
      </c>
      <c r="K929" s="1"/>
      <c r="L929" s="1">
        <v>0.09</v>
      </c>
      <c r="M929" s="1">
        <v>1.39</v>
      </c>
      <c r="N929" s="1" t="s">
        <v>33</v>
      </c>
      <c r="O929" s="1" t="s">
        <v>34</v>
      </c>
      <c r="P929" s="2">
        <v>41793</v>
      </c>
      <c r="Q929" s="2" t="b">
        <f t="shared" si="44"/>
        <v>0</v>
      </c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</row>
    <row r="930" spans="1:35" ht="14.25" customHeight="1" x14ac:dyDescent="0.2">
      <c r="A930" s="1">
        <v>6179</v>
      </c>
      <c r="B930" s="1" t="s">
        <v>1063</v>
      </c>
      <c r="C930" s="1" t="s">
        <v>51</v>
      </c>
      <c r="D930" s="2">
        <v>41792</v>
      </c>
      <c r="E930" s="1" t="s">
        <v>22</v>
      </c>
      <c r="F930" s="1" t="s">
        <v>1064</v>
      </c>
      <c r="G930" s="1">
        <v>15</v>
      </c>
      <c r="H930" s="1">
        <v>200.99</v>
      </c>
      <c r="I930" s="1">
        <f t="shared" si="42"/>
        <v>3014.8500000000004</v>
      </c>
      <c r="J930" t="str">
        <f t="shared" si="43"/>
        <v>High</v>
      </c>
      <c r="K930" s="1"/>
      <c r="L930" s="1">
        <v>0</v>
      </c>
      <c r="M930" s="1">
        <v>8.08</v>
      </c>
      <c r="N930" s="1" t="s">
        <v>33</v>
      </c>
      <c r="O930" s="1" t="s">
        <v>34</v>
      </c>
      <c r="P930" s="2">
        <v>41794</v>
      </c>
      <c r="Q930" s="2" t="b">
        <f t="shared" si="44"/>
        <v>0</v>
      </c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</row>
    <row r="931" spans="1:35" ht="14.25" customHeight="1" x14ac:dyDescent="0.2">
      <c r="A931" s="1">
        <v>48455</v>
      </c>
      <c r="B931" s="1" t="s">
        <v>223</v>
      </c>
      <c r="C931" s="1" t="s">
        <v>51</v>
      </c>
      <c r="D931" s="2">
        <v>41792</v>
      </c>
      <c r="E931" s="1" t="s">
        <v>38</v>
      </c>
      <c r="F931" s="1" t="s">
        <v>819</v>
      </c>
      <c r="G931" s="1">
        <v>17</v>
      </c>
      <c r="H931" s="1">
        <v>10.98</v>
      </c>
      <c r="I931" s="1">
        <f t="shared" si="42"/>
        <v>186.66</v>
      </c>
      <c r="J931" t="str">
        <f t="shared" si="43"/>
        <v>Low</v>
      </c>
      <c r="K931" s="1"/>
      <c r="L931" s="1">
        <v>0.05</v>
      </c>
      <c r="M931" s="1">
        <v>3.37</v>
      </c>
      <c r="N931" s="1" t="s">
        <v>33</v>
      </c>
      <c r="O931" s="1" t="s">
        <v>84</v>
      </c>
      <c r="P931" s="2">
        <v>41793</v>
      </c>
      <c r="Q931" s="2" t="b">
        <f t="shared" si="44"/>
        <v>0</v>
      </c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</row>
    <row r="932" spans="1:35" ht="14.25" customHeight="1" x14ac:dyDescent="0.2">
      <c r="A932" s="1">
        <v>2150</v>
      </c>
      <c r="B932" s="1" t="s">
        <v>1065</v>
      </c>
      <c r="C932" s="1" t="s">
        <v>30</v>
      </c>
      <c r="D932" s="2">
        <v>41792</v>
      </c>
      <c r="E932" s="1" t="s">
        <v>101</v>
      </c>
      <c r="F932" s="1" t="s">
        <v>237</v>
      </c>
      <c r="G932" s="1">
        <v>21</v>
      </c>
      <c r="H932" s="1">
        <v>179.29</v>
      </c>
      <c r="I932" s="1">
        <f t="shared" si="42"/>
        <v>3765.0899999999997</v>
      </c>
      <c r="J932" t="str">
        <f t="shared" si="43"/>
        <v>High</v>
      </c>
      <c r="K932" s="1"/>
      <c r="L932" s="1">
        <v>0.01</v>
      </c>
      <c r="M932" s="1">
        <v>29.21</v>
      </c>
      <c r="N932" s="1" t="s">
        <v>45</v>
      </c>
      <c r="O932" s="1" t="s">
        <v>63</v>
      </c>
      <c r="P932" s="2">
        <v>41794</v>
      </c>
      <c r="Q932" s="2" t="b">
        <f t="shared" si="44"/>
        <v>0</v>
      </c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</row>
    <row r="933" spans="1:35" ht="14.25" customHeight="1" x14ac:dyDescent="0.2">
      <c r="A933" s="1">
        <v>48455</v>
      </c>
      <c r="B933" s="1" t="s">
        <v>223</v>
      </c>
      <c r="C933" s="1" t="s">
        <v>30</v>
      </c>
      <c r="D933" s="2">
        <v>41792</v>
      </c>
      <c r="E933" s="1" t="s">
        <v>38</v>
      </c>
      <c r="F933" s="1" t="s">
        <v>1066</v>
      </c>
      <c r="G933" s="1">
        <v>2</v>
      </c>
      <c r="H933" s="1">
        <v>9.99</v>
      </c>
      <c r="I933" s="1">
        <f t="shared" si="42"/>
        <v>19.98</v>
      </c>
      <c r="J933" t="str">
        <f t="shared" si="43"/>
        <v>Low</v>
      </c>
      <c r="K933" s="1"/>
      <c r="L933" s="1">
        <v>0.06</v>
      </c>
      <c r="M933" s="1">
        <v>6.24</v>
      </c>
      <c r="N933" s="1" t="s">
        <v>33</v>
      </c>
      <c r="O933" s="1" t="s">
        <v>72</v>
      </c>
      <c r="P933" s="2">
        <v>41793</v>
      </c>
      <c r="Q933" s="2" t="b">
        <f t="shared" si="44"/>
        <v>0</v>
      </c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</row>
    <row r="934" spans="1:35" ht="14.25" customHeight="1" x14ac:dyDescent="0.2">
      <c r="A934" s="1">
        <v>5283</v>
      </c>
      <c r="B934" s="1" t="s">
        <v>1067</v>
      </c>
      <c r="C934" s="1" t="s">
        <v>21</v>
      </c>
      <c r="D934" s="2">
        <v>41793</v>
      </c>
      <c r="E934" s="1" t="s">
        <v>101</v>
      </c>
      <c r="F934" s="1" t="s">
        <v>421</v>
      </c>
      <c r="G934" s="1">
        <v>23</v>
      </c>
      <c r="H934" s="1">
        <v>125.99</v>
      </c>
      <c r="I934" s="1">
        <f t="shared" si="42"/>
        <v>2897.77</v>
      </c>
      <c r="J934" t="str">
        <f t="shared" si="43"/>
        <v>High</v>
      </c>
      <c r="K934" s="1"/>
      <c r="L934" s="1">
        <v>0.03</v>
      </c>
      <c r="M934" s="1">
        <v>7.69</v>
      </c>
      <c r="N934" s="1" t="s">
        <v>33</v>
      </c>
      <c r="O934" s="1" t="s">
        <v>34</v>
      </c>
      <c r="P934" s="2">
        <v>41795</v>
      </c>
      <c r="Q934" s="2" t="b">
        <f t="shared" si="44"/>
        <v>0</v>
      </c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</row>
    <row r="935" spans="1:35" ht="14.25" customHeight="1" x14ac:dyDescent="0.2">
      <c r="A935" s="1">
        <v>7905</v>
      </c>
      <c r="B935" s="1" t="s">
        <v>1068</v>
      </c>
      <c r="C935" s="1" t="s">
        <v>51</v>
      </c>
      <c r="D935" s="2">
        <v>41793</v>
      </c>
      <c r="E935" s="1" t="s">
        <v>43</v>
      </c>
      <c r="F935" s="1" t="s">
        <v>415</v>
      </c>
      <c r="G935" s="1">
        <v>46</v>
      </c>
      <c r="H935" s="1">
        <v>259.70999999999998</v>
      </c>
      <c r="I935" s="1">
        <f t="shared" si="42"/>
        <v>11946.66</v>
      </c>
      <c r="J935" t="str">
        <f t="shared" si="43"/>
        <v>High</v>
      </c>
      <c r="K935" s="1"/>
      <c r="L935" s="1">
        <v>0.08</v>
      </c>
      <c r="M935" s="1">
        <v>66.67</v>
      </c>
      <c r="N935" s="1" t="s">
        <v>45</v>
      </c>
      <c r="O935" s="1" t="s">
        <v>63</v>
      </c>
      <c r="P935" s="2">
        <v>41797</v>
      </c>
      <c r="Q935" s="2" t="b">
        <f t="shared" si="44"/>
        <v>0</v>
      </c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</row>
    <row r="936" spans="1:35" ht="14.25" customHeight="1" x14ac:dyDescent="0.2">
      <c r="A936" s="1">
        <v>69</v>
      </c>
      <c r="B936" s="1" t="s">
        <v>740</v>
      </c>
      <c r="C936" s="1" t="s">
        <v>51</v>
      </c>
      <c r="D936" s="2">
        <v>41793</v>
      </c>
      <c r="E936" s="1" t="s">
        <v>22</v>
      </c>
      <c r="F936" s="1" t="s">
        <v>631</v>
      </c>
      <c r="G936" s="1">
        <v>42</v>
      </c>
      <c r="H936" s="1">
        <v>30.93</v>
      </c>
      <c r="I936" s="1">
        <f t="shared" si="42"/>
        <v>1299.06</v>
      </c>
      <c r="J936" t="str">
        <f t="shared" si="43"/>
        <v>High</v>
      </c>
      <c r="K936" s="1"/>
      <c r="L936" s="1">
        <v>0.09</v>
      </c>
      <c r="M936" s="1">
        <v>3.92</v>
      </c>
      <c r="N936" s="1" t="s">
        <v>33</v>
      </c>
      <c r="O936" s="1" t="s">
        <v>84</v>
      </c>
      <c r="P936" s="2">
        <v>41795</v>
      </c>
      <c r="Q936" s="2" t="b">
        <f t="shared" si="44"/>
        <v>0</v>
      </c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</row>
    <row r="937" spans="1:35" ht="14.25" customHeight="1" x14ac:dyDescent="0.2">
      <c r="A937" s="1">
        <v>69</v>
      </c>
      <c r="B937" s="1" t="s">
        <v>740</v>
      </c>
      <c r="C937" s="1" t="s">
        <v>21</v>
      </c>
      <c r="D937" s="2">
        <v>41793</v>
      </c>
      <c r="E937" s="1" t="s">
        <v>22</v>
      </c>
      <c r="F937" s="1" t="s">
        <v>1069</v>
      </c>
      <c r="G937" s="1">
        <v>28</v>
      </c>
      <c r="H937" s="1">
        <v>1.68</v>
      </c>
      <c r="I937" s="1">
        <f t="shared" si="42"/>
        <v>47.04</v>
      </c>
      <c r="J937" t="str">
        <f t="shared" si="43"/>
        <v>Low</v>
      </c>
      <c r="K937" s="1"/>
      <c r="L937" s="1">
        <v>0.03</v>
      </c>
      <c r="M937" s="1">
        <v>0.7</v>
      </c>
      <c r="N937" s="1" t="s">
        <v>25</v>
      </c>
      <c r="O937" s="1" t="s">
        <v>55</v>
      </c>
      <c r="P937" s="2">
        <v>41795</v>
      </c>
      <c r="Q937" s="2" t="b">
        <f t="shared" si="44"/>
        <v>0</v>
      </c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</row>
    <row r="938" spans="1:35" ht="14.25" customHeight="1" x14ac:dyDescent="0.2">
      <c r="A938" s="1">
        <v>8161</v>
      </c>
      <c r="B938" s="1" t="s">
        <v>171</v>
      </c>
      <c r="C938" s="1" t="s">
        <v>30</v>
      </c>
      <c r="D938" s="2">
        <v>41793</v>
      </c>
      <c r="E938" s="1" t="s">
        <v>31</v>
      </c>
      <c r="F938" s="1" t="s">
        <v>1023</v>
      </c>
      <c r="G938" s="1">
        <v>45</v>
      </c>
      <c r="H938" s="1">
        <v>2.61</v>
      </c>
      <c r="I938" s="1">
        <f t="shared" si="42"/>
        <v>117.44999999999999</v>
      </c>
      <c r="J938" t="str">
        <f t="shared" si="43"/>
        <v>Low</v>
      </c>
      <c r="K938" s="1"/>
      <c r="L938" s="1">
        <v>0.09</v>
      </c>
      <c r="M938" s="1">
        <v>0.5</v>
      </c>
      <c r="N938" s="1" t="s">
        <v>33</v>
      </c>
      <c r="O938" s="1" t="s">
        <v>34</v>
      </c>
      <c r="P938" s="2">
        <v>41795</v>
      </c>
      <c r="Q938" s="2" t="b">
        <f t="shared" si="44"/>
        <v>0</v>
      </c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</row>
    <row r="939" spans="1:35" ht="14.25" customHeight="1" x14ac:dyDescent="0.2">
      <c r="A939" s="1">
        <v>11748</v>
      </c>
      <c r="B939" s="1" t="s">
        <v>1070</v>
      </c>
      <c r="C939" s="1" t="s">
        <v>30</v>
      </c>
      <c r="D939" s="2">
        <v>41793</v>
      </c>
      <c r="E939" s="1" t="s">
        <v>22</v>
      </c>
      <c r="F939" s="1" t="s">
        <v>1071</v>
      </c>
      <c r="G939" s="1">
        <v>23</v>
      </c>
      <c r="H939" s="1">
        <v>145.97999999999999</v>
      </c>
      <c r="I939" s="1">
        <f t="shared" si="42"/>
        <v>3357.54</v>
      </c>
      <c r="J939" t="str">
        <f t="shared" si="43"/>
        <v>High</v>
      </c>
      <c r="K939" s="1"/>
      <c r="L939" s="1">
        <v>0.01</v>
      </c>
      <c r="M939" s="1">
        <v>46.2</v>
      </c>
      <c r="N939" s="1" t="s">
        <v>45</v>
      </c>
      <c r="O939" s="1" t="s">
        <v>63</v>
      </c>
      <c r="P939" s="2">
        <v>41793</v>
      </c>
      <c r="Q939" s="2" t="b">
        <f t="shared" si="44"/>
        <v>0</v>
      </c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</row>
    <row r="940" spans="1:35" ht="14.25" customHeight="1" x14ac:dyDescent="0.2">
      <c r="A940" s="1">
        <v>47457</v>
      </c>
      <c r="B940" s="1" t="s">
        <v>1072</v>
      </c>
      <c r="C940" s="1" t="s">
        <v>51</v>
      </c>
      <c r="D940" s="2">
        <v>41793</v>
      </c>
      <c r="E940" s="1" t="s">
        <v>43</v>
      </c>
      <c r="F940" s="1" t="s">
        <v>166</v>
      </c>
      <c r="G940" s="1">
        <v>50</v>
      </c>
      <c r="H940" s="1">
        <v>161.55000000000001</v>
      </c>
      <c r="I940" s="1">
        <f t="shared" si="42"/>
        <v>8077.5000000000009</v>
      </c>
      <c r="J940" t="str">
        <f t="shared" si="43"/>
        <v>High</v>
      </c>
      <c r="K940" s="1"/>
      <c r="L940" s="1">
        <v>0.05</v>
      </c>
      <c r="M940" s="1">
        <v>19.989999999999998</v>
      </c>
      <c r="N940" s="1" t="s">
        <v>33</v>
      </c>
      <c r="O940" s="1" t="s">
        <v>34</v>
      </c>
      <c r="P940" s="2">
        <v>41798</v>
      </c>
      <c r="Q940" s="2" t="b">
        <f t="shared" si="44"/>
        <v>0</v>
      </c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</row>
    <row r="941" spans="1:35" ht="14.25" customHeight="1" x14ac:dyDescent="0.2">
      <c r="A941" s="1">
        <v>44294</v>
      </c>
      <c r="B941" s="1" t="s">
        <v>1073</v>
      </c>
      <c r="C941" s="1" t="s">
        <v>30</v>
      </c>
      <c r="D941" s="2">
        <v>41793</v>
      </c>
      <c r="E941" s="1" t="s">
        <v>43</v>
      </c>
      <c r="F941" s="1" t="s">
        <v>445</v>
      </c>
      <c r="G941" s="1">
        <v>15</v>
      </c>
      <c r="H941" s="1">
        <v>6.48</v>
      </c>
      <c r="I941" s="1">
        <f t="shared" si="42"/>
        <v>97.2</v>
      </c>
      <c r="J941" t="str">
        <f t="shared" si="43"/>
        <v>Low</v>
      </c>
      <c r="K941" s="1"/>
      <c r="L941" s="1">
        <v>0.09</v>
      </c>
      <c r="M941" s="1">
        <v>9.68</v>
      </c>
      <c r="N941" s="1" t="s">
        <v>25</v>
      </c>
      <c r="O941" s="1" t="s">
        <v>34</v>
      </c>
      <c r="P941" s="2">
        <v>41800</v>
      </c>
      <c r="Q941" s="2" t="b">
        <f t="shared" si="44"/>
        <v>0</v>
      </c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</row>
    <row r="942" spans="1:35" ht="14.25" customHeight="1" x14ac:dyDescent="0.2">
      <c r="A942" s="1">
        <v>44294</v>
      </c>
      <c r="B942" s="1" t="s">
        <v>1073</v>
      </c>
      <c r="C942" s="1" t="s">
        <v>21</v>
      </c>
      <c r="D942" s="2">
        <v>41793</v>
      </c>
      <c r="E942" s="1" t="s">
        <v>43</v>
      </c>
      <c r="F942" s="1" t="s">
        <v>1074</v>
      </c>
      <c r="G942" s="1">
        <v>13</v>
      </c>
      <c r="H942" s="1">
        <v>20.98</v>
      </c>
      <c r="I942" s="1">
        <f t="shared" si="42"/>
        <v>272.74</v>
      </c>
      <c r="J942" t="str">
        <f t="shared" si="43"/>
        <v>Low</v>
      </c>
      <c r="K942" s="1"/>
      <c r="L942" s="1">
        <v>0.09</v>
      </c>
      <c r="M942" s="1">
        <v>45</v>
      </c>
      <c r="N942" s="1" t="s">
        <v>45</v>
      </c>
      <c r="O942" s="1" t="s">
        <v>46</v>
      </c>
      <c r="P942" s="2">
        <v>41793</v>
      </c>
      <c r="Q942" s="2" t="b">
        <f t="shared" si="44"/>
        <v>0</v>
      </c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</row>
    <row r="943" spans="1:35" ht="14.25" customHeight="1" x14ac:dyDescent="0.2">
      <c r="A943" s="1">
        <v>44294</v>
      </c>
      <c r="B943" s="1" t="s">
        <v>1073</v>
      </c>
      <c r="C943" s="1" t="s">
        <v>51</v>
      </c>
      <c r="D943" s="2">
        <v>41793</v>
      </c>
      <c r="E943" s="1" t="s">
        <v>43</v>
      </c>
      <c r="F943" s="1" t="s">
        <v>1075</v>
      </c>
      <c r="G943" s="1">
        <v>8</v>
      </c>
      <c r="H943" s="1">
        <v>65.989999999999995</v>
      </c>
      <c r="I943" s="1">
        <f t="shared" si="42"/>
        <v>527.91999999999996</v>
      </c>
      <c r="J943" t="str">
        <f t="shared" si="43"/>
        <v>Low</v>
      </c>
      <c r="K943" s="1"/>
      <c r="L943" s="1">
        <v>0.04</v>
      </c>
      <c r="M943" s="1">
        <v>8.99</v>
      </c>
      <c r="N943" s="1" t="s">
        <v>33</v>
      </c>
      <c r="O943" s="1" t="s">
        <v>34</v>
      </c>
      <c r="P943" s="2">
        <v>41795</v>
      </c>
      <c r="Q943" s="2" t="b">
        <f t="shared" si="44"/>
        <v>0</v>
      </c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</row>
    <row r="944" spans="1:35" ht="14.25" customHeight="1" x14ac:dyDescent="0.2">
      <c r="A944" s="1">
        <v>24647</v>
      </c>
      <c r="B944" s="1" t="s">
        <v>1030</v>
      </c>
      <c r="C944" s="1" t="s">
        <v>21</v>
      </c>
      <c r="D944" s="2">
        <v>41794</v>
      </c>
      <c r="E944" s="1" t="s">
        <v>22</v>
      </c>
      <c r="F944" s="1" t="s">
        <v>410</v>
      </c>
      <c r="G944" s="1">
        <v>3</v>
      </c>
      <c r="H944" s="1">
        <v>999.99</v>
      </c>
      <c r="I944" s="1">
        <f t="shared" si="42"/>
        <v>2999.9700000000003</v>
      </c>
      <c r="J944" t="str">
        <f t="shared" si="43"/>
        <v>High</v>
      </c>
      <c r="K944" s="1"/>
      <c r="L944" s="1">
        <v>0</v>
      </c>
      <c r="M944" s="1">
        <v>13.99</v>
      </c>
      <c r="N944" s="1" t="s">
        <v>33</v>
      </c>
      <c r="O944" s="1" t="s">
        <v>72</v>
      </c>
      <c r="P944" s="2">
        <v>41796</v>
      </c>
      <c r="Q944" s="2" t="b">
        <f t="shared" si="44"/>
        <v>0</v>
      </c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</row>
    <row r="945" spans="1:35" ht="14.25" customHeight="1" x14ac:dyDescent="0.2">
      <c r="A945" s="1">
        <v>24647</v>
      </c>
      <c r="B945" s="1" t="s">
        <v>1030</v>
      </c>
      <c r="C945" s="1" t="s">
        <v>21</v>
      </c>
      <c r="D945" s="2">
        <v>41794</v>
      </c>
      <c r="E945" s="1" t="s">
        <v>22</v>
      </c>
      <c r="F945" s="1" t="s">
        <v>1076</v>
      </c>
      <c r="G945" s="1">
        <v>34</v>
      </c>
      <c r="H945" s="1">
        <v>6.48</v>
      </c>
      <c r="I945" s="1">
        <f t="shared" si="42"/>
        <v>220.32000000000002</v>
      </c>
      <c r="J945" t="str">
        <f t="shared" si="43"/>
        <v>Low</v>
      </c>
      <c r="K945" s="1"/>
      <c r="L945" s="1">
        <v>0.05</v>
      </c>
      <c r="M945" s="1">
        <v>5.14</v>
      </c>
      <c r="N945" s="1" t="s">
        <v>25</v>
      </c>
      <c r="O945" s="1" t="s">
        <v>34</v>
      </c>
      <c r="P945" s="2">
        <v>41795</v>
      </c>
      <c r="Q945" s="2" t="b">
        <f t="shared" si="44"/>
        <v>0</v>
      </c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</row>
    <row r="946" spans="1:35" ht="14.25" customHeight="1" x14ac:dyDescent="0.2">
      <c r="A946" s="1">
        <v>47009</v>
      </c>
      <c r="B946" s="1" t="s">
        <v>204</v>
      </c>
      <c r="C946" s="1" t="s">
        <v>51</v>
      </c>
      <c r="D946" s="2">
        <v>41794</v>
      </c>
      <c r="E946" s="1" t="s">
        <v>38</v>
      </c>
      <c r="F946" s="1" t="s">
        <v>363</v>
      </c>
      <c r="G946" s="1">
        <v>32</v>
      </c>
      <c r="H946" s="1">
        <v>49.99</v>
      </c>
      <c r="I946" s="1">
        <f t="shared" si="42"/>
        <v>1599.68</v>
      </c>
      <c r="J946" t="str">
        <f t="shared" si="43"/>
        <v>High</v>
      </c>
      <c r="K946" s="1"/>
      <c r="L946" s="1">
        <v>0.09</v>
      </c>
      <c r="M946" s="1">
        <v>19.989999999999998</v>
      </c>
      <c r="N946" s="1" t="s">
        <v>25</v>
      </c>
      <c r="O946" s="1" t="s">
        <v>34</v>
      </c>
      <c r="P946" s="2">
        <v>41796</v>
      </c>
      <c r="Q946" s="2" t="b">
        <f t="shared" si="44"/>
        <v>0</v>
      </c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</row>
    <row r="947" spans="1:35" ht="14.25" customHeight="1" x14ac:dyDescent="0.2">
      <c r="A947" s="1">
        <v>52002</v>
      </c>
      <c r="B947" s="1" t="s">
        <v>1077</v>
      </c>
      <c r="C947" s="1" t="s">
        <v>30</v>
      </c>
      <c r="D947" s="2">
        <v>41794</v>
      </c>
      <c r="E947" s="1" t="s">
        <v>31</v>
      </c>
      <c r="F947" s="1" t="s">
        <v>362</v>
      </c>
      <c r="G947" s="1">
        <v>11</v>
      </c>
      <c r="H947" s="1">
        <v>218.75</v>
      </c>
      <c r="I947" s="1">
        <f t="shared" si="42"/>
        <v>2406.25</v>
      </c>
      <c r="J947" t="str">
        <f t="shared" si="43"/>
        <v>High</v>
      </c>
      <c r="K947" s="1"/>
      <c r="L947" s="1">
        <v>0.06</v>
      </c>
      <c r="M947" s="1">
        <v>69.64</v>
      </c>
      <c r="N947" s="1" t="s">
        <v>45</v>
      </c>
      <c r="O947" s="1" t="s">
        <v>63</v>
      </c>
      <c r="P947" s="2">
        <v>41795</v>
      </c>
      <c r="Q947" s="2" t="b">
        <f t="shared" si="44"/>
        <v>0</v>
      </c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</row>
    <row r="948" spans="1:35" ht="14.25" customHeight="1" x14ac:dyDescent="0.2">
      <c r="A948" s="1">
        <v>8614</v>
      </c>
      <c r="B948" s="1" t="s">
        <v>1078</v>
      </c>
      <c r="C948" s="1" t="s">
        <v>30</v>
      </c>
      <c r="D948" s="2">
        <v>41794</v>
      </c>
      <c r="E948" s="1" t="s">
        <v>43</v>
      </c>
      <c r="F948" s="1" t="s">
        <v>303</v>
      </c>
      <c r="G948" s="1">
        <v>13</v>
      </c>
      <c r="H948" s="1">
        <v>115.99</v>
      </c>
      <c r="I948" s="1">
        <f t="shared" si="42"/>
        <v>1507.87</v>
      </c>
      <c r="J948" t="str">
        <f t="shared" si="43"/>
        <v>High</v>
      </c>
      <c r="K948" s="1"/>
      <c r="L948" s="1">
        <v>0.06</v>
      </c>
      <c r="M948" s="1">
        <v>5.92</v>
      </c>
      <c r="N948" s="1" t="s">
        <v>33</v>
      </c>
      <c r="O948" s="1" t="s">
        <v>34</v>
      </c>
      <c r="P948" s="2">
        <v>41796</v>
      </c>
      <c r="Q948" s="2" t="b">
        <f t="shared" si="44"/>
        <v>0</v>
      </c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</row>
    <row r="949" spans="1:35" ht="14.25" customHeight="1" x14ac:dyDescent="0.2">
      <c r="A949" s="1">
        <v>21958</v>
      </c>
      <c r="B949" s="1" t="s">
        <v>501</v>
      </c>
      <c r="C949" s="1" t="s">
        <v>21</v>
      </c>
      <c r="D949" s="2">
        <v>41795</v>
      </c>
      <c r="E949" s="1" t="s">
        <v>31</v>
      </c>
      <c r="F949" s="1" t="s">
        <v>873</v>
      </c>
      <c r="G949" s="1">
        <v>14</v>
      </c>
      <c r="H949" s="1">
        <v>363.25</v>
      </c>
      <c r="I949" s="1">
        <f t="shared" si="42"/>
        <v>5085.5</v>
      </c>
      <c r="J949" t="str">
        <f t="shared" si="43"/>
        <v>High</v>
      </c>
      <c r="K949" s="1"/>
      <c r="L949" s="1">
        <v>0.09</v>
      </c>
      <c r="M949" s="1">
        <v>19.989999999999998</v>
      </c>
      <c r="N949" s="1" t="s">
        <v>33</v>
      </c>
      <c r="O949" s="1" t="s">
        <v>34</v>
      </c>
      <c r="P949" s="2">
        <v>41796</v>
      </c>
      <c r="Q949" s="2" t="b">
        <f t="shared" si="44"/>
        <v>0</v>
      </c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</row>
    <row r="950" spans="1:35" ht="14.25" customHeight="1" x14ac:dyDescent="0.2">
      <c r="A950" s="1">
        <v>55392</v>
      </c>
      <c r="B950" s="1" t="s">
        <v>885</v>
      </c>
      <c r="C950" s="1" t="s">
        <v>51</v>
      </c>
      <c r="D950" s="2">
        <v>41796</v>
      </c>
      <c r="E950" s="1" t="s">
        <v>38</v>
      </c>
      <c r="F950" s="1" t="s">
        <v>1079</v>
      </c>
      <c r="G950" s="1">
        <v>39</v>
      </c>
      <c r="H950" s="1">
        <v>2.84</v>
      </c>
      <c r="I950" s="1">
        <f t="shared" si="42"/>
        <v>110.75999999999999</v>
      </c>
      <c r="J950" t="str">
        <f t="shared" si="43"/>
        <v>Low</v>
      </c>
      <c r="K950" s="1"/>
      <c r="L950" s="1">
        <v>7.0000000000000007E-2</v>
      </c>
      <c r="M950" s="1">
        <v>0.93</v>
      </c>
      <c r="N950" s="1" t="s">
        <v>33</v>
      </c>
      <c r="O950" s="1" t="s">
        <v>55</v>
      </c>
      <c r="P950" s="2">
        <v>41798</v>
      </c>
      <c r="Q950" s="2" t="b">
        <f t="shared" si="44"/>
        <v>0</v>
      </c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</row>
    <row r="951" spans="1:35" ht="14.25" customHeight="1" x14ac:dyDescent="0.2">
      <c r="A951" s="1">
        <v>55392</v>
      </c>
      <c r="B951" s="1" t="s">
        <v>885</v>
      </c>
      <c r="C951" s="1" t="s">
        <v>30</v>
      </c>
      <c r="D951" s="2">
        <v>41796</v>
      </c>
      <c r="E951" s="1" t="s">
        <v>38</v>
      </c>
      <c r="F951" s="1" t="s">
        <v>1080</v>
      </c>
      <c r="G951" s="1">
        <v>20</v>
      </c>
      <c r="H951" s="1">
        <v>6.47</v>
      </c>
      <c r="I951" s="1">
        <f t="shared" si="42"/>
        <v>129.4</v>
      </c>
      <c r="J951" t="str">
        <f t="shared" si="43"/>
        <v>Low</v>
      </c>
      <c r="K951" s="1"/>
      <c r="L951" s="1">
        <v>0.02</v>
      </c>
      <c r="M951" s="1">
        <v>1.22</v>
      </c>
      <c r="N951" s="1" t="s">
        <v>33</v>
      </c>
      <c r="O951" s="1" t="s">
        <v>55</v>
      </c>
      <c r="P951" s="2">
        <v>41797</v>
      </c>
      <c r="Q951" s="2" t="b">
        <f t="shared" si="44"/>
        <v>0</v>
      </c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</row>
    <row r="952" spans="1:35" ht="14.25" customHeight="1" x14ac:dyDescent="0.2">
      <c r="A952" s="1">
        <v>19010</v>
      </c>
      <c r="B952" s="1" t="s">
        <v>741</v>
      </c>
      <c r="C952" s="1" t="s">
        <v>21</v>
      </c>
      <c r="D952" s="2">
        <v>41797</v>
      </c>
      <c r="E952" s="1" t="s">
        <v>43</v>
      </c>
      <c r="F952" s="1" t="s">
        <v>1081</v>
      </c>
      <c r="G952" s="1">
        <v>18</v>
      </c>
      <c r="H952" s="1">
        <v>1270.99</v>
      </c>
      <c r="I952" s="1">
        <f t="shared" si="42"/>
        <v>22877.82</v>
      </c>
      <c r="J952" t="str">
        <f t="shared" si="43"/>
        <v>High</v>
      </c>
      <c r="K952" s="1"/>
      <c r="L952" s="1">
        <v>0</v>
      </c>
      <c r="M952" s="1">
        <v>19.989999999999998</v>
      </c>
      <c r="N952" s="1" t="s">
        <v>33</v>
      </c>
      <c r="O952" s="1" t="s">
        <v>34</v>
      </c>
      <c r="P952" s="2">
        <v>41799</v>
      </c>
      <c r="Q952" s="2" t="b">
        <f t="shared" si="44"/>
        <v>0</v>
      </c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</row>
    <row r="953" spans="1:35" ht="14.25" customHeight="1" x14ac:dyDescent="0.2">
      <c r="A953" s="1">
        <v>6434</v>
      </c>
      <c r="B953" s="1" t="s">
        <v>169</v>
      </c>
      <c r="C953" s="1" t="s">
        <v>21</v>
      </c>
      <c r="D953" s="2">
        <v>41797</v>
      </c>
      <c r="E953" s="1" t="s">
        <v>31</v>
      </c>
      <c r="F953" s="1" t="s">
        <v>941</v>
      </c>
      <c r="G953" s="1">
        <v>13</v>
      </c>
      <c r="H953" s="1">
        <v>4.76</v>
      </c>
      <c r="I953" s="1">
        <f t="shared" si="42"/>
        <v>61.879999999999995</v>
      </c>
      <c r="J953" t="str">
        <f t="shared" si="43"/>
        <v>Low</v>
      </c>
      <c r="K953" s="1"/>
      <c r="L953" s="1">
        <v>7.0000000000000007E-2</v>
      </c>
      <c r="M953" s="1">
        <v>0.88</v>
      </c>
      <c r="N953" s="1" t="s">
        <v>33</v>
      </c>
      <c r="O953" s="1" t="s">
        <v>55</v>
      </c>
      <c r="P953" s="2">
        <v>41797</v>
      </c>
      <c r="Q953" s="2" t="b">
        <f t="shared" si="44"/>
        <v>0</v>
      </c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</row>
    <row r="954" spans="1:35" ht="14.25" customHeight="1" x14ac:dyDescent="0.2">
      <c r="A954" s="1">
        <v>39780</v>
      </c>
      <c r="B954" s="1" t="s">
        <v>632</v>
      </c>
      <c r="C954" s="1" t="s">
        <v>21</v>
      </c>
      <c r="D954" s="2">
        <v>41797</v>
      </c>
      <c r="E954" s="1" t="s">
        <v>43</v>
      </c>
      <c r="F954" s="1" t="s">
        <v>1082</v>
      </c>
      <c r="G954" s="1">
        <v>48</v>
      </c>
      <c r="H954" s="1">
        <v>45.98</v>
      </c>
      <c r="I954" s="1">
        <f t="shared" si="42"/>
        <v>2207.04</v>
      </c>
      <c r="J954" t="str">
        <f t="shared" si="43"/>
        <v>High</v>
      </c>
      <c r="K954" s="1"/>
      <c r="L954" s="1">
        <v>0.04</v>
      </c>
      <c r="M954" s="1">
        <v>4.8</v>
      </c>
      <c r="N954" s="1" t="s">
        <v>33</v>
      </c>
      <c r="O954" s="1" t="s">
        <v>55</v>
      </c>
      <c r="P954" s="2">
        <v>41799</v>
      </c>
      <c r="Q954" s="2" t="b">
        <f t="shared" si="44"/>
        <v>0</v>
      </c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</row>
    <row r="955" spans="1:35" ht="14.25" customHeight="1" x14ac:dyDescent="0.2">
      <c r="A955" s="1">
        <v>39780</v>
      </c>
      <c r="B955" s="1" t="s">
        <v>632</v>
      </c>
      <c r="C955" s="1" t="s">
        <v>21</v>
      </c>
      <c r="D955" s="2">
        <v>41797</v>
      </c>
      <c r="E955" s="1" t="s">
        <v>43</v>
      </c>
      <c r="F955" s="1" t="s">
        <v>1083</v>
      </c>
      <c r="G955" s="1">
        <v>33</v>
      </c>
      <c r="H955" s="1">
        <v>48.04</v>
      </c>
      <c r="I955" s="1">
        <f t="shared" si="42"/>
        <v>1585.32</v>
      </c>
      <c r="J955" t="str">
        <f t="shared" si="43"/>
        <v>High</v>
      </c>
      <c r="K955" s="1"/>
      <c r="L955" s="1">
        <v>0.02</v>
      </c>
      <c r="M955" s="1">
        <v>5.79</v>
      </c>
      <c r="N955" s="1" t="s">
        <v>33</v>
      </c>
      <c r="O955" s="1" t="s">
        <v>34</v>
      </c>
      <c r="P955" s="2">
        <v>41804</v>
      </c>
      <c r="Q955" s="2" t="b">
        <f t="shared" si="44"/>
        <v>0</v>
      </c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</row>
    <row r="956" spans="1:35" ht="14.25" customHeight="1" x14ac:dyDescent="0.2">
      <c r="A956" s="1">
        <v>50432</v>
      </c>
      <c r="B956" s="1" t="s">
        <v>889</v>
      </c>
      <c r="C956" s="1" t="s">
        <v>30</v>
      </c>
      <c r="D956" s="2">
        <v>41797</v>
      </c>
      <c r="E956" s="1" t="s">
        <v>43</v>
      </c>
      <c r="F956" s="1" t="s">
        <v>1084</v>
      </c>
      <c r="G956" s="1">
        <v>7</v>
      </c>
      <c r="H956" s="1">
        <v>284.98</v>
      </c>
      <c r="I956" s="1">
        <f t="shared" si="42"/>
        <v>1994.8600000000001</v>
      </c>
      <c r="J956" t="str">
        <f t="shared" si="43"/>
        <v>High</v>
      </c>
      <c r="K956" s="1"/>
      <c r="L956" s="1">
        <v>0.02</v>
      </c>
      <c r="M956" s="1">
        <v>69.55</v>
      </c>
      <c r="N956" s="1" t="s">
        <v>45</v>
      </c>
      <c r="O956" s="1" t="s">
        <v>46</v>
      </c>
      <c r="P956" s="2">
        <v>41802</v>
      </c>
      <c r="Q956" s="2" t="b">
        <f t="shared" si="44"/>
        <v>0</v>
      </c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</row>
    <row r="957" spans="1:35" ht="14.25" customHeight="1" x14ac:dyDescent="0.2">
      <c r="A957" s="1">
        <v>50432</v>
      </c>
      <c r="B957" s="1" t="s">
        <v>889</v>
      </c>
      <c r="C957" s="1" t="s">
        <v>51</v>
      </c>
      <c r="D957" s="2">
        <v>41797</v>
      </c>
      <c r="E957" s="1" t="s">
        <v>43</v>
      </c>
      <c r="F957" s="1" t="s">
        <v>342</v>
      </c>
      <c r="G957" s="1">
        <v>45</v>
      </c>
      <c r="H957" s="1">
        <v>55.48</v>
      </c>
      <c r="I957" s="1">
        <f t="shared" si="42"/>
        <v>2496.6</v>
      </c>
      <c r="J957" t="str">
        <f t="shared" si="43"/>
        <v>High</v>
      </c>
      <c r="K957" s="1"/>
      <c r="L957" s="1">
        <v>0.08</v>
      </c>
      <c r="M957" s="1">
        <v>14.3</v>
      </c>
      <c r="N957" s="1" t="s">
        <v>33</v>
      </c>
      <c r="O957" s="1" t="s">
        <v>34</v>
      </c>
      <c r="P957" s="2">
        <v>41799</v>
      </c>
      <c r="Q957" s="2" t="b">
        <f t="shared" si="44"/>
        <v>0</v>
      </c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</row>
    <row r="958" spans="1:35" ht="14.25" customHeight="1" x14ac:dyDescent="0.2">
      <c r="A958" s="1">
        <v>46499</v>
      </c>
      <c r="B958" s="1" t="s">
        <v>1085</v>
      </c>
      <c r="C958" s="1" t="s">
        <v>21</v>
      </c>
      <c r="D958" s="2">
        <v>41797</v>
      </c>
      <c r="E958" s="1" t="s">
        <v>38</v>
      </c>
      <c r="F958" s="1" t="s">
        <v>1086</v>
      </c>
      <c r="G958" s="1">
        <v>1</v>
      </c>
      <c r="H958" s="1">
        <v>44.01</v>
      </c>
      <c r="I958" s="1">
        <f t="shared" si="42"/>
        <v>44.01</v>
      </c>
      <c r="J958" t="str">
        <f t="shared" si="43"/>
        <v>Low</v>
      </c>
      <c r="K958" s="1"/>
      <c r="L958" s="1">
        <v>0.06</v>
      </c>
      <c r="M958" s="1">
        <v>3.5</v>
      </c>
      <c r="N958" s="1" t="s">
        <v>33</v>
      </c>
      <c r="O958" s="1" t="s">
        <v>34</v>
      </c>
      <c r="P958" s="2">
        <v>41798</v>
      </c>
      <c r="Q958" s="2" t="b">
        <f t="shared" si="44"/>
        <v>0</v>
      </c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</row>
    <row r="959" spans="1:35" ht="14.25" customHeight="1" x14ac:dyDescent="0.2">
      <c r="A959" s="1">
        <v>46499</v>
      </c>
      <c r="B959" s="1" t="s">
        <v>1085</v>
      </c>
      <c r="C959" s="1" t="s">
        <v>30</v>
      </c>
      <c r="D959" s="2">
        <v>41797</v>
      </c>
      <c r="E959" s="1" t="s">
        <v>38</v>
      </c>
      <c r="F959" s="1" t="s">
        <v>502</v>
      </c>
      <c r="G959" s="1">
        <v>22</v>
      </c>
      <c r="H959" s="1">
        <v>4.0599999999999996</v>
      </c>
      <c r="I959" s="1">
        <f t="shared" si="42"/>
        <v>89.32</v>
      </c>
      <c r="J959" t="str">
        <f t="shared" si="43"/>
        <v>Low</v>
      </c>
      <c r="K959" s="1"/>
      <c r="L959" s="1">
        <v>7.0000000000000007E-2</v>
      </c>
      <c r="M959" s="1">
        <v>6.89</v>
      </c>
      <c r="N959" s="1" t="s">
        <v>33</v>
      </c>
      <c r="O959" s="1" t="s">
        <v>34</v>
      </c>
      <c r="P959" s="2">
        <v>41799</v>
      </c>
      <c r="Q959" s="2" t="b">
        <f t="shared" si="44"/>
        <v>0</v>
      </c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</row>
    <row r="960" spans="1:35" ht="14.25" customHeight="1" x14ac:dyDescent="0.2">
      <c r="A960" s="1">
        <v>46499</v>
      </c>
      <c r="B960" s="1" t="s">
        <v>1085</v>
      </c>
      <c r="C960" s="1" t="s">
        <v>51</v>
      </c>
      <c r="D960" s="2">
        <v>41797</v>
      </c>
      <c r="E960" s="1" t="s">
        <v>38</v>
      </c>
      <c r="F960" s="1" t="s">
        <v>1087</v>
      </c>
      <c r="G960" s="1">
        <v>10</v>
      </c>
      <c r="H960" s="1">
        <v>1.26</v>
      </c>
      <c r="I960" s="1">
        <f t="shared" si="42"/>
        <v>12.6</v>
      </c>
      <c r="J960" t="str">
        <f t="shared" si="43"/>
        <v>Low</v>
      </c>
      <c r="K960" s="1"/>
      <c r="L960" s="1">
        <v>0.1</v>
      </c>
      <c r="M960" s="1">
        <v>0.7</v>
      </c>
      <c r="N960" s="1" t="s">
        <v>33</v>
      </c>
      <c r="O960" s="1" t="s">
        <v>55</v>
      </c>
      <c r="P960" s="2">
        <v>41798</v>
      </c>
      <c r="Q960" s="2" t="b">
        <f t="shared" si="44"/>
        <v>0</v>
      </c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</row>
    <row r="961" spans="1:35" ht="14.25" customHeight="1" x14ac:dyDescent="0.2">
      <c r="A961" s="1">
        <v>54342</v>
      </c>
      <c r="B961" s="1" t="s">
        <v>1088</v>
      </c>
      <c r="C961" s="1" t="s">
        <v>21</v>
      </c>
      <c r="D961" s="2">
        <v>41798</v>
      </c>
      <c r="E961" s="1" t="s">
        <v>43</v>
      </c>
      <c r="F961" s="1" t="s">
        <v>754</v>
      </c>
      <c r="G961" s="1">
        <v>35</v>
      </c>
      <c r="H961" s="1">
        <v>100.97</v>
      </c>
      <c r="I961" s="1">
        <f t="shared" si="42"/>
        <v>3533.95</v>
      </c>
      <c r="J961" t="str">
        <f t="shared" si="43"/>
        <v>High</v>
      </c>
      <c r="K961" s="1"/>
      <c r="L961" s="1">
        <v>0.05</v>
      </c>
      <c r="M961" s="1">
        <v>7.18</v>
      </c>
      <c r="N961" s="1" t="s">
        <v>25</v>
      </c>
      <c r="O961" s="1" t="s">
        <v>34</v>
      </c>
      <c r="P961" s="2">
        <v>41798</v>
      </c>
      <c r="Q961" s="2" t="b">
        <f t="shared" si="44"/>
        <v>0</v>
      </c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</row>
    <row r="962" spans="1:35" ht="14.25" customHeight="1" x14ac:dyDescent="0.2">
      <c r="A962" s="1">
        <v>54342</v>
      </c>
      <c r="B962" s="1" t="s">
        <v>1088</v>
      </c>
      <c r="C962" s="1" t="s">
        <v>30</v>
      </c>
      <c r="D962" s="2">
        <v>41798</v>
      </c>
      <c r="E962" s="1" t="s">
        <v>43</v>
      </c>
      <c r="F962" s="1" t="s">
        <v>690</v>
      </c>
      <c r="G962" s="1">
        <v>2</v>
      </c>
      <c r="H962" s="1">
        <v>4.84</v>
      </c>
      <c r="I962" s="1">
        <f t="shared" ref="I962:I1025" si="45">G962*H962</f>
        <v>9.68</v>
      </c>
      <c r="J962" t="str">
        <f t="shared" ref="J962:J1025" si="46">IF(I962&lt;1000,"Low","High")</f>
        <v>Low</v>
      </c>
      <c r="K962" s="1"/>
      <c r="L962" s="1">
        <v>0.02</v>
      </c>
      <c r="M962" s="1">
        <v>0.71</v>
      </c>
      <c r="N962" s="1" t="s">
        <v>33</v>
      </c>
      <c r="O962" s="1" t="s">
        <v>55</v>
      </c>
      <c r="P962" s="2">
        <v>41798</v>
      </c>
      <c r="Q962" s="2" t="b">
        <f t="shared" ref="Q962:Q1025" si="47">AND(N962="Express Air",O962="Large Box")</f>
        <v>0</v>
      </c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</row>
    <row r="963" spans="1:35" ht="14.25" customHeight="1" x14ac:dyDescent="0.2">
      <c r="A963" s="1">
        <v>17446</v>
      </c>
      <c r="B963" s="1" t="s">
        <v>1089</v>
      </c>
      <c r="C963" s="1" t="s">
        <v>51</v>
      </c>
      <c r="D963" s="2">
        <v>41799</v>
      </c>
      <c r="E963" s="1" t="s">
        <v>38</v>
      </c>
      <c r="F963" s="1" t="s">
        <v>360</v>
      </c>
      <c r="G963" s="1">
        <v>15</v>
      </c>
      <c r="H963" s="1">
        <v>8.34</v>
      </c>
      <c r="I963" s="1">
        <f t="shared" si="45"/>
        <v>125.1</v>
      </c>
      <c r="J963" t="str">
        <f t="shared" si="46"/>
        <v>Low</v>
      </c>
      <c r="K963" s="1"/>
      <c r="L963" s="1">
        <v>0</v>
      </c>
      <c r="M963" s="1">
        <v>2.64</v>
      </c>
      <c r="N963" s="1" t="s">
        <v>25</v>
      </c>
      <c r="O963" s="1" t="s">
        <v>84</v>
      </c>
      <c r="P963" s="2">
        <v>41801</v>
      </c>
      <c r="Q963" s="2" t="b">
        <f t="shared" si="47"/>
        <v>0</v>
      </c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</row>
    <row r="964" spans="1:35" ht="14.25" customHeight="1" x14ac:dyDescent="0.2">
      <c r="A964" s="1">
        <v>24869</v>
      </c>
      <c r="B964" s="1" t="s">
        <v>1090</v>
      </c>
      <c r="C964" s="1" t="s">
        <v>21</v>
      </c>
      <c r="D964" s="2">
        <v>41800</v>
      </c>
      <c r="E964" s="1" t="s">
        <v>22</v>
      </c>
      <c r="F964" s="1" t="s">
        <v>1091</v>
      </c>
      <c r="G964" s="1">
        <v>14</v>
      </c>
      <c r="H964" s="1">
        <v>8.85</v>
      </c>
      <c r="I964" s="1">
        <f t="shared" si="45"/>
        <v>123.89999999999999</v>
      </c>
      <c r="J964" t="str">
        <f t="shared" si="46"/>
        <v>Low</v>
      </c>
      <c r="K964" s="1"/>
      <c r="L964" s="1">
        <v>0.05</v>
      </c>
      <c r="M964" s="1">
        <v>5.6</v>
      </c>
      <c r="N964" s="1" t="s">
        <v>33</v>
      </c>
      <c r="O964" s="1" t="s">
        <v>34</v>
      </c>
      <c r="P964" s="2">
        <v>41801</v>
      </c>
      <c r="Q964" s="2" t="b">
        <f t="shared" si="47"/>
        <v>0</v>
      </c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</row>
    <row r="965" spans="1:35" ht="14.25" customHeight="1" x14ac:dyDescent="0.2">
      <c r="A965" s="1">
        <v>36230</v>
      </c>
      <c r="B965" s="1" t="s">
        <v>1092</v>
      </c>
      <c r="C965" s="1" t="s">
        <v>21</v>
      </c>
      <c r="D965" s="2">
        <v>41800</v>
      </c>
      <c r="E965" s="1" t="s">
        <v>31</v>
      </c>
      <c r="F965" s="1" t="s">
        <v>1093</v>
      </c>
      <c r="G965" s="1">
        <v>7</v>
      </c>
      <c r="H965" s="1">
        <v>7.28</v>
      </c>
      <c r="I965" s="1">
        <f t="shared" si="45"/>
        <v>50.96</v>
      </c>
      <c r="J965" t="str">
        <f t="shared" si="46"/>
        <v>Low</v>
      </c>
      <c r="K965" s="1"/>
      <c r="L965" s="1">
        <v>0</v>
      </c>
      <c r="M965" s="1">
        <v>3.52</v>
      </c>
      <c r="N965" s="1" t="s">
        <v>33</v>
      </c>
      <c r="O965" s="1" t="s">
        <v>84</v>
      </c>
      <c r="P965" s="2">
        <v>41800</v>
      </c>
      <c r="Q965" s="2" t="b">
        <f t="shared" si="47"/>
        <v>0</v>
      </c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</row>
    <row r="966" spans="1:35" ht="14.25" customHeight="1" x14ac:dyDescent="0.2">
      <c r="A966" s="1">
        <v>40707</v>
      </c>
      <c r="B966" s="1" t="s">
        <v>1094</v>
      </c>
      <c r="C966" s="1" t="s">
        <v>30</v>
      </c>
      <c r="D966" s="2">
        <v>41801</v>
      </c>
      <c r="E966" s="1" t="s">
        <v>31</v>
      </c>
      <c r="F966" s="1" t="s">
        <v>998</v>
      </c>
      <c r="G966" s="1">
        <v>26</v>
      </c>
      <c r="H966" s="1">
        <v>65.989999999999995</v>
      </c>
      <c r="I966" s="1">
        <f t="shared" si="45"/>
        <v>1715.7399999999998</v>
      </c>
      <c r="J966" t="str">
        <f t="shared" si="46"/>
        <v>High</v>
      </c>
      <c r="K966" s="1"/>
      <c r="L966" s="1">
        <v>0</v>
      </c>
      <c r="M966" s="1">
        <v>8.99</v>
      </c>
      <c r="N966" s="1" t="s">
        <v>33</v>
      </c>
      <c r="O966" s="1" t="s">
        <v>34</v>
      </c>
      <c r="P966" s="2">
        <v>41803</v>
      </c>
      <c r="Q966" s="2" t="b">
        <f t="shared" si="47"/>
        <v>0</v>
      </c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</row>
    <row r="967" spans="1:35" ht="14.25" customHeight="1" x14ac:dyDescent="0.2">
      <c r="A967" s="1">
        <v>46627</v>
      </c>
      <c r="B967" s="1" t="s">
        <v>1095</v>
      </c>
      <c r="C967" s="1" t="s">
        <v>30</v>
      </c>
      <c r="D967" s="2">
        <v>41801</v>
      </c>
      <c r="E967" s="1" t="s">
        <v>38</v>
      </c>
      <c r="F967" s="1" t="s">
        <v>1096</v>
      </c>
      <c r="G967" s="1">
        <v>3</v>
      </c>
      <c r="H967" s="1">
        <v>5.28</v>
      </c>
      <c r="I967" s="1">
        <f t="shared" si="45"/>
        <v>15.84</v>
      </c>
      <c r="J967" t="str">
        <f t="shared" si="46"/>
        <v>Low</v>
      </c>
      <c r="K967" s="1"/>
      <c r="L967" s="1">
        <v>0.05</v>
      </c>
      <c r="M967" s="1">
        <v>6.26</v>
      </c>
      <c r="N967" s="1" t="s">
        <v>33</v>
      </c>
      <c r="O967" s="1" t="s">
        <v>34</v>
      </c>
      <c r="P967" s="2">
        <v>41802</v>
      </c>
      <c r="Q967" s="2" t="b">
        <f t="shared" si="47"/>
        <v>0</v>
      </c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</row>
    <row r="968" spans="1:35" ht="14.25" customHeight="1" x14ac:dyDescent="0.2">
      <c r="A968" s="1">
        <v>46627</v>
      </c>
      <c r="B968" s="1" t="s">
        <v>1095</v>
      </c>
      <c r="C968" s="1" t="s">
        <v>21</v>
      </c>
      <c r="D968" s="2">
        <v>41801</v>
      </c>
      <c r="E968" s="1" t="s">
        <v>38</v>
      </c>
      <c r="F968" s="1" t="s">
        <v>665</v>
      </c>
      <c r="G968" s="1">
        <v>24</v>
      </c>
      <c r="H968" s="1">
        <v>65.989999999999995</v>
      </c>
      <c r="I968" s="1">
        <f t="shared" si="45"/>
        <v>1583.7599999999998</v>
      </c>
      <c r="J968" t="str">
        <f t="shared" si="46"/>
        <v>High</v>
      </c>
      <c r="K968" s="1"/>
      <c r="L968" s="1">
        <v>0.03</v>
      </c>
      <c r="M968" s="1">
        <v>5.26</v>
      </c>
      <c r="N968" s="1" t="s">
        <v>33</v>
      </c>
      <c r="O968" s="1" t="s">
        <v>34</v>
      </c>
      <c r="P968" s="2">
        <v>41802</v>
      </c>
      <c r="Q968" s="2" t="b">
        <f t="shared" si="47"/>
        <v>0</v>
      </c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</row>
    <row r="969" spans="1:35" ht="14.25" customHeight="1" x14ac:dyDescent="0.2">
      <c r="A969" s="1">
        <v>5155</v>
      </c>
      <c r="B969" s="1" t="s">
        <v>1097</v>
      </c>
      <c r="C969" s="1" t="s">
        <v>30</v>
      </c>
      <c r="D969" s="2">
        <v>41801</v>
      </c>
      <c r="E969" s="1" t="s">
        <v>31</v>
      </c>
      <c r="F969" s="1" t="s">
        <v>750</v>
      </c>
      <c r="G969" s="1">
        <v>14</v>
      </c>
      <c r="H969" s="1">
        <v>39.979999999999997</v>
      </c>
      <c r="I969" s="1">
        <f t="shared" si="45"/>
        <v>559.71999999999991</v>
      </c>
      <c r="J969" t="str">
        <f t="shared" si="46"/>
        <v>Low</v>
      </c>
      <c r="K969" s="1"/>
      <c r="L969" s="1">
        <v>0.01</v>
      </c>
      <c r="M969" s="1">
        <v>4</v>
      </c>
      <c r="N969" s="1" t="s">
        <v>33</v>
      </c>
      <c r="O969" s="1" t="s">
        <v>34</v>
      </c>
      <c r="P969" s="2">
        <v>41802</v>
      </c>
      <c r="Q969" s="2" t="b">
        <f t="shared" si="47"/>
        <v>0</v>
      </c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</row>
    <row r="970" spans="1:35" ht="14.25" customHeight="1" x14ac:dyDescent="0.2">
      <c r="A970" s="1">
        <v>53476</v>
      </c>
      <c r="B970" s="1" t="s">
        <v>936</v>
      </c>
      <c r="C970" s="1" t="s">
        <v>51</v>
      </c>
      <c r="D970" s="2">
        <v>41801</v>
      </c>
      <c r="E970" s="1" t="s">
        <v>22</v>
      </c>
      <c r="F970" s="1" t="s">
        <v>805</v>
      </c>
      <c r="G970" s="1">
        <v>14</v>
      </c>
      <c r="H970" s="1">
        <v>35.44</v>
      </c>
      <c r="I970" s="1">
        <f t="shared" si="45"/>
        <v>496.15999999999997</v>
      </c>
      <c r="J970" t="str">
        <f t="shared" si="46"/>
        <v>Low</v>
      </c>
      <c r="K970" s="1"/>
      <c r="L970" s="1">
        <v>0.04</v>
      </c>
      <c r="M970" s="1">
        <v>5.09</v>
      </c>
      <c r="N970" s="1" t="s">
        <v>33</v>
      </c>
      <c r="O970" s="1" t="s">
        <v>34</v>
      </c>
      <c r="P970" s="2">
        <v>41801</v>
      </c>
      <c r="Q970" s="2" t="b">
        <f t="shared" si="47"/>
        <v>0</v>
      </c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</row>
    <row r="971" spans="1:35" ht="14.25" customHeight="1" x14ac:dyDescent="0.2">
      <c r="A971" s="1">
        <v>53476</v>
      </c>
      <c r="B971" s="1" t="s">
        <v>936</v>
      </c>
      <c r="C971" s="1" t="s">
        <v>21</v>
      </c>
      <c r="D971" s="2">
        <v>41801</v>
      </c>
      <c r="E971" s="1" t="s">
        <v>22</v>
      </c>
      <c r="F971" s="1" t="s">
        <v>289</v>
      </c>
      <c r="G971" s="1">
        <v>24</v>
      </c>
      <c r="H971" s="1">
        <v>3.98</v>
      </c>
      <c r="I971" s="1">
        <f t="shared" si="45"/>
        <v>95.52</v>
      </c>
      <c r="J971" t="str">
        <f t="shared" si="46"/>
        <v>Low</v>
      </c>
      <c r="K971" s="1"/>
      <c r="L971" s="1">
        <v>0.08</v>
      </c>
      <c r="M971" s="1">
        <v>0.7</v>
      </c>
      <c r="N971" s="1" t="s">
        <v>33</v>
      </c>
      <c r="O971" s="1" t="s">
        <v>55</v>
      </c>
      <c r="P971" s="2">
        <v>41804</v>
      </c>
      <c r="Q971" s="2" t="b">
        <f t="shared" si="47"/>
        <v>0</v>
      </c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</row>
    <row r="972" spans="1:35" ht="14.25" customHeight="1" x14ac:dyDescent="0.2">
      <c r="A972" s="1">
        <v>53476</v>
      </c>
      <c r="B972" s="1" t="s">
        <v>936</v>
      </c>
      <c r="C972" s="1" t="s">
        <v>30</v>
      </c>
      <c r="D972" s="2">
        <v>41801</v>
      </c>
      <c r="E972" s="1" t="s">
        <v>22</v>
      </c>
      <c r="F972" s="1" t="s">
        <v>130</v>
      </c>
      <c r="G972" s="1">
        <v>47</v>
      </c>
      <c r="H972" s="1">
        <v>1.76</v>
      </c>
      <c r="I972" s="1">
        <f t="shared" si="45"/>
        <v>82.72</v>
      </c>
      <c r="J972" t="str">
        <f t="shared" si="46"/>
        <v>Low</v>
      </c>
      <c r="K972" s="1"/>
      <c r="L972" s="1">
        <v>0.01</v>
      </c>
      <c r="M972" s="1">
        <v>0.7</v>
      </c>
      <c r="N972" s="1" t="s">
        <v>33</v>
      </c>
      <c r="O972" s="1" t="s">
        <v>55</v>
      </c>
      <c r="P972" s="2">
        <v>41802</v>
      </c>
      <c r="Q972" s="2" t="b">
        <f t="shared" si="47"/>
        <v>0</v>
      </c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</row>
    <row r="973" spans="1:35" ht="14.25" customHeight="1" x14ac:dyDescent="0.2">
      <c r="A973" s="1">
        <v>53476</v>
      </c>
      <c r="B973" s="1" t="s">
        <v>936</v>
      </c>
      <c r="C973" s="1" t="s">
        <v>51</v>
      </c>
      <c r="D973" s="2">
        <v>41801</v>
      </c>
      <c r="E973" s="1" t="s">
        <v>22</v>
      </c>
      <c r="F973" s="1" t="s">
        <v>607</v>
      </c>
      <c r="G973" s="1">
        <v>42</v>
      </c>
      <c r="H973" s="1">
        <v>193.17</v>
      </c>
      <c r="I973" s="1">
        <f t="shared" si="45"/>
        <v>8113.1399999999994</v>
      </c>
      <c r="J973" t="str">
        <f t="shared" si="46"/>
        <v>High</v>
      </c>
      <c r="K973" s="1"/>
      <c r="L973" s="1">
        <v>0.01</v>
      </c>
      <c r="M973" s="1">
        <v>19.989999999999998</v>
      </c>
      <c r="N973" s="1" t="s">
        <v>25</v>
      </c>
      <c r="O973" s="1" t="s">
        <v>34</v>
      </c>
      <c r="P973" s="2">
        <v>41801</v>
      </c>
      <c r="Q973" s="2" t="b">
        <f t="shared" si="47"/>
        <v>0</v>
      </c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</row>
    <row r="974" spans="1:35" ht="14.25" customHeight="1" x14ac:dyDescent="0.2">
      <c r="A974" s="1">
        <v>26466</v>
      </c>
      <c r="B974" s="1" t="s">
        <v>439</v>
      </c>
      <c r="C974" s="1" t="s">
        <v>30</v>
      </c>
      <c r="D974" s="2">
        <v>41801</v>
      </c>
      <c r="E974" s="1" t="s">
        <v>38</v>
      </c>
      <c r="F974" s="1" t="s">
        <v>538</v>
      </c>
      <c r="G974" s="1">
        <v>29</v>
      </c>
      <c r="H974" s="1">
        <v>35.99</v>
      </c>
      <c r="I974" s="1">
        <f t="shared" si="45"/>
        <v>1043.71</v>
      </c>
      <c r="J974" t="str">
        <f t="shared" si="46"/>
        <v>High</v>
      </c>
      <c r="K974" s="1"/>
      <c r="L974" s="1">
        <v>0.01</v>
      </c>
      <c r="M974" s="1">
        <v>5.99</v>
      </c>
      <c r="N974" s="1" t="s">
        <v>33</v>
      </c>
      <c r="O974" s="1" t="s">
        <v>55</v>
      </c>
      <c r="P974" s="2">
        <v>41802</v>
      </c>
      <c r="Q974" s="2" t="b">
        <f t="shared" si="47"/>
        <v>0</v>
      </c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</row>
    <row r="975" spans="1:35" ht="14.25" customHeight="1" x14ac:dyDescent="0.2">
      <c r="A975" s="1">
        <v>59681</v>
      </c>
      <c r="B975" s="1" t="s">
        <v>171</v>
      </c>
      <c r="C975" s="1" t="s">
        <v>21</v>
      </c>
      <c r="D975" s="2">
        <v>41801</v>
      </c>
      <c r="E975" s="1" t="s">
        <v>38</v>
      </c>
      <c r="F975" s="1" t="s">
        <v>222</v>
      </c>
      <c r="G975" s="1">
        <v>23</v>
      </c>
      <c r="H975" s="1">
        <v>8.6</v>
      </c>
      <c r="I975" s="1">
        <f t="shared" si="45"/>
        <v>197.79999999999998</v>
      </c>
      <c r="J975" t="str">
        <f t="shared" si="46"/>
        <v>Low</v>
      </c>
      <c r="K975" s="1"/>
      <c r="L975" s="1">
        <v>0.02</v>
      </c>
      <c r="M975" s="1">
        <v>6.19</v>
      </c>
      <c r="N975" s="1" t="s">
        <v>25</v>
      </c>
      <c r="O975" s="1" t="s">
        <v>34</v>
      </c>
      <c r="P975" s="2">
        <v>41803</v>
      </c>
      <c r="Q975" s="2" t="b">
        <f t="shared" si="47"/>
        <v>0</v>
      </c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</row>
    <row r="976" spans="1:35" ht="14.25" customHeight="1" x14ac:dyDescent="0.2">
      <c r="A976" s="1">
        <v>25347</v>
      </c>
      <c r="B976" s="1" t="s">
        <v>1098</v>
      </c>
      <c r="C976" s="1" t="s">
        <v>51</v>
      </c>
      <c r="D976" s="2">
        <v>41802</v>
      </c>
      <c r="E976" s="1" t="s">
        <v>43</v>
      </c>
      <c r="F976" s="1" t="s">
        <v>1099</v>
      </c>
      <c r="G976" s="1">
        <v>28</v>
      </c>
      <c r="H976" s="1">
        <v>35.44</v>
      </c>
      <c r="I976" s="1">
        <f t="shared" si="45"/>
        <v>992.31999999999994</v>
      </c>
      <c r="J976" t="str">
        <f t="shared" si="46"/>
        <v>Low</v>
      </c>
      <c r="K976" s="1"/>
      <c r="L976" s="1">
        <v>7.0000000000000007E-2</v>
      </c>
      <c r="M976" s="1">
        <v>7.5</v>
      </c>
      <c r="N976" s="1" t="s">
        <v>33</v>
      </c>
      <c r="O976" s="1" t="s">
        <v>34</v>
      </c>
      <c r="P976" s="2">
        <v>41809</v>
      </c>
      <c r="Q976" s="2" t="b">
        <f t="shared" si="47"/>
        <v>0</v>
      </c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</row>
    <row r="977" spans="1:35" ht="14.25" customHeight="1" x14ac:dyDescent="0.2">
      <c r="A977" s="1">
        <v>56582</v>
      </c>
      <c r="B977" s="1" t="s">
        <v>1094</v>
      </c>
      <c r="C977" s="1" t="s">
        <v>30</v>
      </c>
      <c r="D977" s="2">
        <v>41802</v>
      </c>
      <c r="E977" s="1" t="s">
        <v>43</v>
      </c>
      <c r="F977" s="1" t="s">
        <v>547</v>
      </c>
      <c r="G977" s="1">
        <v>36</v>
      </c>
      <c r="H977" s="1">
        <v>130.97999999999999</v>
      </c>
      <c r="I977" s="1">
        <f t="shared" si="45"/>
        <v>4715.28</v>
      </c>
      <c r="J977" t="str">
        <f t="shared" si="46"/>
        <v>High</v>
      </c>
      <c r="K977" s="1"/>
      <c r="L977" s="1">
        <v>0.04</v>
      </c>
      <c r="M977" s="1">
        <v>54.74</v>
      </c>
      <c r="N977" s="1" t="s">
        <v>45</v>
      </c>
      <c r="O977" s="1" t="s">
        <v>63</v>
      </c>
      <c r="P977" s="2">
        <v>41802</v>
      </c>
      <c r="Q977" s="2" t="b">
        <f t="shared" si="47"/>
        <v>0</v>
      </c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</row>
    <row r="978" spans="1:35" ht="14.25" customHeight="1" x14ac:dyDescent="0.2">
      <c r="A978" s="1">
        <v>42308</v>
      </c>
      <c r="B978" s="1" t="s">
        <v>1100</v>
      </c>
      <c r="C978" s="1" t="s">
        <v>51</v>
      </c>
      <c r="D978" s="2">
        <v>41802</v>
      </c>
      <c r="E978" s="1" t="s">
        <v>101</v>
      </c>
      <c r="F978" s="1" t="s">
        <v>1101</v>
      </c>
      <c r="G978" s="1">
        <v>16</v>
      </c>
      <c r="H978" s="1">
        <v>4.8600000000000003</v>
      </c>
      <c r="I978" s="1">
        <f t="shared" si="45"/>
        <v>77.760000000000005</v>
      </c>
      <c r="J978" t="str">
        <f t="shared" si="46"/>
        <v>Low</v>
      </c>
      <c r="K978" s="1"/>
      <c r="L978" s="1">
        <v>0.09</v>
      </c>
      <c r="M978" s="1">
        <v>7.1</v>
      </c>
      <c r="N978" s="1" t="s">
        <v>33</v>
      </c>
      <c r="O978" s="1" t="s">
        <v>34</v>
      </c>
      <c r="P978" s="2">
        <v>41805</v>
      </c>
      <c r="Q978" s="2" t="b">
        <f t="shared" si="47"/>
        <v>0</v>
      </c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</row>
    <row r="979" spans="1:35" ht="14.25" customHeight="1" x14ac:dyDescent="0.2">
      <c r="A979" s="1">
        <v>48096</v>
      </c>
      <c r="B979" s="1" t="s">
        <v>560</v>
      </c>
      <c r="C979" s="1" t="s">
        <v>51</v>
      </c>
      <c r="D979" s="2">
        <v>41802</v>
      </c>
      <c r="E979" s="1" t="s">
        <v>31</v>
      </c>
      <c r="F979" s="1" t="s">
        <v>954</v>
      </c>
      <c r="G979" s="1">
        <v>3</v>
      </c>
      <c r="H979" s="1">
        <v>6.48</v>
      </c>
      <c r="I979" s="1">
        <f t="shared" si="45"/>
        <v>19.440000000000001</v>
      </c>
      <c r="J979" t="str">
        <f t="shared" si="46"/>
        <v>Low</v>
      </c>
      <c r="K979" s="1"/>
      <c r="L979" s="1">
        <v>0.02</v>
      </c>
      <c r="M979" s="1">
        <v>7.86</v>
      </c>
      <c r="N979" s="1" t="s">
        <v>25</v>
      </c>
      <c r="O979" s="1" t="s">
        <v>34</v>
      </c>
      <c r="P979" s="2">
        <v>41803</v>
      </c>
      <c r="Q979" s="2" t="b">
        <f t="shared" si="47"/>
        <v>0</v>
      </c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</row>
    <row r="980" spans="1:35" ht="14.25" customHeight="1" x14ac:dyDescent="0.2">
      <c r="A980" s="1">
        <v>48096</v>
      </c>
      <c r="B980" s="1" t="s">
        <v>560</v>
      </c>
      <c r="C980" s="1" t="s">
        <v>21</v>
      </c>
      <c r="D980" s="2">
        <v>41802</v>
      </c>
      <c r="E980" s="1" t="s">
        <v>31</v>
      </c>
      <c r="F980" s="1" t="s">
        <v>1102</v>
      </c>
      <c r="G980" s="1">
        <v>22</v>
      </c>
      <c r="H980" s="1">
        <v>17.07</v>
      </c>
      <c r="I980" s="1">
        <f t="shared" si="45"/>
        <v>375.54</v>
      </c>
      <c r="J980" t="str">
        <f t="shared" si="46"/>
        <v>Low</v>
      </c>
      <c r="K980" s="1"/>
      <c r="L980" s="1">
        <v>0.03</v>
      </c>
      <c r="M980" s="1">
        <v>8.1300000000000008</v>
      </c>
      <c r="N980" s="1" t="s">
        <v>33</v>
      </c>
      <c r="O980" s="1" t="s">
        <v>34</v>
      </c>
      <c r="P980" s="2">
        <v>41804</v>
      </c>
      <c r="Q980" s="2" t="b">
        <f t="shared" si="47"/>
        <v>0</v>
      </c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</row>
    <row r="981" spans="1:35" ht="14.25" customHeight="1" x14ac:dyDescent="0.2">
      <c r="A981" s="1">
        <v>8999</v>
      </c>
      <c r="B981" s="1" t="s">
        <v>123</v>
      </c>
      <c r="C981" s="1" t="s">
        <v>30</v>
      </c>
      <c r="D981" s="2">
        <v>41802</v>
      </c>
      <c r="E981" s="1" t="s">
        <v>31</v>
      </c>
      <c r="F981" s="1" t="s">
        <v>342</v>
      </c>
      <c r="G981" s="1">
        <v>28</v>
      </c>
      <c r="H981" s="1">
        <v>55.48</v>
      </c>
      <c r="I981" s="1">
        <f t="shared" si="45"/>
        <v>1553.4399999999998</v>
      </c>
      <c r="J981" t="str">
        <f t="shared" si="46"/>
        <v>High</v>
      </c>
      <c r="K981" s="1"/>
      <c r="L981" s="1">
        <v>0</v>
      </c>
      <c r="M981" s="1">
        <v>14.3</v>
      </c>
      <c r="N981" s="1" t="s">
        <v>33</v>
      </c>
      <c r="O981" s="1" t="s">
        <v>34</v>
      </c>
      <c r="P981" s="2">
        <v>41804</v>
      </c>
      <c r="Q981" s="2" t="b">
        <f t="shared" si="47"/>
        <v>0</v>
      </c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</row>
    <row r="982" spans="1:35" ht="14.25" customHeight="1" x14ac:dyDescent="0.2">
      <c r="A982" s="1">
        <v>47872</v>
      </c>
      <c r="B982" s="1" t="s">
        <v>825</v>
      </c>
      <c r="C982" s="1" t="s">
        <v>21</v>
      </c>
      <c r="D982" s="2">
        <v>41802</v>
      </c>
      <c r="E982" s="1" t="s">
        <v>38</v>
      </c>
      <c r="F982" s="1" t="s">
        <v>882</v>
      </c>
      <c r="G982" s="1">
        <v>38</v>
      </c>
      <c r="H982" s="1">
        <v>46.89</v>
      </c>
      <c r="I982" s="1">
        <f t="shared" si="45"/>
        <v>1781.82</v>
      </c>
      <c r="J982" t="str">
        <f t="shared" si="46"/>
        <v>High</v>
      </c>
      <c r="K982" s="1"/>
      <c r="L982" s="1">
        <v>0.09</v>
      </c>
      <c r="M982" s="1">
        <v>5.0999999999999996</v>
      </c>
      <c r="N982" s="1" t="s">
        <v>33</v>
      </c>
      <c r="O982" s="1" t="s">
        <v>72</v>
      </c>
      <c r="P982" s="2">
        <v>41804</v>
      </c>
      <c r="Q982" s="2" t="b">
        <f t="shared" si="47"/>
        <v>0</v>
      </c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</row>
    <row r="983" spans="1:35" ht="14.25" customHeight="1" x14ac:dyDescent="0.2">
      <c r="A983" s="1">
        <v>47872</v>
      </c>
      <c r="B983" s="1" t="s">
        <v>825</v>
      </c>
      <c r="C983" s="1" t="s">
        <v>30</v>
      </c>
      <c r="D983" s="2">
        <v>41802</v>
      </c>
      <c r="E983" s="1" t="s">
        <v>38</v>
      </c>
      <c r="F983" s="1" t="s">
        <v>110</v>
      </c>
      <c r="G983" s="1">
        <v>50</v>
      </c>
      <c r="H983" s="1">
        <v>6.64</v>
      </c>
      <c r="I983" s="1">
        <f t="shared" si="45"/>
        <v>332</v>
      </c>
      <c r="J983" t="str">
        <f t="shared" si="46"/>
        <v>Low</v>
      </c>
      <c r="K983" s="1"/>
      <c r="L983" s="1">
        <v>0.05</v>
      </c>
      <c r="M983" s="1">
        <v>4.95</v>
      </c>
      <c r="N983" s="1" t="s">
        <v>33</v>
      </c>
      <c r="O983" s="1" t="s">
        <v>84</v>
      </c>
      <c r="P983" s="2">
        <v>41803</v>
      </c>
      <c r="Q983" s="2" t="b">
        <f t="shared" si="47"/>
        <v>0</v>
      </c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</row>
    <row r="984" spans="1:35" ht="14.25" customHeight="1" x14ac:dyDescent="0.2">
      <c r="A984" s="1">
        <v>29988</v>
      </c>
      <c r="B984" s="1" t="s">
        <v>513</v>
      </c>
      <c r="C984" s="1" t="s">
        <v>30</v>
      </c>
      <c r="D984" s="2">
        <v>41802</v>
      </c>
      <c r="E984" s="1" t="s">
        <v>31</v>
      </c>
      <c r="F984" s="1" t="s">
        <v>1103</v>
      </c>
      <c r="G984" s="1">
        <v>12</v>
      </c>
      <c r="H984" s="1">
        <v>449.99</v>
      </c>
      <c r="I984" s="1">
        <f t="shared" si="45"/>
        <v>5399.88</v>
      </c>
      <c r="J984" t="str">
        <f t="shared" si="46"/>
        <v>High</v>
      </c>
      <c r="K984" s="1"/>
      <c r="L984" s="1">
        <v>0.06</v>
      </c>
      <c r="M984" s="1">
        <v>49</v>
      </c>
      <c r="N984" s="1" t="s">
        <v>45</v>
      </c>
      <c r="O984" s="1" t="s">
        <v>46</v>
      </c>
      <c r="P984" s="2">
        <v>41804</v>
      </c>
      <c r="Q984" s="2" t="b">
        <f t="shared" si="47"/>
        <v>0</v>
      </c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</row>
    <row r="985" spans="1:35" ht="14.25" customHeight="1" x14ac:dyDescent="0.2">
      <c r="A985" s="1">
        <v>56582</v>
      </c>
      <c r="B985" s="1" t="s">
        <v>1094</v>
      </c>
      <c r="C985" s="1" t="s">
        <v>21</v>
      </c>
      <c r="D985" s="2">
        <v>41802</v>
      </c>
      <c r="E985" s="1" t="s">
        <v>43</v>
      </c>
      <c r="F985" s="1" t="s">
        <v>1104</v>
      </c>
      <c r="G985" s="1">
        <v>25</v>
      </c>
      <c r="H985" s="1">
        <v>105.29</v>
      </c>
      <c r="I985" s="1">
        <f t="shared" si="45"/>
        <v>2632.25</v>
      </c>
      <c r="J985" t="str">
        <f t="shared" si="46"/>
        <v>High</v>
      </c>
      <c r="K985" s="1"/>
      <c r="L985" s="1">
        <v>0.04</v>
      </c>
      <c r="M985" s="1">
        <v>10.119999999999999</v>
      </c>
      <c r="N985" s="1" t="s">
        <v>33</v>
      </c>
      <c r="O985" s="1" t="s">
        <v>26</v>
      </c>
      <c r="P985" s="2">
        <v>41806</v>
      </c>
      <c r="Q985" s="2" t="b">
        <f t="shared" si="47"/>
        <v>0</v>
      </c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</row>
    <row r="986" spans="1:35" ht="14.25" customHeight="1" x14ac:dyDescent="0.2">
      <c r="A986" s="1">
        <v>56582</v>
      </c>
      <c r="B986" s="1" t="s">
        <v>1094</v>
      </c>
      <c r="C986" s="1" t="s">
        <v>21</v>
      </c>
      <c r="D986" s="2">
        <v>41802</v>
      </c>
      <c r="E986" s="1" t="s">
        <v>43</v>
      </c>
      <c r="F986" s="1" t="s">
        <v>282</v>
      </c>
      <c r="G986" s="1">
        <v>47</v>
      </c>
      <c r="H986" s="1">
        <v>31.76</v>
      </c>
      <c r="I986" s="1">
        <f t="shared" si="45"/>
        <v>1492.72</v>
      </c>
      <c r="J986" t="str">
        <f t="shared" si="46"/>
        <v>High</v>
      </c>
      <c r="K986" s="1"/>
      <c r="L986" s="1">
        <v>7.0000000000000007E-2</v>
      </c>
      <c r="M986" s="1">
        <v>45.51</v>
      </c>
      <c r="N986" s="1" t="s">
        <v>45</v>
      </c>
      <c r="O986" s="1" t="s">
        <v>63</v>
      </c>
      <c r="P986" s="2">
        <v>41804</v>
      </c>
      <c r="Q986" s="2" t="b">
        <f t="shared" si="47"/>
        <v>0</v>
      </c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</row>
    <row r="987" spans="1:35" ht="14.25" customHeight="1" x14ac:dyDescent="0.2">
      <c r="A987" s="1">
        <v>355</v>
      </c>
      <c r="B987" s="1" t="s">
        <v>1105</v>
      </c>
      <c r="C987" s="1" t="s">
        <v>51</v>
      </c>
      <c r="D987" s="2">
        <v>41803</v>
      </c>
      <c r="E987" s="1" t="s">
        <v>43</v>
      </c>
      <c r="F987" s="1" t="s">
        <v>628</v>
      </c>
      <c r="G987" s="1">
        <v>16</v>
      </c>
      <c r="H987" s="1">
        <v>85.99</v>
      </c>
      <c r="I987" s="1">
        <f t="shared" si="45"/>
        <v>1375.84</v>
      </c>
      <c r="J987" t="str">
        <f t="shared" si="46"/>
        <v>High</v>
      </c>
      <c r="K987" s="1"/>
      <c r="L987" s="1">
        <v>0</v>
      </c>
      <c r="M987" s="1">
        <v>0.99</v>
      </c>
      <c r="N987" s="1" t="s">
        <v>33</v>
      </c>
      <c r="O987" s="1" t="s">
        <v>55</v>
      </c>
      <c r="P987" s="2">
        <v>41808</v>
      </c>
      <c r="Q987" s="2" t="b">
        <f t="shared" si="47"/>
        <v>0</v>
      </c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</row>
    <row r="988" spans="1:35" ht="14.25" customHeight="1" x14ac:dyDescent="0.2">
      <c r="A988" s="1">
        <v>39430</v>
      </c>
      <c r="B988" s="1" t="s">
        <v>429</v>
      </c>
      <c r="C988" s="1" t="s">
        <v>51</v>
      </c>
      <c r="D988" s="2">
        <v>41803</v>
      </c>
      <c r="E988" s="1" t="s">
        <v>43</v>
      </c>
      <c r="F988" s="1" t="s">
        <v>1106</v>
      </c>
      <c r="G988" s="1">
        <v>29</v>
      </c>
      <c r="H988" s="1">
        <v>30.98</v>
      </c>
      <c r="I988" s="1">
        <f t="shared" si="45"/>
        <v>898.42</v>
      </c>
      <c r="J988" t="str">
        <f t="shared" si="46"/>
        <v>Low</v>
      </c>
      <c r="K988" s="1"/>
      <c r="L988" s="1">
        <v>0.03</v>
      </c>
      <c r="M988" s="1">
        <v>6.5</v>
      </c>
      <c r="N988" s="1" t="s">
        <v>33</v>
      </c>
      <c r="O988" s="1" t="s">
        <v>34</v>
      </c>
      <c r="P988" s="2">
        <v>41807</v>
      </c>
      <c r="Q988" s="2" t="b">
        <f t="shared" si="47"/>
        <v>0</v>
      </c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</row>
    <row r="989" spans="1:35" ht="14.25" customHeight="1" x14ac:dyDescent="0.2">
      <c r="A989" s="1">
        <v>58339</v>
      </c>
      <c r="B989" s="1" t="s">
        <v>1107</v>
      </c>
      <c r="C989" s="1" t="s">
        <v>21</v>
      </c>
      <c r="D989" s="2">
        <v>41803</v>
      </c>
      <c r="E989" s="1" t="s">
        <v>31</v>
      </c>
      <c r="F989" s="1" t="s">
        <v>1108</v>
      </c>
      <c r="G989" s="1">
        <v>9</v>
      </c>
      <c r="H989" s="1">
        <v>177.98</v>
      </c>
      <c r="I989" s="1">
        <f t="shared" si="45"/>
        <v>1601.82</v>
      </c>
      <c r="J989" t="str">
        <f t="shared" si="46"/>
        <v>High</v>
      </c>
      <c r="K989" s="1"/>
      <c r="L989" s="1">
        <v>7.0000000000000007E-2</v>
      </c>
      <c r="M989" s="1">
        <v>0.99</v>
      </c>
      <c r="N989" s="1" t="s">
        <v>33</v>
      </c>
      <c r="O989" s="1" t="s">
        <v>34</v>
      </c>
      <c r="P989" s="2">
        <v>41803</v>
      </c>
      <c r="Q989" s="2" t="b">
        <f t="shared" si="47"/>
        <v>0</v>
      </c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</row>
    <row r="990" spans="1:35" ht="14.25" customHeight="1" x14ac:dyDescent="0.2">
      <c r="A990" s="1">
        <v>58339</v>
      </c>
      <c r="B990" s="1" t="s">
        <v>1107</v>
      </c>
      <c r="C990" s="1" t="s">
        <v>51</v>
      </c>
      <c r="D990" s="2">
        <v>41803</v>
      </c>
      <c r="E990" s="1" t="s">
        <v>31</v>
      </c>
      <c r="F990" s="1" t="s">
        <v>1001</v>
      </c>
      <c r="G990" s="1">
        <v>11</v>
      </c>
      <c r="H990" s="1">
        <v>2.08</v>
      </c>
      <c r="I990" s="1">
        <f t="shared" si="45"/>
        <v>22.880000000000003</v>
      </c>
      <c r="J990" t="str">
        <f t="shared" si="46"/>
        <v>Low</v>
      </c>
      <c r="K990" s="1"/>
      <c r="L990" s="1">
        <v>0.01</v>
      </c>
      <c r="M990" s="1">
        <v>1.49</v>
      </c>
      <c r="N990" s="1" t="s">
        <v>25</v>
      </c>
      <c r="O990" s="1" t="s">
        <v>34</v>
      </c>
      <c r="P990" s="2">
        <v>41804</v>
      </c>
      <c r="Q990" s="2" t="b">
        <f t="shared" si="47"/>
        <v>0</v>
      </c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</row>
    <row r="991" spans="1:35" ht="14.25" customHeight="1" x14ac:dyDescent="0.2">
      <c r="A991" s="1">
        <v>37348</v>
      </c>
      <c r="B991" s="1" t="s">
        <v>1109</v>
      </c>
      <c r="C991" s="1" t="s">
        <v>30</v>
      </c>
      <c r="D991" s="2">
        <v>41803</v>
      </c>
      <c r="E991" s="1" t="s">
        <v>31</v>
      </c>
      <c r="F991" s="1" t="s">
        <v>1110</v>
      </c>
      <c r="G991" s="1">
        <v>33</v>
      </c>
      <c r="H991" s="1">
        <v>17.149999999999999</v>
      </c>
      <c r="I991" s="1">
        <f t="shared" si="45"/>
        <v>565.94999999999993</v>
      </c>
      <c r="J991" t="str">
        <f t="shared" si="46"/>
        <v>Low</v>
      </c>
      <c r="K991" s="1"/>
      <c r="L991" s="1">
        <v>0.08</v>
      </c>
      <c r="M991" s="1">
        <v>4.96</v>
      </c>
      <c r="N991" s="1" t="s">
        <v>33</v>
      </c>
      <c r="O991" s="1" t="s">
        <v>34</v>
      </c>
      <c r="P991" s="2">
        <v>41806</v>
      </c>
      <c r="Q991" s="2" t="b">
        <f t="shared" si="47"/>
        <v>0</v>
      </c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</row>
    <row r="992" spans="1:35" ht="14.25" customHeight="1" x14ac:dyDescent="0.2">
      <c r="A992" s="1">
        <v>837</v>
      </c>
      <c r="B992" s="1" t="s">
        <v>334</v>
      </c>
      <c r="C992" s="1" t="s">
        <v>51</v>
      </c>
      <c r="D992" s="2">
        <v>41804</v>
      </c>
      <c r="E992" s="1" t="s">
        <v>22</v>
      </c>
      <c r="F992" s="1" t="s">
        <v>1011</v>
      </c>
      <c r="G992" s="1">
        <v>11</v>
      </c>
      <c r="H992" s="1">
        <v>5.84</v>
      </c>
      <c r="I992" s="1">
        <f t="shared" si="45"/>
        <v>64.239999999999995</v>
      </c>
      <c r="J992" t="str">
        <f t="shared" si="46"/>
        <v>Low</v>
      </c>
      <c r="K992" s="1"/>
      <c r="L992" s="1">
        <v>0.01</v>
      </c>
      <c r="M992" s="1">
        <v>0.83</v>
      </c>
      <c r="N992" s="1" t="s">
        <v>33</v>
      </c>
      <c r="O992" s="1" t="s">
        <v>55</v>
      </c>
      <c r="P992" s="2">
        <v>41806</v>
      </c>
      <c r="Q992" s="2" t="b">
        <f t="shared" si="47"/>
        <v>0</v>
      </c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</row>
    <row r="993" spans="1:35" ht="14.25" customHeight="1" x14ac:dyDescent="0.2">
      <c r="A993" s="1">
        <v>28001</v>
      </c>
      <c r="B993" s="1" t="s">
        <v>1111</v>
      </c>
      <c r="C993" s="1" t="s">
        <v>51</v>
      </c>
      <c r="D993" s="2">
        <v>41804</v>
      </c>
      <c r="E993" s="1" t="s">
        <v>38</v>
      </c>
      <c r="F993" s="1" t="s">
        <v>89</v>
      </c>
      <c r="G993" s="1">
        <v>21</v>
      </c>
      <c r="H993" s="1">
        <v>194.3</v>
      </c>
      <c r="I993" s="1">
        <f t="shared" si="45"/>
        <v>4080.3</v>
      </c>
      <c r="J993" t="str">
        <f t="shared" si="46"/>
        <v>High</v>
      </c>
      <c r="K993" s="1"/>
      <c r="L993" s="1">
        <v>0.01</v>
      </c>
      <c r="M993" s="1">
        <v>11.54</v>
      </c>
      <c r="N993" s="1" t="s">
        <v>33</v>
      </c>
      <c r="O993" s="1" t="s">
        <v>26</v>
      </c>
      <c r="P993" s="2">
        <v>41806</v>
      </c>
      <c r="Q993" s="2" t="b">
        <f t="shared" si="47"/>
        <v>0</v>
      </c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</row>
    <row r="994" spans="1:35" ht="14.25" customHeight="1" x14ac:dyDescent="0.2">
      <c r="A994" s="1">
        <v>28001</v>
      </c>
      <c r="B994" s="1" t="s">
        <v>1111</v>
      </c>
      <c r="C994" s="1" t="s">
        <v>30</v>
      </c>
      <c r="D994" s="2">
        <v>41804</v>
      </c>
      <c r="E994" s="1" t="s">
        <v>38</v>
      </c>
      <c r="F994" s="1" t="s">
        <v>90</v>
      </c>
      <c r="G994" s="1">
        <v>41</v>
      </c>
      <c r="H994" s="1">
        <v>209.84</v>
      </c>
      <c r="I994" s="1">
        <f t="shared" si="45"/>
        <v>8603.44</v>
      </c>
      <c r="J994" t="str">
        <f t="shared" si="46"/>
        <v>High</v>
      </c>
      <c r="K994" s="1"/>
      <c r="L994" s="1">
        <v>0.02</v>
      </c>
      <c r="M994" s="1">
        <v>21.21</v>
      </c>
      <c r="N994" s="1" t="s">
        <v>33</v>
      </c>
      <c r="O994" s="1" t="s">
        <v>26</v>
      </c>
      <c r="P994" s="2">
        <v>41804</v>
      </c>
      <c r="Q994" s="2" t="b">
        <f t="shared" si="47"/>
        <v>0</v>
      </c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</row>
    <row r="995" spans="1:35" ht="14.25" customHeight="1" x14ac:dyDescent="0.2">
      <c r="A995" s="1">
        <v>53350</v>
      </c>
      <c r="B995" s="1" t="s">
        <v>1112</v>
      </c>
      <c r="C995" s="1" t="s">
        <v>30</v>
      </c>
      <c r="D995" s="2">
        <v>41804</v>
      </c>
      <c r="E995" s="1" t="s">
        <v>22</v>
      </c>
      <c r="F995" s="1" t="s">
        <v>1113</v>
      </c>
      <c r="G995" s="1">
        <v>24</v>
      </c>
      <c r="H995" s="1">
        <v>315.98</v>
      </c>
      <c r="I995" s="1">
        <f t="shared" si="45"/>
        <v>7583.52</v>
      </c>
      <c r="J995" t="str">
        <f t="shared" si="46"/>
        <v>High</v>
      </c>
      <c r="K995" s="1"/>
      <c r="L995" s="1">
        <v>0.08</v>
      </c>
      <c r="M995" s="1">
        <v>19.989999999999998</v>
      </c>
      <c r="N995" s="1" t="s">
        <v>33</v>
      </c>
      <c r="O995" s="1" t="s">
        <v>34</v>
      </c>
      <c r="P995" s="2">
        <v>41804</v>
      </c>
      <c r="Q995" s="2" t="b">
        <f t="shared" si="47"/>
        <v>0</v>
      </c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</row>
    <row r="996" spans="1:35" ht="14.25" customHeight="1" x14ac:dyDescent="0.2">
      <c r="A996" s="1">
        <v>14528</v>
      </c>
      <c r="B996" s="1" t="s">
        <v>1114</v>
      </c>
      <c r="C996" s="1" t="s">
        <v>21</v>
      </c>
      <c r="D996" s="2">
        <v>41805</v>
      </c>
      <c r="E996" s="1" t="s">
        <v>38</v>
      </c>
      <c r="F996" s="1" t="s">
        <v>1115</v>
      </c>
      <c r="G996" s="1">
        <v>14</v>
      </c>
      <c r="H996" s="1">
        <v>5.98</v>
      </c>
      <c r="I996" s="1">
        <f t="shared" si="45"/>
        <v>83.72</v>
      </c>
      <c r="J996" t="str">
        <f t="shared" si="46"/>
        <v>Low</v>
      </c>
      <c r="K996" s="1"/>
      <c r="L996" s="1">
        <v>0.09</v>
      </c>
      <c r="M996" s="1">
        <v>1.49</v>
      </c>
      <c r="N996" s="1" t="s">
        <v>33</v>
      </c>
      <c r="O996" s="1" t="s">
        <v>34</v>
      </c>
      <c r="P996" s="2">
        <v>41807</v>
      </c>
      <c r="Q996" s="2" t="b">
        <f t="shared" si="47"/>
        <v>0</v>
      </c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</row>
    <row r="997" spans="1:35" ht="14.25" customHeight="1" x14ac:dyDescent="0.2">
      <c r="A997" s="1">
        <v>22242</v>
      </c>
      <c r="B997" s="1" t="s">
        <v>933</v>
      </c>
      <c r="C997" s="1" t="s">
        <v>51</v>
      </c>
      <c r="D997" s="2">
        <v>41805</v>
      </c>
      <c r="E997" s="1" t="s">
        <v>22</v>
      </c>
      <c r="F997" s="1" t="s">
        <v>1116</v>
      </c>
      <c r="G997" s="1">
        <v>50</v>
      </c>
      <c r="H997" s="1">
        <v>6.48</v>
      </c>
      <c r="I997" s="1">
        <f t="shared" si="45"/>
        <v>324</v>
      </c>
      <c r="J997" t="str">
        <f t="shared" si="46"/>
        <v>Low</v>
      </c>
      <c r="K997" s="1"/>
      <c r="L997" s="1">
        <v>0.04</v>
      </c>
      <c r="M997" s="1">
        <v>9.5399999999999991</v>
      </c>
      <c r="N997" s="1" t="s">
        <v>33</v>
      </c>
      <c r="O997" s="1" t="s">
        <v>34</v>
      </c>
      <c r="P997" s="2">
        <v>41807</v>
      </c>
      <c r="Q997" s="2" t="b">
        <f t="shared" si="47"/>
        <v>0</v>
      </c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</row>
    <row r="998" spans="1:35" ht="14.25" customHeight="1" x14ac:dyDescent="0.2">
      <c r="A998" s="1">
        <v>28161</v>
      </c>
      <c r="B998" s="1" t="s">
        <v>632</v>
      </c>
      <c r="C998" s="1" t="s">
        <v>21</v>
      </c>
      <c r="D998" s="2">
        <v>41805</v>
      </c>
      <c r="E998" s="1" t="s">
        <v>22</v>
      </c>
      <c r="F998" s="1" t="s">
        <v>79</v>
      </c>
      <c r="G998" s="1">
        <v>15</v>
      </c>
      <c r="H998" s="1">
        <v>350.98</v>
      </c>
      <c r="I998" s="1">
        <f t="shared" si="45"/>
        <v>5264.7000000000007</v>
      </c>
      <c r="J998" t="str">
        <f t="shared" si="46"/>
        <v>High</v>
      </c>
      <c r="K998" s="1"/>
      <c r="L998" s="1">
        <v>0.06</v>
      </c>
      <c r="M998" s="1">
        <v>30</v>
      </c>
      <c r="N998" s="1" t="s">
        <v>45</v>
      </c>
      <c r="O998" s="1" t="s">
        <v>46</v>
      </c>
      <c r="P998" s="2">
        <v>41807</v>
      </c>
      <c r="Q998" s="2" t="b">
        <f t="shared" si="47"/>
        <v>0</v>
      </c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</row>
    <row r="999" spans="1:35" ht="14.25" customHeight="1" x14ac:dyDescent="0.2">
      <c r="A999" s="1">
        <v>28161</v>
      </c>
      <c r="B999" s="1" t="s">
        <v>632</v>
      </c>
      <c r="C999" s="1" t="s">
        <v>21</v>
      </c>
      <c r="D999" s="2">
        <v>41805</v>
      </c>
      <c r="E999" s="1" t="s">
        <v>22</v>
      </c>
      <c r="F999" s="1" t="s">
        <v>160</v>
      </c>
      <c r="G999" s="1">
        <v>10</v>
      </c>
      <c r="H999" s="1">
        <v>70.98</v>
      </c>
      <c r="I999" s="1">
        <f t="shared" si="45"/>
        <v>709.80000000000007</v>
      </c>
      <c r="J999" t="str">
        <f t="shared" si="46"/>
        <v>Low</v>
      </c>
      <c r="K999" s="1"/>
      <c r="L999" s="1">
        <v>0.02</v>
      </c>
      <c r="M999" s="1">
        <v>46.74</v>
      </c>
      <c r="N999" s="1" t="s">
        <v>45</v>
      </c>
      <c r="O999" s="1" t="s">
        <v>63</v>
      </c>
      <c r="P999" s="2">
        <v>41806</v>
      </c>
      <c r="Q999" s="2" t="b">
        <f t="shared" si="47"/>
        <v>0</v>
      </c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</row>
    <row r="1000" spans="1:35" ht="14.25" customHeight="1" x14ac:dyDescent="0.2">
      <c r="A1000" s="1">
        <v>28161</v>
      </c>
      <c r="B1000" s="1" t="s">
        <v>632</v>
      </c>
      <c r="C1000" s="1" t="s">
        <v>21</v>
      </c>
      <c r="D1000" s="2">
        <v>41805</v>
      </c>
      <c r="E1000" s="1" t="s">
        <v>22</v>
      </c>
      <c r="F1000" s="1" t="s">
        <v>940</v>
      </c>
      <c r="G1000" s="1">
        <v>41</v>
      </c>
      <c r="H1000" s="1">
        <v>27.48</v>
      </c>
      <c r="I1000" s="1">
        <f t="shared" si="45"/>
        <v>1126.68</v>
      </c>
      <c r="J1000" t="str">
        <f t="shared" si="46"/>
        <v>High</v>
      </c>
      <c r="K1000" s="1"/>
      <c r="L1000" s="1">
        <v>0.04</v>
      </c>
      <c r="M1000" s="1">
        <v>4</v>
      </c>
      <c r="N1000" s="1" t="s">
        <v>33</v>
      </c>
      <c r="O1000" s="1" t="s">
        <v>34</v>
      </c>
      <c r="P1000" s="2">
        <v>41807</v>
      </c>
      <c r="Q1000" s="2" t="b">
        <f t="shared" si="47"/>
        <v>0</v>
      </c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</row>
    <row r="1001" spans="1:35" ht="14.25" customHeight="1" x14ac:dyDescent="0.2">
      <c r="A1001" s="1">
        <v>40006</v>
      </c>
      <c r="B1001" s="1" t="s">
        <v>513</v>
      </c>
      <c r="C1001" s="1" t="s">
        <v>30</v>
      </c>
      <c r="D1001" s="2">
        <v>41805</v>
      </c>
      <c r="E1001" s="1" t="s">
        <v>22</v>
      </c>
      <c r="F1001" s="1" t="s">
        <v>1117</v>
      </c>
      <c r="G1001" s="1">
        <v>35</v>
      </c>
      <c r="H1001" s="1">
        <v>4.24</v>
      </c>
      <c r="I1001" s="1">
        <f t="shared" si="45"/>
        <v>148.4</v>
      </c>
      <c r="J1001" t="str">
        <f t="shared" si="46"/>
        <v>Low</v>
      </c>
      <c r="K1001" s="1"/>
      <c r="L1001" s="1">
        <v>0.03</v>
      </c>
      <c r="M1001" s="1">
        <v>5.41</v>
      </c>
      <c r="N1001" s="1" t="s">
        <v>33</v>
      </c>
      <c r="O1001" s="1" t="s">
        <v>34</v>
      </c>
      <c r="P1001" s="2">
        <v>41807</v>
      </c>
      <c r="Q1001" s="2" t="b">
        <f t="shared" si="47"/>
        <v>0</v>
      </c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</row>
    <row r="1002" spans="1:35" ht="14.25" customHeight="1" x14ac:dyDescent="0.2">
      <c r="A1002" s="1">
        <v>40006</v>
      </c>
      <c r="B1002" s="1" t="s">
        <v>513</v>
      </c>
      <c r="C1002" s="1" t="s">
        <v>21</v>
      </c>
      <c r="D1002" s="2">
        <v>41805</v>
      </c>
      <c r="E1002" s="1" t="s">
        <v>22</v>
      </c>
      <c r="F1002" s="1" t="s">
        <v>335</v>
      </c>
      <c r="G1002" s="1">
        <v>48</v>
      </c>
      <c r="H1002" s="1">
        <v>2.94</v>
      </c>
      <c r="I1002" s="1">
        <f t="shared" si="45"/>
        <v>141.12</v>
      </c>
      <c r="J1002" t="str">
        <f t="shared" si="46"/>
        <v>Low</v>
      </c>
      <c r="K1002" s="1"/>
      <c r="L1002" s="1">
        <v>0.04</v>
      </c>
      <c r="M1002" s="1">
        <v>0.7</v>
      </c>
      <c r="N1002" s="1" t="s">
        <v>33</v>
      </c>
      <c r="O1002" s="1" t="s">
        <v>55</v>
      </c>
      <c r="P1002" s="2">
        <v>41806</v>
      </c>
      <c r="Q1002" s="2" t="b">
        <f t="shared" si="47"/>
        <v>0</v>
      </c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</row>
    <row r="1003" spans="1:35" ht="14.25" customHeight="1" x14ac:dyDescent="0.2">
      <c r="A1003" s="1">
        <v>24199</v>
      </c>
      <c r="B1003" s="1" t="s">
        <v>1118</v>
      </c>
      <c r="C1003" s="1" t="s">
        <v>21</v>
      </c>
      <c r="D1003" s="2">
        <v>41806</v>
      </c>
      <c r="E1003" s="1" t="s">
        <v>38</v>
      </c>
      <c r="F1003" s="1" t="s">
        <v>789</v>
      </c>
      <c r="G1003" s="1">
        <v>16</v>
      </c>
      <c r="H1003" s="1">
        <v>40.479999999999997</v>
      </c>
      <c r="I1003" s="1">
        <f t="shared" si="45"/>
        <v>647.67999999999995</v>
      </c>
      <c r="J1003" t="str">
        <f t="shared" si="46"/>
        <v>Low</v>
      </c>
      <c r="K1003" s="1"/>
      <c r="L1003" s="1">
        <v>0</v>
      </c>
      <c r="M1003" s="1">
        <v>19.989999999999998</v>
      </c>
      <c r="N1003" s="1" t="s">
        <v>33</v>
      </c>
      <c r="O1003" s="1" t="s">
        <v>34</v>
      </c>
      <c r="P1003" s="2">
        <v>41807</v>
      </c>
      <c r="Q1003" s="2" t="b">
        <f t="shared" si="47"/>
        <v>0</v>
      </c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</row>
    <row r="1004" spans="1:35" ht="14.25" customHeight="1" x14ac:dyDescent="0.2">
      <c r="A1004" s="1">
        <v>8545</v>
      </c>
      <c r="B1004" s="1" t="s">
        <v>1119</v>
      </c>
      <c r="C1004" s="1" t="s">
        <v>30</v>
      </c>
      <c r="D1004" s="2">
        <v>41807</v>
      </c>
      <c r="E1004" s="1" t="s">
        <v>43</v>
      </c>
      <c r="F1004" s="1" t="s">
        <v>1120</v>
      </c>
      <c r="G1004" s="1">
        <v>25</v>
      </c>
      <c r="H1004" s="1">
        <v>4.13</v>
      </c>
      <c r="I1004" s="1">
        <f t="shared" si="45"/>
        <v>103.25</v>
      </c>
      <c r="J1004" t="str">
        <f t="shared" si="46"/>
        <v>Low</v>
      </c>
      <c r="K1004" s="1"/>
      <c r="L1004" s="1">
        <v>0</v>
      </c>
      <c r="M1004" s="1">
        <v>5.34</v>
      </c>
      <c r="N1004" s="1" t="s">
        <v>33</v>
      </c>
      <c r="O1004" s="1" t="s">
        <v>34</v>
      </c>
      <c r="P1004" s="2">
        <v>41811</v>
      </c>
      <c r="Q1004" s="2" t="b">
        <f t="shared" si="47"/>
        <v>0</v>
      </c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</row>
    <row r="1005" spans="1:35" ht="14.25" customHeight="1" x14ac:dyDescent="0.2">
      <c r="A1005" s="1">
        <v>8545</v>
      </c>
      <c r="B1005" s="1" t="s">
        <v>1119</v>
      </c>
      <c r="C1005" s="1" t="s">
        <v>30</v>
      </c>
      <c r="D1005" s="2">
        <v>41807</v>
      </c>
      <c r="E1005" s="1" t="s">
        <v>43</v>
      </c>
      <c r="F1005" s="1" t="s">
        <v>547</v>
      </c>
      <c r="G1005" s="1">
        <v>24</v>
      </c>
      <c r="H1005" s="1">
        <v>130.97999999999999</v>
      </c>
      <c r="I1005" s="1">
        <f t="shared" si="45"/>
        <v>3143.5199999999995</v>
      </c>
      <c r="J1005" t="str">
        <f t="shared" si="46"/>
        <v>High</v>
      </c>
      <c r="K1005" s="1"/>
      <c r="L1005" s="1">
        <v>0.1</v>
      </c>
      <c r="M1005" s="1">
        <v>54.74</v>
      </c>
      <c r="N1005" s="1" t="s">
        <v>45</v>
      </c>
      <c r="O1005" s="1" t="s">
        <v>63</v>
      </c>
      <c r="P1005" s="2">
        <v>41811</v>
      </c>
      <c r="Q1005" s="2" t="b">
        <f t="shared" si="47"/>
        <v>0</v>
      </c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  <c r="AG1005" s="2"/>
      <c r="AH1005" s="2"/>
      <c r="AI1005" s="2"/>
    </row>
    <row r="1006" spans="1:35" ht="14.25" customHeight="1" x14ac:dyDescent="0.2">
      <c r="A1006" s="1">
        <v>48931</v>
      </c>
      <c r="B1006" s="1" t="s">
        <v>1121</v>
      </c>
      <c r="C1006" s="1" t="s">
        <v>21</v>
      </c>
      <c r="D1006" s="2">
        <v>41807</v>
      </c>
      <c r="E1006" s="1" t="s">
        <v>43</v>
      </c>
      <c r="F1006" s="1" t="s">
        <v>1122</v>
      </c>
      <c r="G1006" s="1">
        <v>33</v>
      </c>
      <c r="H1006" s="1">
        <v>20.95</v>
      </c>
      <c r="I1006" s="1">
        <f t="shared" si="45"/>
        <v>691.35</v>
      </c>
      <c r="J1006" t="str">
        <f t="shared" si="46"/>
        <v>Low</v>
      </c>
      <c r="K1006" s="1"/>
      <c r="L1006" s="1">
        <v>0</v>
      </c>
      <c r="M1006" s="1">
        <v>4</v>
      </c>
      <c r="N1006" s="1" t="s">
        <v>33</v>
      </c>
      <c r="O1006" s="1" t="s">
        <v>34</v>
      </c>
      <c r="P1006" s="2">
        <v>41814</v>
      </c>
      <c r="Q1006" s="2" t="b">
        <f t="shared" si="47"/>
        <v>0</v>
      </c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  <c r="AG1006" s="2"/>
      <c r="AH1006" s="2"/>
      <c r="AI1006" s="2"/>
    </row>
    <row r="1007" spans="1:35" ht="14.25" customHeight="1" x14ac:dyDescent="0.2">
      <c r="A1007" s="1">
        <v>48931</v>
      </c>
      <c r="B1007" s="1" t="s">
        <v>1121</v>
      </c>
      <c r="C1007" s="1" t="s">
        <v>51</v>
      </c>
      <c r="D1007" s="2">
        <v>41807</v>
      </c>
      <c r="E1007" s="1" t="s">
        <v>43</v>
      </c>
      <c r="F1007" s="1" t="s">
        <v>1106</v>
      </c>
      <c r="G1007" s="1">
        <v>8</v>
      </c>
      <c r="H1007" s="1">
        <v>30.98</v>
      </c>
      <c r="I1007" s="1">
        <f t="shared" si="45"/>
        <v>247.84</v>
      </c>
      <c r="J1007" t="str">
        <f t="shared" si="46"/>
        <v>Low</v>
      </c>
      <c r="K1007" s="1"/>
      <c r="L1007" s="1">
        <v>0.01</v>
      </c>
      <c r="M1007" s="1">
        <v>6.5</v>
      </c>
      <c r="N1007" s="1" t="s">
        <v>33</v>
      </c>
      <c r="O1007" s="1" t="s">
        <v>34</v>
      </c>
      <c r="P1007" s="2">
        <v>41809</v>
      </c>
      <c r="Q1007" s="2" t="b">
        <f t="shared" si="47"/>
        <v>0</v>
      </c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</row>
    <row r="1008" spans="1:35" ht="14.25" customHeight="1" x14ac:dyDescent="0.2">
      <c r="A1008" s="1">
        <v>48931</v>
      </c>
      <c r="B1008" s="1" t="s">
        <v>1121</v>
      </c>
      <c r="C1008" s="1" t="s">
        <v>51</v>
      </c>
      <c r="D1008" s="2">
        <v>41807</v>
      </c>
      <c r="E1008" s="1" t="s">
        <v>43</v>
      </c>
      <c r="F1008" s="1" t="s">
        <v>1123</v>
      </c>
      <c r="G1008" s="1">
        <v>42</v>
      </c>
      <c r="H1008" s="1">
        <v>51.75</v>
      </c>
      <c r="I1008" s="1">
        <f t="shared" si="45"/>
        <v>2173.5</v>
      </c>
      <c r="J1008" t="str">
        <f t="shared" si="46"/>
        <v>High</v>
      </c>
      <c r="K1008" s="1"/>
      <c r="L1008" s="1">
        <v>0.03</v>
      </c>
      <c r="M1008" s="1">
        <v>19.989999999999998</v>
      </c>
      <c r="N1008" s="1" t="s">
        <v>33</v>
      </c>
      <c r="O1008" s="1" t="s">
        <v>34</v>
      </c>
      <c r="P1008" s="2">
        <v>41812</v>
      </c>
      <c r="Q1008" s="2" t="b">
        <f t="shared" si="47"/>
        <v>0</v>
      </c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  <c r="AI1008" s="2"/>
    </row>
    <row r="1009" spans="1:35" ht="14.25" customHeight="1" x14ac:dyDescent="0.2">
      <c r="A1009" s="1">
        <v>32038</v>
      </c>
      <c r="B1009" s="1" t="s">
        <v>804</v>
      </c>
      <c r="C1009" s="1" t="s">
        <v>21</v>
      </c>
      <c r="D1009" s="2">
        <v>41807</v>
      </c>
      <c r="E1009" s="1" t="s">
        <v>43</v>
      </c>
      <c r="F1009" s="1" t="s">
        <v>316</v>
      </c>
      <c r="G1009" s="1">
        <v>26</v>
      </c>
      <c r="H1009" s="1">
        <v>11.7</v>
      </c>
      <c r="I1009" s="1">
        <f t="shared" si="45"/>
        <v>304.2</v>
      </c>
      <c r="J1009" t="str">
        <f t="shared" si="46"/>
        <v>Low</v>
      </c>
      <c r="K1009" s="1"/>
      <c r="L1009" s="1">
        <v>0</v>
      </c>
      <c r="M1009" s="1">
        <v>6.96</v>
      </c>
      <c r="N1009" s="1" t="s">
        <v>25</v>
      </c>
      <c r="O1009" s="1" t="s">
        <v>72</v>
      </c>
      <c r="P1009" s="2">
        <v>41809</v>
      </c>
      <c r="Q1009" s="2" t="b">
        <f t="shared" si="47"/>
        <v>0</v>
      </c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</row>
    <row r="1010" spans="1:35" ht="14.25" customHeight="1" x14ac:dyDescent="0.2">
      <c r="A1010" s="1">
        <v>57155</v>
      </c>
      <c r="B1010" s="1" t="s">
        <v>270</v>
      </c>
      <c r="C1010" s="1" t="s">
        <v>30</v>
      </c>
      <c r="D1010" s="2">
        <v>41807</v>
      </c>
      <c r="E1010" s="1" t="s">
        <v>38</v>
      </c>
      <c r="F1010" s="1" t="s">
        <v>445</v>
      </c>
      <c r="G1010" s="1">
        <v>23</v>
      </c>
      <c r="H1010" s="1">
        <v>6.48</v>
      </c>
      <c r="I1010" s="1">
        <f t="shared" si="45"/>
        <v>149.04000000000002</v>
      </c>
      <c r="J1010" t="str">
        <f t="shared" si="46"/>
        <v>Low</v>
      </c>
      <c r="K1010" s="1"/>
      <c r="L1010" s="1">
        <v>0.05</v>
      </c>
      <c r="M1010" s="1">
        <v>9.68</v>
      </c>
      <c r="N1010" s="1" t="s">
        <v>33</v>
      </c>
      <c r="O1010" s="1" t="s">
        <v>34</v>
      </c>
      <c r="P1010" s="2">
        <v>41808</v>
      </c>
      <c r="Q1010" s="2" t="b">
        <f t="shared" si="47"/>
        <v>0</v>
      </c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  <c r="AG1010" s="2"/>
      <c r="AH1010" s="2"/>
      <c r="AI1010" s="2"/>
    </row>
    <row r="1011" spans="1:35" ht="14.25" customHeight="1" x14ac:dyDescent="0.2">
      <c r="A1011" s="1">
        <v>57155</v>
      </c>
      <c r="B1011" s="1" t="s">
        <v>270</v>
      </c>
      <c r="C1011" s="1" t="s">
        <v>51</v>
      </c>
      <c r="D1011" s="2">
        <v>41807</v>
      </c>
      <c r="E1011" s="1" t="s">
        <v>38</v>
      </c>
      <c r="F1011" s="1" t="s">
        <v>1124</v>
      </c>
      <c r="G1011" s="1">
        <v>16</v>
      </c>
      <c r="H1011" s="1">
        <v>33.89</v>
      </c>
      <c r="I1011" s="1">
        <f t="shared" si="45"/>
        <v>542.24</v>
      </c>
      <c r="J1011" t="str">
        <f t="shared" si="46"/>
        <v>Low</v>
      </c>
      <c r="K1011" s="1"/>
      <c r="L1011" s="1">
        <v>0.04</v>
      </c>
      <c r="M1011" s="1">
        <v>5.0999999999999996</v>
      </c>
      <c r="N1011" s="1" t="s">
        <v>25</v>
      </c>
      <c r="O1011" s="1" t="s">
        <v>34</v>
      </c>
      <c r="P1011" s="2">
        <v>41808</v>
      </c>
      <c r="Q1011" s="2" t="b">
        <f t="shared" si="47"/>
        <v>0</v>
      </c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  <c r="AG1011" s="2"/>
      <c r="AH1011" s="2"/>
      <c r="AI1011" s="2"/>
    </row>
    <row r="1012" spans="1:35" ht="14.25" customHeight="1" x14ac:dyDescent="0.2">
      <c r="A1012" s="1">
        <v>224</v>
      </c>
      <c r="B1012" s="1" t="s">
        <v>965</v>
      </c>
      <c r="C1012" s="1" t="s">
        <v>51</v>
      </c>
      <c r="D1012" s="2">
        <v>41807</v>
      </c>
      <c r="E1012" s="1" t="s">
        <v>22</v>
      </c>
      <c r="F1012" s="1" t="s">
        <v>1125</v>
      </c>
      <c r="G1012" s="1">
        <v>25</v>
      </c>
      <c r="H1012" s="1">
        <v>7.38</v>
      </c>
      <c r="I1012" s="1">
        <f t="shared" si="45"/>
        <v>184.5</v>
      </c>
      <c r="J1012" t="str">
        <f t="shared" si="46"/>
        <v>Low</v>
      </c>
      <c r="K1012" s="1"/>
      <c r="L1012" s="1">
        <v>0.09</v>
      </c>
      <c r="M1012" s="1">
        <v>5.21</v>
      </c>
      <c r="N1012" s="1" t="s">
        <v>33</v>
      </c>
      <c r="O1012" s="1" t="s">
        <v>34</v>
      </c>
      <c r="P1012" s="2">
        <v>41808</v>
      </c>
      <c r="Q1012" s="2" t="b">
        <f t="shared" si="47"/>
        <v>0</v>
      </c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  <c r="AG1012" s="2"/>
      <c r="AH1012" s="2"/>
      <c r="AI1012" s="2"/>
    </row>
    <row r="1013" spans="1:35" ht="14.25" customHeight="1" x14ac:dyDescent="0.2">
      <c r="A1013" s="1">
        <v>224</v>
      </c>
      <c r="B1013" s="1" t="s">
        <v>965</v>
      </c>
      <c r="C1013" s="1" t="s">
        <v>30</v>
      </c>
      <c r="D1013" s="2">
        <v>41807</v>
      </c>
      <c r="E1013" s="1" t="s">
        <v>22</v>
      </c>
      <c r="F1013" s="1" t="s">
        <v>1126</v>
      </c>
      <c r="G1013" s="1">
        <v>44</v>
      </c>
      <c r="H1013" s="1">
        <v>5.98</v>
      </c>
      <c r="I1013" s="1">
        <f t="shared" si="45"/>
        <v>263.12</v>
      </c>
      <c r="J1013" t="str">
        <f t="shared" si="46"/>
        <v>Low</v>
      </c>
      <c r="K1013" s="1"/>
      <c r="L1013" s="1">
        <v>0.04</v>
      </c>
      <c r="M1013" s="1">
        <v>5.15</v>
      </c>
      <c r="N1013" s="1" t="s">
        <v>33</v>
      </c>
      <c r="O1013" s="1" t="s">
        <v>34</v>
      </c>
      <c r="P1013" s="2">
        <v>41808</v>
      </c>
      <c r="Q1013" s="2" t="b">
        <f t="shared" si="47"/>
        <v>0</v>
      </c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  <c r="AG1013" s="2"/>
      <c r="AH1013" s="2"/>
      <c r="AI1013" s="2"/>
    </row>
    <row r="1014" spans="1:35" ht="14.25" customHeight="1" x14ac:dyDescent="0.2">
      <c r="A1014" s="1">
        <v>224</v>
      </c>
      <c r="B1014" s="1" t="s">
        <v>965</v>
      </c>
      <c r="C1014" s="1" t="s">
        <v>51</v>
      </c>
      <c r="D1014" s="2">
        <v>41807</v>
      </c>
      <c r="E1014" s="1" t="s">
        <v>22</v>
      </c>
      <c r="F1014" s="1" t="s">
        <v>880</v>
      </c>
      <c r="G1014" s="1">
        <v>33</v>
      </c>
      <c r="H1014" s="1">
        <v>15.42</v>
      </c>
      <c r="I1014" s="1">
        <f t="shared" si="45"/>
        <v>508.86</v>
      </c>
      <c r="J1014" t="str">
        <f t="shared" si="46"/>
        <v>Low</v>
      </c>
      <c r="K1014" s="1"/>
      <c r="L1014" s="1">
        <v>0.04</v>
      </c>
      <c r="M1014" s="1">
        <v>10.68</v>
      </c>
      <c r="N1014" s="1" t="s">
        <v>33</v>
      </c>
      <c r="O1014" s="1" t="s">
        <v>34</v>
      </c>
      <c r="P1014" s="2">
        <v>41808</v>
      </c>
      <c r="Q1014" s="2" t="b">
        <f t="shared" si="47"/>
        <v>0</v>
      </c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  <c r="AG1014" s="2"/>
      <c r="AH1014" s="2"/>
      <c r="AI1014" s="2"/>
    </row>
    <row r="1015" spans="1:35" ht="14.25" customHeight="1" x14ac:dyDescent="0.2">
      <c r="A1015" s="1">
        <v>5984</v>
      </c>
      <c r="B1015" s="1" t="s">
        <v>653</v>
      </c>
      <c r="C1015" s="1" t="s">
        <v>21</v>
      </c>
      <c r="D1015" s="2">
        <v>41807</v>
      </c>
      <c r="E1015" s="1" t="s">
        <v>43</v>
      </c>
      <c r="F1015" s="1" t="s">
        <v>1127</v>
      </c>
      <c r="G1015" s="1">
        <v>37</v>
      </c>
      <c r="H1015" s="1">
        <v>10.89</v>
      </c>
      <c r="I1015" s="1">
        <f t="shared" si="45"/>
        <v>402.93</v>
      </c>
      <c r="J1015" t="str">
        <f t="shared" si="46"/>
        <v>Low</v>
      </c>
      <c r="K1015" s="1"/>
      <c r="L1015" s="1">
        <v>0.06</v>
      </c>
      <c r="M1015" s="1">
        <v>4.5</v>
      </c>
      <c r="N1015" s="1" t="s">
        <v>33</v>
      </c>
      <c r="O1015" s="1" t="s">
        <v>34</v>
      </c>
      <c r="P1015" s="2">
        <v>41812</v>
      </c>
      <c r="Q1015" s="2" t="b">
        <f t="shared" si="47"/>
        <v>0</v>
      </c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  <c r="AG1015" s="2"/>
      <c r="AH1015" s="2"/>
      <c r="AI1015" s="2"/>
    </row>
    <row r="1016" spans="1:35" ht="14.25" customHeight="1" x14ac:dyDescent="0.2">
      <c r="A1016" s="1">
        <v>5984</v>
      </c>
      <c r="B1016" s="1" t="s">
        <v>653</v>
      </c>
      <c r="C1016" s="1" t="s">
        <v>21</v>
      </c>
      <c r="D1016" s="2">
        <v>41807</v>
      </c>
      <c r="E1016" s="1" t="s">
        <v>43</v>
      </c>
      <c r="F1016" s="1" t="s">
        <v>704</v>
      </c>
      <c r="G1016" s="1">
        <v>42</v>
      </c>
      <c r="H1016" s="1">
        <v>10.64</v>
      </c>
      <c r="I1016" s="1">
        <f t="shared" si="45"/>
        <v>446.88</v>
      </c>
      <c r="J1016" t="str">
        <f t="shared" si="46"/>
        <v>Low</v>
      </c>
      <c r="K1016" s="1"/>
      <c r="L1016" s="1">
        <v>0.03</v>
      </c>
      <c r="M1016" s="1">
        <v>5.16</v>
      </c>
      <c r="N1016" s="1" t="s">
        <v>33</v>
      </c>
      <c r="O1016" s="1" t="s">
        <v>34</v>
      </c>
      <c r="P1016" s="2">
        <v>41812</v>
      </c>
      <c r="Q1016" s="2" t="b">
        <f t="shared" si="47"/>
        <v>0</v>
      </c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  <c r="AG1016" s="2"/>
      <c r="AH1016" s="2"/>
      <c r="AI1016" s="2"/>
    </row>
    <row r="1017" spans="1:35" ht="14.25" customHeight="1" x14ac:dyDescent="0.2">
      <c r="A1017" s="1">
        <v>5984</v>
      </c>
      <c r="B1017" s="1" t="s">
        <v>653</v>
      </c>
      <c r="C1017" s="1" t="s">
        <v>21</v>
      </c>
      <c r="D1017" s="2">
        <v>41807</v>
      </c>
      <c r="E1017" s="1" t="s">
        <v>43</v>
      </c>
      <c r="F1017" s="1" t="s">
        <v>1128</v>
      </c>
      <c r="G1017" s="1">
        <v>11</v>
      </c>
      <c r="H1017" s="1">
        <v>7.96</v>
      </c>
      <c r="I1017" s="1">
        <f t="shared" si="45"/>
        <v>87.56</v>
      </c>
      <c r="J1017" t="str">
        <f t="shared" si="46"/>
        <v>Low</v>
      </c>
      <c r="K1017" s="1"/>
      <c r="L1017" s="1">
        <v>0.03</v>
      </c>
      <c r="M1017" s="1">
        <v>4.95</v>
      </c>
      <c r="N1017" s="1" t="s">
        <v>33</v>
      </c>
      <c r="O1017" s="1" t="s">
        <v>34</v>
      </c>
      <c r="P1017" s="2">
        <v>41809</v>
      </c>
      <c r="Q1017" s="2" t="b">
        <f t="shared" si="47"/>
        <v>0</v>
      </c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  <c r="AG1017" s="2"/>
      <c r="AH1017" s="2"/>
      <c r="AI1017" s="2"/>
    </row>
    <row r="1018" spans="1:35" ht="14.25" customHeight="1" x14ac:dyDescent="0.2">
      <c r="A1018" s="1">
        <v>14276</v>
      </c>
      <c r="B1018" s="1" t="s">
        <v>1129</v>
      </c>
      <c r="C1018" s="1" t="s">
        <v>30</v>
      </c>
      <c r="D1018" s="2">
        <v>41808</v>
      </c>
      <c r="E1018" s="1" t="s">
        <v>101</v>
      </c>
      <c r="F1018" s="1" t="s">
        <v>1130</v>
      </c>
      <c r="G1018" s="1">
        <v>11</v>
      </c>
      <c r="H1018" s="1">
        <v>10.48</v>
      </c>
      <c r="I1018" s="1">
        <f t="shared" si="45"/>
        <v>115.28</v>
      </c>
      <c r="J1018" t="str">
        <f t="shared" si="46"/>
        <v>Low</v>
      </c>
      <c r="K1018" s="1"/>
      <c r="L1018" s="1">
        <v>0.1</v>
      </c>
      <c r="M1018" s="1">
        <v>2.89</v>
      </c>
      <c r="N1018" s="1" t="s">
        <v>33</v>
      </c>
      <c r="O1018" s="1" t="s">
        <v>84</v>
      </c>
      <c r="P1018" s="2">
        <v>41809</v>
      </c>
      <c r="Q1018" s="2" t="b">
        <f t="shared" si="47"/>
        <v>0</v>
      </c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  <c r="AG1018" s="2"/>
      <c r="AH1018" s="2"/>
      <c r="AI1018" s="2"/>
    </row>
    <row r="1019" spans="1:35" ht="14.25" customHeight="1" x14ac:dyDescent="0.2">
      <c r="A1019" s="1">
        <v>46919</v>
      </c>
      <c r="B1019" s="1" t="s">
        <v>1131</v>
      </c>
      <c r="C1019" s="1" t="s">
        <v>21</v>
      </c>
      <c r="D1019" s="2">
        <v>41808</v>
      </c>
      <c r="E1019" s="1" t="s">
        <v>43</v>
      </c>
      <c r="F1019" s="1" t="s">
        <v>682</v>
      </c>
      <c r="G1019" s="1">
        <v>31</v>
      </c>
      <c r="H1019" s="1">
        <v>152.47999999999999</v>
      </c>
      <c r="I1019" s="1">
        <f t="shared" si="45"/>
        <v>4726.88</v>
      </c>
      <c r="J1019" t="str">
        <f t="shared" si="46"/>
        <v>High</v>
      </c>
      <c r="K1019" s="1"/>
      <c r="L1019" s="1">
        <v>7.0000000000000007E-2</v>
      </c>
      <c r="M1019" s="1">
        <v>6.5</v>
      </c>
      <c r="N1019" s="1" t="s">
        <v>33</v>
      </c>
      <c r="O1019" s="1" t="s">
        <v>34</v>
      </c>
      <c r="P1019" s="2">
        <v>41810</v>
      </c>
      <c r="Q1019" s="2" t="b">
        <f t="shared" si="47"/>
        <v>0</v>
      </c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  <c r="AG1019" s="2"/>
      <c r="AH1019" s="2"/>
      <c r="AI1019" s="2"/>
    </row>
    <row r="1020" spans="1:35" ht="14.25" customHeight="1" x14ac:dyDescent="0.2">
      <c r="A1020" s="1">
        <v>1218</v>
      </c>
      <c r="B1020" s="1" t="s">
        <v>609</v>
      </c>
      <c r="C1020" s="1" t="s">
        <v>30</v>
      </c>
      <c r="D1020" s="2">
        <v>41809</v>
      </c>
      <c r="E1020" s="1" t="s">
        <v>22</v>
      </c>
      <c r="F1020" s="1" t="s">
        <v>181</v>
      </c>
      <c r="G1020" s="1">
        <v>3</v>
      </c>
      <c r="H1020" s="1">
        <v>14.42</v>
      </c>
      <c r="I1020" s="1">
        <f t="shared" si="45"/>
        <v>43.26</v>
      </c>
      <c r="J1020" t="str">
        <f t="shared" si="46"/>
        <v>Low</v>
      </c>
      <c r="K1020" s="1"/>
      <c r="L1020" s="1">
        <v>0.1</v>
      </c>
      <c r="M1020" s="1">
        <v>6.75</v>
      </c>
      <c r="N1020" s="1" t="s">
        <v>33</v>
      </c>
      <c r="O1020" s="1" t="s">
        <v>72</v>
      </c>
      <c r="P1020" s="2">
        <v>41812</v>
      </c>
      <c r="Q1020" s="2" t="b">
        <f t="shared" si="47"/>
        <v>0</v>
      </c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  <c r="AG1020" s="2"/>
      <c r="AH1020" s="2"/>
      <c r="AI1020" s="2"/>
    </row>
    <row r="1021" spans="1:35" ht="14.25" customHeight="1" x14ac:dyDescent="0.2">
      <c r="A1021" s="1">
        <v>9954</v>
      </c>
      <c r="B1021" s="1" t="s">
        <v>434</v>
      </c>
      <c r="C1021" s="1" t="s">
        <v>30</v>
      </c>
      <c r="D1021" s="2">
        <v>41809</v>
      </c>
      <c r="E1021" s="1" t="s">
        <v>22</v>
      </c>
      <c r="F1021" s="1" t="s">
        <v>572</v>
      </c>
      <c r="G1021" s="1">
        <v>36</v>
      </c>
      <c r="H1021" s="1">
        <v>280.98</v>
      </c>
      <c r="I1021" s="1">
        <f t="shared" si="45"/>
        <v>10115.280000000001</v>
      </c>
      <c r="J1021" t="str">
        <f t="shared" si="46"/>
        <v>High</v>
      </c>
      <c r="K1021" s="1"/>
      <c r="L1021" s="1">
        <v>7.0000000000000007E-2</v>
      </c>
      <c r="M1021" s="1">
        <v>57</v>
      </c>
      <c r="N1021" s="1" t="s">
        <v>45</v>
      </c>
      <c r="O1021" s="1" t="s">
        <v>46</v>
      </c>
      <c r="P1021" s="2">
        <v>41810</v>
      </c>
      <c r="Q1021" s="2" t="b">
        <f t="shared" si="47"/>
        <v>0</v>
      </c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  <c r="AH1021" s="2"/>
      <c r="AI1021" s="2"/>
    </row>
    <row r="1022" spans="1:35" ht="14.25" customHeight="1" x14ac:dyDescent="0.2">
      <c r="A1022" s="1">
        <v>9954</v>
      </c>
      <c r="B1022" s="1" t="s">
        <v>434</v>
      </c>
      <c r="C1022" s="1" t="s">
        <v>21</v>
      </c>
      <c r="D1022" s="2">
        <v>41809</v>
      </c>
      <c r="E1022" s="1" t="s">
        <v>22</v>
      </c>
      <c r="F1022" s="1" t="s">
        <v>914</v>
      </c>
      <c r="G1022" s="1">
        <v>39</v>
      </c>
      <c r="H1022" s="1">
        <v>4.9800000000000004</v>
      </c>
      <c r="I1022" s="1">
        <f t="shared" si="45"/>
        <v>194.22000000000003</v>
      </c>
      <c r="J1022" t="str">
        <f t="shared" si="46"/>
        <v>Low</v>
      </c>
      <c r="K1022" s="1"/>
      <c r="L1022" s="1">
        <v>0</v>
      </c>
      <c r="M1022" s="1">
        <v>7.44</v>
      </c>
      <c r="N1022" s="1" t="s">
        <v>33</v>
      </c>
      <c r="O1022" s="1" t="s">
        <v>34</v>
      </c>
      <c r="P1022" s="2">
        <v>41811</v>
      </c>
      <c r="Q1022" s="2" t="b">
        <f t="shared" si="47"/>
        <v>0</v>
      </c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  <c r="AG1022" s="2"/>
      <c r="AH1022" s="2"/>
      <c r="AI1022" s="2"/>
    </row>
    <row r="1023" spans="1:35" ht="14.25" customHeight="1" x14ac:dyDescent="0.2">
      <c r="A1023" s="1">
        <v>9954</v>
      </c>
      <c r="B1023" s="1" t="s">
        <v>434</v>
      </c>
      <c r="C1023" s="1" t="s">
        <v>30</v>
      </c>
      <c r="D1023" s="2">
        <v>41809</v>
      </c>
      <c r="E1023" s="1" t="s">
        <v>22</v>
      </c>
      <c r="F1023" s="1" t="s">
        <v>1132</v>
      </c>
      <c r="G1023" s="1">
        <v>30</v>
      </c>
      <c r="H1023" s="1">
        <v>3.98</v>
      </c>
      <c r="I1023" s="1">
        <f t="shared" si="45"/>
        <v>119.4</v>
      </c>
      <c r="J1023" t="str">
        <f t="shared" si="46"/>
        <v>Low</v>
      </c>
      <c r="K1023" s="1"/>
      <c r="L1023" s="1">
        <v>0.1</v>
      </c>
      <c r="M1023" s="1">
        <v>0.83</v>
      </c>
      <c r="N1023" s="1" t="s">
        <v>33</v>
      </c>
      <c r="O1023" s="1" t="s">
        <v>55</v>
      </c>
      <c r="P1023" s="2">
        <v>41811</v>
      </c>
      <c r="Q1023" s="2" t="b">
        <f t="shared" si="47"/>
        <v>0</v>
      </c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  <c r="AG1023" s="2"/>
      <c r="AH1023" s="2"/>
      <c r="AI1023" s="2"/>
    </row>
    <row r="1024" spans="1:35" ht="14.25" customHeight="1" x14ac:dyDescent="0.2">
      <c r="A1024" s="1">
        <v>5446</v>
      </c>
      <c r="B1024" s="1" t="s">
        <v>573</v>
      </c>
      <c r="C1024" s="1" t="s">
        <v>21</v>
      </c>
      <c r="D1024" s="2">
        <v>41810</v>
      </c>
      <c r="E1024" s="1" t="s">
        <v>43</v>
      </c>
      <c r="F1024" s="1" t="s">
        <v>1133</v>
      </c>
      <c r="G1024" s="1">
        <v>42</v>
      </c>
      <c r="H1024" s="1">
        <v>10.98</v>
      </c>
      <c r="I1024" s="1">
        <f t="shared" si="45"/>
        <v>461.16</v>
      </c>
      <c r="J1024" t="str">
        <f t="shared" si="46"/>
        <v>Low</v>
      </c>
      <c r="K1024" s="1"/>
      <c r="L1024" s="1">
        <v>7.0000000000000007E-2</v>
      </c>
      <c r="M1024" s="1">
        <v>4.8</v>
      </c>
      <c r="N1024" s="1" t="s">
        <v>33</v>
      </c>
      <c r="O1024" s="1" t="s">
        <v>34</v>
      </c>
      <c r="P1024" s="2">
        <v>41817</v>
      </c>
      <c r="Q1024" s="2" t="b">
        <f t="shared" si="47"/>
        <v>0</v>
      </c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  <c r="AG1024" s="2"/>
      <c r="AH1024" s="2"/>
      <c r="AI1024" s="2"/>
    </row>
    <row r="1025" spans="1:35" ht="14.25" customHeight="1" x14ac:dyDescent="0.2">
      <c r="A1025" s="1">
        <v>23303</v>
      </c>
      <c r="B1025" s="1" t="s">
        <v>1043</v>
      </c>
      <c r="C1025" s="1" t="s">
        <v>51</v>
      </c>
      <c r="D1025" s="2">
        <v>41810</v>
      </c>
      <c r="E1025" s="1" t="s">
        <v>22</v>
      </c>
      <c r="F1025" s="1" t="s">
        <v>902</v>
      </c>
      <c r="G1025" s="1">
        <v>39</v>
      </c>
      <c r="H1025" s="1">
        <v>6.48</v>
      </c>
      <c r="I1025" s="1">
        <f t="shared" si="45"/>
        <v>252.72000000000003</v>
      </c>
      <c r="J1025" t="str">
        <f t="shared" si="46"/>
        <v>Low</v>
      </c>
      <c r="K1025" s="1"/>
      <c r="L1025" s="1">
        <v>0.09</v>
      </c>
      <c r="M1025" s="1">
        <v>6.22</v>
      </c>
      <c r="N1025" s="1" t="s">
        <v>33</v>
      </c>
      <c r="O1025" s="1" t="s">
        <v>34</v>
      </c>
      <c r="P1025" s="2">
        <v>41812</v>
      </c>
      <c r="Q1025" s="2" t="b">
        <f t="shared" si="47"/>
        <v>0</v>
      </c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  <c r="AG1025" s="2"/>
      <c r="AH1025" s="2"/>
      <c r="AI1025" s="2"/>
    </row>
    <row r="1026" spans="1:35" ht="14.25" customHeight="1" x14ac:dyDescent="0.2">
      <c r="A1026" s="1">
        <v>42403</v>
      </c>
      <c r="B1026" s="1" t="s">
        <v>411</v>
      </c>
      <c r="C1026" s="1" t="s">
        <v>51</v>
      </c>
      <c r="D1026" s="2">
        <v>41810</v>
      </c>
      <c r="E1026" s="1" t="s">
        <v>22</v>
      </c>
      <c r="F1026" s="1" t="s">
        <v>1134</v>
      </c>
      <c r="G1026" s="1">
        <v>38</v>
      </c>
      <c r="H1026" s="1">
        <v>3.08</v>
      </c>
      <c r="I1026" s="1">
        <f t="shared" ref="I1026:I1089" si="48">G1026*H1026</f>
        <v>117.04</v>
      </c>
      <c r="J1026" t="str">
        <f t="shared" ref="J1026:J1089" si="49">IF(I1026&lt;1000,"Low","High")</f>
        <v>Low</v>
      </c>
      <c r="K1026" s="1"/>
      <c r="L1026" s="1">
        <v>0.04</v>
      </c>
      <c r="M1026" s="1">
        <v>0.99</v>
      </c>
      <c r="N1026" s="1" t="s">
        <v>33</v>
      </c>
      <c r="O1026" s="1" t="s">
        <v>34</v>
      </c>
      <c r="P1026" s="2">
        <v>41811</v>
      </c>
      <c r="Q1026" s="2" t="b">
        <f t="shared" ref="Q1026:Q1089" si="50">AND(N1026="Express Air",O1026="Large Box")</f>
        <v>0</v>
      </c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  <c r="AG1026" s="2"/>
      <c r="AH1026" s="2"/>
      <c r="AI1026" s="2"/>
    </row>
    <row r="1027" spans="1:35" ht="14.25" customHeight="1" x14ac:dyDescent="0.2">
      <c r="A1027" s="1">
        <v>42403</v>
      </c>
      <c r="B1027" s="1" t="s">
        <v>411</v>
      </c>
      <c r="C1027" s="1" t="s">
        <v>30</v>
      </c>
      <c r="D1027" s="2">
        <v>41810</v>
      </c>
      <c r="E1027" s="1" t="s">
        <v>22</v>
      </c>
      <c r="F1027" s="1" t="s">
        <v>808</v>
      </c>
      <c r="G1027" s="1">
        <v>47</v>
      </c>
      <c r="H1027" s="1">
        <v>2.78</v>
      </c>
      <c r="I1027" s="1">
        <f t="shared" si="48"/>
        <v>130.66</v>
      </c>
      <c r="J1027" t="str">
        <f t="shared" si="49"/>
        <v>Low</v>
      </c>
      <c r="K1027" s="1"/>
      <c r="L1027" s="1">
        <v>0.1</v>
      </c>
      <c r="M1027" s="1">
        <v>1.25</v>
      </c>
      <c r="N1027" s="1" t="s">
        <v>33</v>
      </c>
      <c r="O1027" s="1" t="s">
        <v>55</v>
      </c>
      <c r="P1027" s="2">
        <v>41811</v>
      </c>
      <c r="Q1027" s="2" t="b">
        <f t="shared" si="50"/>
        <v>0</v>
      </c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  <c r="AG1027" s="2"/>
      <c r="AH1027" s="2"/>
      <c r="AI1027" s="2"/>
    </row>
    <row r="1028" spans="1:35" ht="14.25" customHeight="1" x14ac:dyDescent="0.2">
      <c r="A1028" s="1">
        <v>39812</v>
      </c>
      <c r="B1028" s="1" t="s">
        <v>194</v>
      </c>
      <c r="C1028" s="1" t="s">
        <v>30</v>
      </c>
      <c r="D1028" s="2">
        <v>41810</v>
      </c>
      <c r="E1028" s="1" t="s">
        <v>22</v>
      </c>
      <c r="F1028" s="1" t="s">
        <v>834</v>
      </c>
      <c r="G1028" s="1">
        <v>40</v>
      </c>
      <c r="H1028" s="1">
        <v>8.0399999999999991</v>
      </c>
      <c r="I1028" s="1">
        <f t="shared" si="48"/>
        <v>321.59999999999997</v>
      </c>
      <c r="J1028" t="str">
        <f t="shared" si="49"/>
        <v>Low</v>
      </c>
      <c r="K1028" s="1"/>
      <c r="L1028" s="1">
        <v>0.05</v>
      </c>
      <c r="M1028" s="1">
        <v>8.94</v>
      </c>
      <c r="N1028" s="1" t="s">
        <v>33</v>
      </c>
      <c r="O1028" s="1" t="s">
        <v>34</v>
      </c>
      <c r="P1028" s="2">
        <v>41812</v>
      </c>
      <c r="Q1028" s="2" t="b">
        <f t="shared" si="50"/>
        <v>0</v>
      </c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  <c r="AG1028" s="2"/>
      <c r="AH1028" s="2"/>
      <c r="AI1028" s="2"/>
    </row>
    <row r="1029" spans="1:35" ht="14.25" customHeight="1" x14ac:dyDescent="0.2">
      <c r="A1029" s="1">
        <v>26854</v>
      </c>
      <c r="B1029" s="1" t="s">
        <v>1135</v>
      </c>
      <c r="C1029" s="1" t="s">
        <v>30</v>
      </c>
      <c r="D1029" s="2">
        <v>41811</v>
      </c>
      <c r="E1029" s="1" t="s">
        <v>22</v>
      </c>
      <c r="F1029" s="1" t="s">
        <v>1136</v>
      </c>
      <c r="G1029" s="1">
        <v>1</v>
      </c>
      <c r="H1029" s="1">
        <v>25.38</v>
      </c>
      <c r="I1029" s="1">
        <f t="shared" si="48"/>
        <v>25.38</v>
      </c>
      <c r="J1029" t="str">
        <f t="shared" si="49"/>
        <v>Low</v>
      </c>
      <c r="K1029" s="1"/>
      <c r="L1029" s="1">
        <v>0.02</v>
      </c>
      <c r="M1029" s="1">
        <v>8.99</v>
      </c>
      <c r="N1029" s="1" t="s">
        <v>33</v>
      </c>
      <c r="O1029" s="1" t="s">
        <v>84</v>
      </c>
      <c r="P1029" s="2">
        <v>41812</v>
      </c>
      <c r="Q1029" s="2" t="b">
        <f t="shared" si="50"/>
        <v>0</v>
      </c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  <c r="AG1029" s="2"/>
      <c r="AH1029" s="2"/>
      <c r="AI1029" s="2"/>
    </row>
    <row r="1030" spans="1:35" ht="14.25" customHeight="1" x14ac:dyDescent="0.2">
      <c r="A1030" s="1">
        <v>6144</v>
      </c>
      <c r="B1030" s="1" t="s">
        <v>1137</v>
      </c>
      <c r="C1030" s="1" t="s">
        <v>21</v>
      </c>
      <c r="D1030" s="2">
        <v>41811</v>
      </c>
      <c r="E1030" s="1" t="s">
        <v>38</v>
      </c>
      <c r="F1030" s="1" t="s">
        <v>1138</v>
      </c>
      <c r="G1030" s="1">
        <v>24</v>
      </c>
      <c r="H1030" s="1">
        <v>2.88</v>
      </c>
      <c r="I1030" s="1">
        <f t="shared" si="48"/>
        <v>69.12</v>
      </c>
      <c r="J1030" t="str">
        <f t="shared" si="49"/>
        <v>Low</v>
      </c>
      <c r="K1030" s="1"/>
      <c r="L1030" s="1">
        <v>7.0000000000000007E-2</v>
      </c>
      <c r="M1030" s="1">
        <v>0.5</v>
      </c>
      <c r="N1030" s="1" t="s">
        <v>33</v>
      </c>
      <c r="O1030" s="1" t="s">
        <v>34</v>
      </c>
      <c r="P1030" s="2">
        <v>41814</v>
      </c>
      <c r="Q1030" s="2" t="b">
        <f t="shared" si="50"/>
        <v>0</v>
      </c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  <c r="AG1030" s="2"/>
      <c r="AH1030" s="2"/>
      <c r="AI1030" s="2"/>
    </row>
    <row r="1031" spans="1:35" ht="14.25" customHeight="1" x14ac:dyDescent="0.2">
      <c r="A1031" s="1">
        <v>6144</v>
      </c>
      <c r="B1031" s="1" t="s">
        <v>1137</v>
      </c>
      <c r="C1031" s="1" t="s">
        <v>30</v>
      </c>
      <c r="D1031" s="2">
        <v>41811</v>
      </c>
      <c r="E1031" s="1" t="s">
        <v>38</v>
      </c>
      <c r="F1031" s="1" t="s">
        <v>467</v>
      </c>
      <c r="G1031" s="1">
        <v>4</v>
      </c>
      <c r="H1031" s="1">
        <v>348.21</v>
      </c>
      <c r="I1031" s="1">
        <f t="shared" si="48"/>
        <v>1392.84</v>
      </c>
      <c r="J1031" t="str">
        <f t="shared" si="49"/>
        <v>High</v>
      </c>
      <c r="K1031" s="1"/>
      <c r="L1031" s="1">
        <v>0.03</v>
      </c>
      <c r="M1031" s="1">
        <v>40.19</v>
      </c>
      <c r="N1031" s="1" t="s">
        <v>45</v>
      </c>
      <c r="O1031" s="1" t="s">
        <v>63</v>
      </c>
      <c r="P1031" s="2">
        <v>41812</v>
      </c>
      <c r="Q1031" s="2" t="b">
        <f t="shared" si="50"/>
        <v>0</v>
      </c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  <c r="AG1031" s="2"/>
      <c r="AH1031" s="2"/>
      <c r="AI1031" s="2"/>
    </row>
    <row r="1032" spans="1:35" ht="14.25" customHeight="1" x14ac:dyDescent="0.2">
      <c r="A1032" s="1">
        <v>47168</v>
      </c>
      <c r="B1032" s="1" t="s">
        <v>1139</v>
      </c>
      <c r="C1032" s="1" t="s">
        <v>51</v>
      </c>
      <c r="D1032" s="2">
        <v>41811</v>
      </c>
      <c r="E1032" s="1" t="s">
        <v>22</v>
      </c>
      <c r="F1032" s="1" t="s">
        <v>1140</v>
      </c>
      <c r="G1032" s="1">
        <v>24</v>
      </c>
      <c r="H1032" s="1">
        <v>119.99</v>
      </c>
      <c r="I1032" s="1">
        <f t="shared" si="48"/>
        <v>2879.7599999999998</v>
      </c>
      <c r="J1032" t="str">
        <f t="shared" si="49"/>
        <v>High</v>
      </c>
      <c r="K1032" s="1"/>
      <c r="L1032" s="1">
        <v>0.02</v>
      </c>
      <c r="M1032" s="1">
        <v>14</v>
      </c>
      <c r="N1032" s="1" t="s">
        <v>45</v>
      </c>
      <c r="O1032" s="1" t="s">
        <v>46</v>
      </c>
      <c r="P1032" s="2">
        <v>41812</v>
      </c>
      <c r="Q1032" s="2" t="b">
        <f t="shared" si="50"/>
        <v>0</v>
      </c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  <c r="AG1032" s="2"/>
      <c r="AH1032" s="2"/>
      <c r="AI1032" s="2"/>
    </row>
    <row r="1033" spans="1:35" ht="14.25" customHeight="1" x14ac:dyDescent="0.2">
      <c r="A1033" s="1">
        <v>47168</v>
      </c>
      <c r="B1033" s="1" t="s">
        <v>1139</v>
      </c>
      <c r="C1033" s="1" t="s">
        <v>51</v>
      </c>
      <c r="D1033" s="2">
        <v>41811</v>
      </c>
      <c r="E1033" s="1" t="s">
        <v>22</v>
      </c>
      <c r="F1033" s="1" t="s">
        <v>445</v>
      </c>
      <c r="G1033" s="1">
        <v>42</v>
      </c>
      <c r="H1033" s="1">
        <v>6.48</v>
      </c>
      <c r="I1033" s="1">
        <f t="shared" si="48"/>
        <v>272.16000000000003</v>
      </c>
      <c r="J1033" t="str">
        <f t="shared" si="49"/>
        <v>Low</v>
      </c>
      <c r="K1033" s="1"/>
      <c r="L1033" s="1">
        <v>0.09</v>
      </c>
      <c r="M1033" s="1">
        <v>9.68</v>
      </c>
      <c r="N1033" s="1" t="s">
        <v>33</v>
      </c>
      <c r="O1033" s="1" t="s">
        <v>34</v>
      </c>
      <c r="P1033" s="2">
        <v>41812</v>
      </c>
      <c r="Q1033" s="2" t="b">
        <f t="shared" si="50"/>
        <v>0</v>
      </c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  <c r="AG1033" s="2"/>
      <c r="AH1033" s="2"/>
      <c r="AI1033" s="2"/>
    </row>
    <row r="1034" spans="1:35" ht="14.25" customHeight="1" x14ac:dyDescent="0.2">
      <c r="A1034" s="1">
        <v>18080</v>
      </c>
      <c r="B1034" s="1" t="s">
        <v>229</v>
      </c>
      <c r="C1034" s="1" t="s">
        <v>51</v>
      </c>
      <c r="D1034" s="2">
        <v>41812</v>
      </c>
      <c r="E1034" s="1" t="s">
        <v>31</v>
      </c>
      <c r="F1034" s="1" t="s">
        <v>894</v>
      </c>
      <c r="G1034" s="1">
        <v>7</v>
      </c>
      <c r="H1034" s="1">
        <v>180.98</v>
      </c>
      <c r="I1034" s="1">
        <f t="shared" si="48"/>
        <v>1266.8599999999999</v>
      </c>
      <c r="J1034" t="str">
        <f t="shared" si="49"/>
        <v>High</v>
      </c>
      <c r="K1034" s="1"/>
      <c r="L1034" s="1">
        <v>0.1</v>
      </c>
      <c r="M1034" s="1">
        <v>26.2</v>
      </c>
      <c r="N1034" s="1" t="s">
        <v>45</v>
      </c>
      <c r="O1034" s="1" t="s">
        <v>46</v>
      </c>
      <c r="P1034" s="2">
        <v>41813</v>
      </c>
      <c r="Q1034" s="2" t="b">
        <f t="shared" si="50"/>
        <v>0</v>
      </c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  <c r="AG1034" s="2"/>
      <c r="AH1034" s="2"/>
      <c r="AI1034" s="2"/>
    </row>
    <row r="1035" spans="1:35" ht="14.25" customHeight="1" x14ac:dyDescent="0.2">
      <c r="A1035" s="1">
        <v>9088</v>
      </c>
      <c r="B1035" s="1" t="s">
        <v>304</v>
      </c>
      <c r="C1035" s="1" t="s">
        <v>51</v>
      </c>
      <c r="D1035" s="2">
        <v>41812</v>
      </c>
      <c r="E1035" s="1" t="s">
        <v>38</v>
      </c>
      <c r="F1035" s="1" t="s">
        <v>1141</v>
      </c>
      <c r="G1035" s="1">
        <v>50</v>
      </c>
      <c r="H1035" s="1">
        <v>304.99</v>
      </c>
      <c r="I1035" s="1">
        <f t="shared" si="48"/>
        <v>15249.5</v>
      </c>
      <c r="J1035" t="str">
        <f t="shared" si="49"/>
        <v>High</v>
      </c>
      <c r="K1035" s="1"/>
      <c r="L1035" s="1">
        <v>0.03</v>
      </c>
      <c r="M1035" s="1">
        <v>19.989999999999998</v>
      </c>
      <c r="N1035" s="1" t="s">
        <v>33</v>
      </c>
      <c r="O1035" s="1" t="s">
        <v>34</v>
      </c>
      <c r="P1035" s="2">
        <v>41814</v>
      </c>
      <c r="Q1035" s="2" t="b">
        <f t="shared" si="50"/>
        <v>0</v>
      </c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  <c r="AG1035" s="2"/>
      <c r="AH1035" s="2"/>
      <c r="AI1035" s="2"/>
    </row>
    <row r="1036" spans="1:35" ht="14.25" customHeight="1" x14ac:dyDescent="0.2">
      <c r="A1036" s="1">
        <v>9088</v>
      </c>
      <c r="B1036" s="1" t="s">
        <v>304</v>
      </c>
      <c r="C1036" s="1" t="s">
        <v>51</v>
      </c>
      <c r="D1036" s="2">
        <v>41812</v>
      </c>
      <c r="E1036" s="1" t="s">
        <v>38</v>
      </c>
      <c r="F1036" s="1" t="s">
        <v>1142</v>
      </c>
      <c r="G1036" s="1">
        <v>31</v>
      </c>
      <c r="H1036" s="1">
        <v>65.989999999999995</v>
      </c>
      <c r="I1036" s="1">
        <f t="shared" si="48"/>
        <v>2045.6899999999998</v>
      </c>
      <c r="J1036" t="str">
        <f t="shared" si="49"/>
        <v>High</v>
      </c>
      <c r="K1036" s="1"/>
      <c r="L1036" s="1">
        <v>0.09</v>
      </c>
      <c r="M1036" s="1">
        <v>8.99</v>
      </c>
      <c r="N1036" s="1" t="s">
        <v>33</v>
      </c>
      <c r="O1036" s="1" t="s">
        <v>34</v>
      </c>
      <c r="P1036" s="2">
        <v>41814</v>
      </c>
      <c r="Q1036" s="2" t="b">
        <f t="shared" si="50"/>
        <v>0</v>
      </c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  <c r="AG1036" s="2"/>
      <c r="AH1036" s="2"/>
      <c r="AI1036" s="2"/>
    </row>
    <row r="1037" spans="1:35" ht="14.25" customHeight="1" x14ac:dyDescent="0.2">
      <c r="A1037" s="1">
        <v>14182</v>
      </c>
      <c r="B1037" s="1" t="s">
        <v>1143</v>
      </c>
      <c r="C1037" s="1" t="s">
        <v>30</v>
      </c>
      <c r="D1037" s="2">
        <v>41812</v>
      </c>
      <c r="E1037" s="1" t="s">
        <v>43</v>
      </c>
      <c r="F1037" s="1" t="s">
        <v>1144</v>
      </c>
      <c r="G1037" s="1">
        <v>23</v>
      </c>
      <c r="H1037" s="1">
        <v>125.99</v>
      </c>
      <c r="I1037" s="1">
        <f t="shared" si="48"/>
        <v>2897.77</v>
      </c>
      <c r="J1037" t="str">
        <f t="shared" si="49"/>
        <v>High</v>
      </c>
      <c r="K1037" s="1"/>
      <c r="L1037" s="1">
        <v>0.05</v>
      </c>
      <c r="M1037" s="1">
        <v>8.08</v>
      </c>
      <c r="N1037" s="1" t="s">
        <v>33</v>
      </c>
      <c r="O1037" s="1" t="s">
        <v>34</v>
      </c>
      <c r="P1037" s="2">
        <v>41817</v>
      </c>
      <c r="Q1037" s="2" t="b">
        <f t="shared" si="50"/>
        <v>0</v>
      </c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  <c r="AG1037" s="2"/>
      <c r="AH1037" s="2"/>
      <c r="AI1037" s="2"/>
    </row>
    <row r="1038" spans="1:35" ht="14.25" customHeight="1" x14ac:dyDescent="0.2">
      <c r="A1038" s="1">
        <v>3397</v>
      </c>
      <c r="B1038" s="1" t="s">
        <v>781</v>
      </c>
      <c r="C1038" s="1" t="s">
        <v>51</v>
      </c>
      <c r="D1038" s="2">
        <v>41812</v>
      </c>
      <c r="E1038" s="1" t="s">
        <v>101</v>
      </c>
      <c r="F1038" s="1" t="s">
        <v>671</v>
      </c>
      <c r="G1038" s="1">
        <v>43</v>
      </c>
      <c r="H1038" s="1">
        <v>19.98</v>
      </c>
      <c r="I1038" s="1">
        <f t="shared" si="48"/>
        <v>859.14</v>
      </c>
      <c r="J1038" t="str">
        <f t="shared" si="49"/>
        <v>Low</v>
      </c>
      <c r="K1038" s="1"/>
      <c r="L1038" s="1">
        <v>0.1</v>
      </c>
      <c r="M1038" s="1">
        <v>4</v>
      </c>
      <c r="N1038" s="1" t="s">
        <v>33</v>
      </c>
      <c r="O1038" s="1" t="s">
        <v>34</v>
      </c>
      <c r="P1038" s="2">
        <v>41814</v>
      </c>
      <c r="Q1038" s="2" t="b">
        <f t="shared" si="50"/>
        <v>0</v>
      </c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  <c r="AG1038" s="2"/>
      <c r="AH1038" s="2"/>
      <c r="AI1038" s="2"/>
    </row>
    <row r="1039" spans="1:35" ht="14.25" customHeight="1" x14ac:dyDescent="0.2">
      <c r="A1039" s="1">
        <v>29633</v>
      </c>
      <c r="B1039" s="1" t="s">
        <v>872</v>
      </c>
      <c r="C1039" s="1" t="s">
        <v>30</v>
      </c>
      <c r="D1039" s="2">
        <v>41812</v>
      </c>
      <c r="E1039" s="1" t="s">
        <v>38</v>
      </c>
      <c r="F1039" s="1" t="s">
        <v>1145</v>
      </c>
      <c r="G1039" s="1">
        <v>11</v>
      </c>
      <c r="H1039" s="1">
        <v>7.98</v>
      </c>
      <c r="I1039" s="1">
        <f t="shared" si="48"/>
        <v>87.78</v>
      </c>
      <c r="J1039" t="str">
        <f t="shared" si="49"/>
        <v>Low</v>
      </c>
      <c r="K1039" s="1"/>
      <c r="L1039" s="1">
        <v>0.01</v>
      </c>
      <c r="M1039" s="1">
        <v>6.5</v>
      </c>
      <c r="N1039" s="1" t="s">
        <v>33</v>
      </c>
      <c r="O1039" s="1" t="s">
        <v>72</v>
      </c>
      <c r="P1039" s="2">
        <v>41813</v>
      </c>
      <c r="Q1039" s="2" t="b">
        <f t="shared" si="50"/>
        <v>0</v>
      </c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  <c r="AG1039" s="2"/>
      <c r="AH1039" s="2"/>
      <c r="AI1039" s="2"/>
    </row>
    <row r="1040" spans="1:35" ht="14.25" customHeight="1" x14ac:dyDescent="0.2">
      <c r="A1040" s="1">
        <v>3397</v>
      </c>
      <c r="B1040" s="1" t="s">
        <v>781</v>
      </c>
      <c r="C1040" s="1" t="s">
        <v>21</v>
      </c>
      <c r="D1040" s="2">
        <v>41812</v>
      </c>
      <c r="E1040" s="1" t="s">
        <v>101</v>
      </c>
      <c r="F1040" s="1" t="s">
        <v>1146</v>
      </c>
      <c r="G1040" s="1">
        <v>11</v>
      </c>
      <c r="H1040" s="1">
        <v>2.88</v>
      </c>
      <c r="I1040" s="1">
        <f t="shared" si="48"/>
        <v>31.68</v>
      </c>
      <c r="J1040" t="str">
        <f t="shared" si="49"/>
        <v>Low</v>
      </c>
      <c r="K1040" s="1"/>
      <c r="L1040" s="1">
        <v>0.09</v>
      </c>
      <c r="M1040" s="1">
        <v>1.49</v>
      </c>
      <c r="N1040" s="1" t="s">
        <v>33</v>
      </c>
      <c r="O1040" s="1" t="s">
        <v>34</v>
      </c>
      <c r="P1040" s="2">
        <v>41813</v>
      </c>
      <c r="Q1040" s="2" t="b">
        <f t="shared" si="50"/>
        <v>0</v>
      </c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  <c r="AG1040" s="2"/>
      <c r="AH1040" s="2"/>
      <c r="AI1040" s="2"/>
    </row>
    <row r="1041" spans="1:35" ht="14.25" customHeight="1" x14ac:dyDescent="0.2">
      <c r="A1041" s="1">
        <v>39488</v>
      </c>
      <c r="B1041" s="1" t="s">
        <v>315</v>
      </c>
      <c r="C1041" s="1" t="s">
        <v>30</v>
      </c>
      <c r="D1041" s="2">
        <v>41812</v>
      </c>
      <c r="E1041" s="1" t="s">
        <v>43</v>
      </c>
      <c r="F1041" s="1" t="s">
        <v>1147</v>
      </c>
      <c r="G1041" s="1">
        <v>18</v>
      </c>
      <c r="H1041" s="1">
        <v>4.4800000000000004</v>
      </c>
      <c r="I1041" s="1">
        <f t="shared" si="48"/>
        <v>80.640000000000015</v>
      </c>
      <c r="J1041" t="str">
        <f t="shared" si="49"/>
        <v>Low</v>
      </c>
      <c r="K1041" s="1"/>
      <c r="L1041" s="1">
        <v>0.04</v>
      </c>
      <c r="M1041" s="1">
        <v>2.5</v>
      </c>
      <c r="N1041" s="1" t="s">
        <v>25</v>
      </c>
      <c r="O1041" s="1" t="s">
        <v>34</v>
      </c>
      <c r="P1041" s="2">
        <v>41816</v>
      </c>
      <c r="Q1041" s="2" t="b">
        <f t="shared" si="50"/>
        <v>0</v>
      </c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  <c r="AG1041" s="2"/>
      <c r="AH1041" s="2"/>
      <c r="AI1041" s="2"/>
    </row>
    <row r="1042" spans="1:35" ht="14.25" customHeight="1" x14ac:dyDescent="0.2">
      <c r="A1042" s="1">
        <v>41606</v>
      </c>
      <c r="B1042" s="1" t="s">
        <v>829</v>
      </c>
      <c r="C1042" s="1" t="s">
        <v>30</v>
      </c>
      <c r="D1042" s="2">
        <v>41813</v>
      </c>
      <c r="E1042" s="1" t="s">
        <v>31</v>
      </c>
      <c r="F1042" s="1" t="s">
        <v>627</v>
      </c>
      <c r="G1042" s="1">
        <v>23</v>
      </c>
      <c r="H1042" s="1">
        <v>200.98</v>
      </c>
      <c r="I1042" s="1">
        <f t="shared" si="48"/>
        <v>4622.54</v>
      </c>
      <c r="J1042" t="str">
        <f t="shared" si="49"/>
        <v>High</v>
      </c>
      <c r="K1042" s="1"/>
      <c r="L1042" s="1">
        <v>0.09</v>
      </c>
      <c r="M1042" s="1">
        <v>55.96</v>
      </c>
      <c r="N1042" s="1" t="s">
        <v>45</v>
      </c>
      <c r="O1042" s="1" t="s">
        <v>63</v>
      </c>
      <c r="P1042" s="2">
        <v>41814</v>
      </c>
      <c r="Q1042" s="2" t="b">
        <f t="shared" si="50"/>
        <v>0</v>
      </c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  <c r="AG1042" s="2"/>
      <c r="AH1042" s="2"/>
      <c r="AI1042" s="2"/>
    </row>
    <row r="1043" spans="1:35" ht="14.25" customHeight="1" x14ac:dyDescent="0.2">
      <c r="A1043" s="1">
        <v>41606</v>
      </c>
      <c r="B1043" s="1" t="s">
        <v>829</v>
      </c>
      <c r="C1043" s="1" t="s">
        <v>30</v>
      </c>
      <c r="D1043" s="2">
        <v>41813</v>
      </c>
      <c r="E1043" s="1" t="s">
        <v>31</v>
      </c>
      <c r="F1043" s="1" t="s">
        <v>1148</v>
      </c>
      <c r="G1043" s="1">
        <v>30</v>
      </c>
      <c r="H1043" s="1">
        <v>2.78</v>
      </c>
      <c r="I1043" s="1">
        <f t="shared" si="48"/>
        <v>83.399999999999991</v>
      </c>
      <c r="J1043" t="str">
        <f t="shared" si="49"/>
        <v>Low</v>
      </c>
      <c r="K1043" s="1"/>
      <c r="L1043" s="1">
        <v>0.09</v>
      </c>
      <c r="M1043" s="1">
        <v>0.97</v>
      </c>
      <c r="N1043" s="1" t="s">
        <v>33</v>
      </c>
      <c r="O1043" s="1" t="s">
        <v>55</v>
      </c>
      <c r="P1043" s="2">
        <v>41814</v>
      </c>
      <c r="Q1043" s="2" t="b">
        <f t="shared" si="50"/>
        <v>0</v>
      </c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  <c r="AG1043" s="2"/>
      <c r="AH1043" s="2"/>
      <c r="AI1043" s="2"/>
    </row>
    <row r="1044" spans="1:35" ht="14.25" customHeight="1" x14ac:dyDescent="0.2">
      <c r="A1044" s="1">
        <v>39078</v>
      </c>
      <c r="B1044" s="1" t="s">
        <v>861</v>
      </c>
      <c r="C1044" s="1" t="s">
        <v>51</v>
      </c>
      <c r="D1044" s="2">
        <v>41813</v>
      </c>
      <c r="E1044" s="1" t="s">
        <v>43</v>
      </c>
      <c r="F1044" s="1" t="s">
        <v>158</v>
      </c>
      <c r="G1044" s="1">
        <v>10</v>
      </c>
      <c r="H1044" s="1">
        <v>3.28</v>
      </c>
      <c r="I1044" s="1">
        <f t="shared" si="48"/>
        <v>32.799999999999997</v>
      </c>
      <c r="J1044" t="str">
        <f t="shared" si="49"/>
        <v>Low</v>
      </c>
      <c r="K1044" s="1"/>
      <c r="L1044" s="1">
        <v>7.0000000000000007E-2</v>
      </c>
      <c r="M1044" s="1">
        <v>3.97</v>
      </c>
      <c r="N1044" s="1" t="s">
        <v>33</v>
      </c>
      <c r="O1044" s="1" t="s">
        <v>55</v>
      </c>
      <c r="P1044" s="2">
        <v>41813</v>
      </c>
      <c r="Q1044" s="2" t="b">
        <f t="shared" si="50"/>
        <v>0</v>
      </c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  <c r="AG1044" s="2"/>
      <c r="AH1044" s="2"/>
      <c r="AI1044" s="2"/>
    </row>
    <row r="1045" spans="1:35" ht="14.25" customHeight="1" x14ac:dyDescent="0.2">
      <c r="A1045" s="1">
        <v>39078</v>
      </c>
      <c r="B1045" s="1" t="s">
        <v>861</v>
      </c>
      <c r="C1045" s="1" t="s">
        <v>21</v>
      </c>
      <c r="D1045" s="2">
        <v>41813</v>
      </c>
      <c r="E1045" s="1" t="s">
        <v>43</v>
      </c>
      <c r="F1045" s="1" t="s">
        <v>1012</v>
      </c>
      <c r="G1045" s="1">
        <v>8</v>
      </c>
      <c r="H1045" s="1">
        <v>256.99</v>
      </c>
      <c r="I1045" s="1">
        <f t="shared" si="48"/>
        <v>2055.92</v>
      </c>
      <c r="J1045" t="str">
        <f t="shared" si="49"/>
        <v>High</v>
      </c>
      <c r="K1045" s="1"/>
      <c r="L1045" s="1">
        <v>0.02</v>
      </c>
      <c r="M1045" s="1">
        <v>11.25</v>
      </c>
      <c r="N1045" s="1" t="s">
        <v>33</v>
      </c>
      <c r="O1045" s="1" t="s">
        <v>34</v>
      </c>
      <c r="P1045" s="2">
        <v>41820</v>
      </c>
      <c r="Q1045" s="2" t="b">
        <f t="shared" si="50"/>
        <v>0</v>
      </c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  <c r="AG1045" s="2"/>
      <c r="AH1045" s="2"/>
      <c r="AI1045" s="2"/>
    </row>
    <row r="1046" spans="1:35" ht="14.25" customHeight="1" x14ac:dyDescent="0.2">
      <c r="A1046" s="1">
        <v>39078</v>
      </c>
      <c r="B1046" s="1" t="s">
        <v>861</v>
      </c>
      <c r="C1046" s="1" t="s">
        <v>21</v>
      </c>
      <c r="D1046" s="2">
        <v>41813</v>
      </c>
      <c r="E1046" s="1" t="s">
        <v>43</v>
      </c>
      <c r="F1046" s="1" t="s">
        <v>1076</v>
      </c>
      <c r="G1046" s="1">
        <v>26</v>
      </c>
      <c r="H1046" s="1">
        <v>6.48</v>
      </c>
      <c r="I1046" s="1">
        <f t="shared" si="48"/>
        <v>168.48000000000002</v>
      </c>
      <c r="J1046" t="str">
        <f t="shared" si="49"/>
        <v>Low</v>
      </c>
      <c r="K1046" s="1"/>
      <c r="L1046" s="1">
        <v>0.01</v>
      </c>
      <c r="M1046" s="1">
        <v>5.14</v>
      </c>
      <c r="N1046" s="1" t="s">
        <v>33</v>
      </c>
      <c r="O1046" s="1" t="s">
        <v>34</v>
      </c>
      <c r="P1046" s="2">
        <v>41815</v>
      </c>
      <c r="Q1046" s="2" t="b">
        <f t="shared" si="50"/>
        <v>0</v>
      </c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  <c r="AG1046" s="2"/>
      <c r="AH1046" s="2"/>
      <c r="AI1046" s="2"/>
    </row>
    <row r="1047" spans="1:35" ht="14.25" customHeight="1" x14ac:dyDescent="0.2">
      <c r="A1047" s="1">
        <v>41799</v>
      </c>
      <c r="B1047" s="1" t="s">
        <v>740</v>
      </c>
      <c r="C1047" s="1" t="s">
        <v>30</v>
      </c>
      <c r="D1047" s="2">
        <v>41813</v>
      </c>
      <c r="E1047" s="1" t="s">
        <v>31</v>
      </c>
      <c r="F1047" s="1" t="s">
        <v>1149</v>
      </c>
      <c r="G1047" s="1">
        <v>21</v>
      </c>
      <c r="H1047" s="1">
        <v>65.989999999999995</v>
      </c>
      <c r="I1047" s="1">
        <f t="shared" si="48"/>
        <v>1385.79</v>
      </c>
      <c r="J1047" t="str">
        <f t="shared" si="49"/>
        <v>High</v>
      </c>
      <c r="K1047" s="1"/>
      <c r="L1047" s="1">
        <v>0.04</v>
      </c>
      <c r="M1047" s="1">
        <v>4.99</v>
      </c>
      <c r="N1047" s="1" t="s">
        <v>33</v>
      </c>
      <c r="O1047" s="1" t="s">
        <v>34</v>
      </c>
      <c r="P1047" s="2">
        <v>41814</v>
      </c>
      <c r="Q1047" s="2" t="b">
        <f t="shared" si="50"/>
        <v>0</v>
      </c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  <c r="AG1047" s="2"/>
      <c r="AH1047" s="2"/>
      <c r="AI1047" s="2"/>
    </row>
    <row r="1048" spans="1:35" ht="14.25" customHeight="1" x14ac:dyDescent="0.2">
      <c r="A1048" s="1">
        <v>19073</v>
      </c>
      <c r="B1048" s="1" t="s">
        <v>1150</v>
      </c>
      <c r="C1048" s="1" t="s">
        <v>21</v>
      </c>
      <c r="D1048" s="2">
        <v>41814</v>
      </c>
      <c r="E1048" s="1" t="s">
        <v>22</v>
      </c>
      <c r="F1048" s="1" t="s">
        <v>704</v>
      </c>
      <c r="G1048" s="1">
        <v>16</v>
      </c>
      <c r="H1048" s="1">
        <v>10.64</v>
      </c>
      <c r="I1048" s="1">
        <f t="shared" si="48"/>
        <v>170.24</v>
      </c>
      <c r="J1048" t="str">
        <f t="shared" si="49"/>
        <v>Low</v>
      </c>
      <c r="K1048" s="1"/>
      <c r="L1048" s="1">
        <v>0.04</v>
      </c>
      <c r="M1048" s="1">
        <v>5.16</v>
      </c>
      <c r="N1048" s="1" t="s">
        <v>33</v>
      </c>
      <c r="O1048" s="1" t="s">
        <v>34</v>
      </c>
      <c r="P1048" s="2">
        <v>41815</v>
      </c>
      <c r="Q1048" s="2" t="b">
        <f t="shared" si="50"/>
        <v>0</v>
      </c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  <c r="AG1048" s="2"/>
      <c r="AH1048" s="2"/>
      <c r="AI1048" s="2"/>
    </row>
    <row r="1049" spans="1:35" ht="14.25" customHeight="1" x14ac:dyDescent="0.2">
      <c r="A1049" s="1">
        <v>19073</v>
      </c>
      <c r="B1049" s="1" t="s">
        <v>1150</v>
      </c>
      <c r="C1049" s="1" t="s">
        <v>30</v>
      </c>
      <c r="D1049" s="2">
        <v>41814</v>
      </c>
      <c r="E1049" s="1" t="s">
        <v>22</v>
      </c>
      <c r="F1049" s="1" t="s">
        <v>1151</v>
      </c>
      <c r="G1049" s="1">
        <v>40</v>
      </c>
      <c r="H1049" s="1">
        <v>2.78</v>
      </c>
      <c r="I1049" s="1">
        <f t="shared" si="48"/>
        <v>111.19999999999999</v>
      </c>
      <c r="J1049" t="str">
        <f t="shared" si="49"/>
        <v>Low</v>
      </c>
      <c r="K1049" s="1"/>
      <c r="L1049" s="1">
        <v>0.03</v>
      </c>
      <c r="M1049" s="1">
        <v>1.34</v>
      </c>
      <c r="N1049" s="1" t="s">
        <v>25</v>
      </c>
      <c r="O1049" s="1" t="s">
        <v>55</v>
      </c>
      <c r="P1049" s="2">
        <v>41816</v>
      </c>
      <c r="Q1049" s="2" t="b">
        <f t="shared" si="50"/>
        <v>0</v>
      </c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  <c r="AG1049" s="2"/>
      <c r="AH1049" s="2"/>
      <c r="AI1049" s="2"/>
    </row>
    <row r="1050" spans="1:35" ht="14.25" customHeight="1" x14ac:dyDescent="0.2">
      <c r="A1050" s="1">
        <v>52006</v>
      </c>
      <c r="B1050" s="1" t="s">
        <v>959</v>
      </c>
      <c r="C1050" s="1" t="s">
        <v>21</v>
      </c>
      <c r="D1050" s="2">
        <v>41814</v>
      </c>
      <c r="E1050" s="1" t="s">
        <v>101</v>
      </c>
      <c r="F1050" s="1" t="s">
        <v>1152</v>
      </c>
      <c r="G1050" s="1">
        <v>42</v>
      </c>
      <c r="H1050" s="1">
        <v>8.3699999999999992</v>
      </c>
      <c r="I1050" s="1">
        <f t="shared" si="48"/>
        <v>351.53999999999996</v>
      </c>
      <c r="J1050" t="str">
        <f t="shared" si="49"/>
        <v>Low</v>
      </c>
      <c r="K1050" s="1"/>
      <c r="L1050" s="1">
        <v>0</v>
      </c>
      <c r="M1050" s="1">
        <v>10.16</v>
      </c>
      <c r="N1050" s="1" t="s">
        <v>33</v>
      </c>
      <c r="O1050" s="1" t="s">
        <v>26</v>
      </c>
      <c r="P1050" s="2">
        <v>41816</v>
      </c>
      <c r="Q1050" s="2" t="b">
        <f t="shared" si="50"/>
        <v>0</v>
      </c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  <c r="AG1050" s="2"/>
      <c r="AH1050" s="2"/>
      <c r="AI1050" s="2"/>
    </row>
    <row r="1051" spans="1:35" ht="14.25" customHeight="1" x14ac:dyDescent="0.2">
      <c r="A1051" s="1">
        <v>52006</v>
      </c>
      <c r="B1051" s="1" t="s">
        <v>959</v>
      </c>
      <c r="C1051" s="1" t="s">
        <v>21</v>
      </c>
      <c r="D1051" s="2">
        <v>41814</v>
      </c>
      <c r="E1051" s="1" t="s">
        <v>101</v>
      </c>
      <c r="F1051" s="1" t="s">
        <v>1130</v>
      </c>
      <c r="G1051" s="1">
        <v>39</v>
      </c>
      <c r="H1051" s="1">
        <v>10.48</v>
      </c>
      <c r="I1051" s="1">
        <f t="shared" si="48"/>
        <v>408.72</v>
      </c>
      <c r="J1051" t="str">
        <f t="shared" si="49"/>
        <v>Low</v>
      </c>
      <c r="K1051" s="1"/>
      <c r="L1051" s="1">
        <v>0.1</v>
      </c>
      <c r="M1051" s="1">
        <v>2.89</v>
      </c>
      <c r="N1051" s="1" t="s">
        <v>33</v>
      </c>
      <c r="O1051" s="1" t="s">
        <v>84</v>
      </c>
      <c r="P1051" s="2">
        <v>41815</v>
      </c>
      <c r="Q1051" s="2" t="b">
        <f t="shared" si="50"/>
        <v>0</v>
      </c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  <c r="AG1051" s="2"/>
      <c r="AH1051" s="2"/>
      <c r="AI1051" s="2"/>
    </row>
    <row r="1052" spans="1:35" ht="14.25" customHeight="1" x14ac:dyDescent="0.2">
      <c r="A1052" s="1">
        <v>47938</v>
      </c>
      <c r="B1052" s="1" t="s">
        <v>1153</v>
      </c>
      <c r="C1052" s="1" t="s">
        <v>21</v>
      </c>
      <c r="D1052" s="2">
        <v>41814</v>
      </c>
      <c r="E1052" s="1" t="s">
        <v>43</v>
      </c>
      <c r="F1052" s="1" t="s">
        <v>1036</v>
      </c>
      <c r="G1052" s="1">
        <v>17</v>
      </c>
      <c r="H1052" s="1">
        <v>20.99</v>
      </c>
      <c r="I1052" s="1">
        <f t="shared" si="48"/>
        <v>356.83</v>
      </c>
      <c r="J1052" t="str">
        <f t="shared" si="49"/>
        <v>Low</v>
      </c>
      <c r="K1052" s="1"/>
      <c r="L1052" s="1">
        <v>0.09</v>
      </c>
      <c r="M1052" s="1">
        <v>2.5</v>
      </c>
      <c r="N1052" s="1" t="s">
        <v>33</v>
      </c>
      <c r="O1052" s="1" t="s">
        <v>55</v>
      </c>
      <c r="P1052" s="2">
        <v>41821</v>
      </c>
      <c r="Q1052" s="2" t="b">
        <f t="shared" si="50"/>
        <v>0</v>
      </c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  <c r="AG1052" s="2"/>
      <c r="AH1052" s="2"/>
      <c r="AI1052" s="2"/>
    </row>
    <row r="1053" spans="1:35" ht="14.25" customHeight="1" x14ac:dyDescent="0.2">
      <c r="A1053" s="1">
        <v>39136</v>
      </c>
      <c r="B1053" s="1" t="s">
        <v>1154</v>
      </c>
      <c r="C1053" s="1" t="s">
        <v>30</v>
      </c>
      <c r="D1053" s="2">
        <v>41814</v>
      </c>
      <c r="E1053" s="1" t="s">
        <v>31</v>
      </c>
      <c r="F1053" s="1" t="s">
        <v>408</v>
      </c>
      <c r="G1053" s="1">
        <v>49</v>
      </c>
      <c r="H1053" s="1">
        <v>65.989999999999995</v>
      </c>
      <c r="I1053" s="1">
        <f t="shared" si="48"/>
        <v>3233.5099999999998</v>
      </c>
      <c r="J1053" t="str">
        <f t="shared" si="49"/>
        <v>High</v>
      </c>
      <c r="K1053" s="1"/>
      <c r="L1053" s="1">
        <v>0.02</v>
      </c>
      <c r="M1053" s="1">
        <v>3.99</v>
      </c>
      <c r="N1053" s="1" t="s">
        <v>33</v>
      </c>
      <c r="O1053" s="1" t="s">
        <v>34</v>
      </c>
      <c r="P1053" s="2">
        <v>41816</v>
      </c>
      <c r="Q1053" s="2" t="b">
        <f t="shared" si="50"/>
        <v>0</v>
      </c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  <c r="AG1053" s="2"/>
      <c r="AH1053" s="2"/>
      <c r="AI1053" s="2"/>
    </row>
    <row r="1054" spans="1:35" ht="14.25" customHeight="1" x14ac:dyDescent="0.2">
      <c r="A1054" s="1">
        <v>18119</v>
      </c>
      <c r="B1054" s="1" t="s">
        <v>457</v>
      </c>
      <c r="C1054" s="1" t="s">
        <v>51</v>
      </c>
      <c r="D1054" s="2">
        <v>41814</v>
      </c>
      <c r="E1054" s="1" t="s">
        <v>43</v>
      </c>
      <c r="F1054" s="1" t="s">
        <v>196</v>
      </c>
      <c r="G1054" s="1">
        <v>37</v>
      </c>
      <c r="H1054" s="1">
        <v>8.74</v>
      </c>
      <c r="I1054" s="1">
        <f t="shared" si="48"/>
        <v>323.38</v>
      </c>
      <c r="J1054" t="str">
        <f t="shared" si="49"/>
        <v>Low</v>
      </c>
      <c r="K1054" s="1"/>
      <c r="L1054" s="1">
        <v>0</v>
      </c>
      <c r="M1054" s="1">
        <v>8.2899999999999991</v>
      </c>
      <c r="N1054" s="1" t="s">
        <v>33</v>
      </c>
      <c r="O1054" s="1" t="s">
        <v>34</v>
      </c>
      <c r="P1054" s="2">
        <v>41816</v>
      </c>
      <c r="Q1054" s="2" t="b">
        <f t="shared" si="50"/>
        <v>0</v>
      </c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  <c r="AG1054" s="2"/>
      <c r="AH1054" s="2"/>
      <c r="AI1054" s="2"/>
    </row>
    <row r="1055" spans="1:35" ht="14.25" customHeight="1" x14ac:dyDescent="0.2">
      <c r="A1055" s="1">
        <v>32582</v>
      </c>
      <c r="B1055" s="1" t="s">
        <v>1155</v>
      </c>
      <c r="C1055" s="1" t="s">
        <v>30</v>
      </c>
      <c r="D1055" s="2">
        <v>41815</v>
      </c>
      <c r="E1055" s="1" t="s">
        <v>22</v>
      </c>
      <c r="F1055" s="1" t="s">
        <v>293</v>
      </c>
      <c r="G1055" s="1">
        <v>27</v>
      </c>
      <c r="H1055" s="1">
        <v>105.34</v>
      </c>
      <c r="I1055" s="1">
        <f t="shared" si="48"/>
        <v>2844.1800000000003</v>
      </c>
      <c r="J1055" t="str">
        <f t="shared" si="49"/>
        <v>High</v>
      </c>
      <c r="K1055" s="1"/>
      <c r="L1055" s="1">
        <v>7.0000000000000007E-2</v>
      </c>
      <c r="M1055" s="1">
        <v>24.49</v>
      </c>
      <c r="N1055" s="1" t="s">
        <v>25</v>
      </c>
      <c r="O1055" s="1" t="s">
        <v>26</v>
      </c>
      <c r="P1055" s="2">
        <v>41816</v>
      </c>
      <c r="Q1055" s="2" t="b">
        <f t="shared" si="50"/>
        <v>1</v>
      </c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  <c r="AG1055" s="2"/>
      <c r="AH1055" s="2"/>
      <c r="AI1055" s="2"/>
    </row>
    <row r="1056" spans="1:35" ht="14.25" customHeight="1" x14ac:dyDescent="0.2">
      <c r="A1056" s="1">
        <v>12228</v>
      </c>
      <c r="B1056" s="1" t="s">
        <v>1156</v>
      </c>
      <c r="C1056" s="1" t="s">
        <v>21</v>
      </c>
      <c r="D1056" s="2">
        <v>41815</v>
      </c>
      <c r="E1056" s="1" t="s">
        <v>22</v>
      </c>
      <c r="F1056" s="1" t="s">
        <v>857</v>
      </c>
      <c r="G1056" s="1">
        <v>1</v>
      </c>
      <c r="H1056" s="1">
        <v>130.97999999999999</v>
      </c>
      <c r="I1056" s="1">
        <f t="shared" si="48"/>
        <v>130.97999999999999</v>
      </c>
      <c r="J1056" t="str">
        <f t="shared" si="49"/>
        <v>Low</v>
      </c>
      <c r="K1056" s="1"/>
      <c r="L1056" s="1">
        <v>0.04</v>
      </c>
      <c r="M1056" s="1">
        <v>30</v>
      </c>
      <c r="N1056" s="1" t="s">
        <v>45</v>
      </c>
      <c r="O1056" s="1" t="s">
        <v>46</v>
      </c>
      <c r="P1056" s="2">
        <v>41818</v>
      </c>
      <c r="Q1056" s="2" t="b">
        <f t="shared" si="50"/>
        <v>0</v>
      </c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  <c r="AG1056" s="2"/>
      <c r="AH1056" s="2"/>
      <c r="AI1056" s="2"/>
    </row>
    <row r="1057" spans="1:35" ht="14.25" customHeight="1" x14ac:dyDescent="0.2">
      <c r="A1057" s="1">
        <v>12228</v>
      </c>
      <c r="B1057" s="1" t="s">
        <v>1156</v>
      </c>
      <c r="C1057" s="1" t="s">
        <v>51</v>
      </c>
      <c r="D1057" s="2">
        <v>41815</v>
      </c>
      <c r="E1057" s="1" t="s">
        <v>22</v>
      </c>
      <c r="F1057" s="1" t="s">
        <v>1157</v>
      </c>
      <c r="G1057" s="1">
        <v>30</v>
      </c>
      <c r="H1057" s="1">
        <v>200.99</v>
      </c>
      <c r="I1057" s="1">
        <f t="shared" si="48"/>
        <v>6029.7000000000007</v>
      </c>
      <c r="J1057" t="str">
        <f t="shared" si="49"/>
        <v>High</v>
      </c>
      <c r="K1057" s="1"/>
      <c r="L1057" s="1">
        <v>0.05</v>
      </c>
      <c r="M1057" s="1">
        <v>4.2</v>
      </c>
      <c r="N1057" s="1" t="s">
        <v>33</v>
      </c>
      <c r="O1057" s="1" t="s">
        <v>34</v>
      </c>
      <c r="P1057" s="2">
        <v>41815</v>
      </c>
      <c r="Q1057" s="2" t="b">
        <f t="shared" si="50"/>
        <v>0</v>
      </c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  <c r="AG1057" s="2"/>
      <c r="AH1057" s="2"/>
      <c r="AI1057" s="2"/>
    </row>
    <row r="1058" spans="1:35" ht="14.25" customHeight="1" x14ac:dyDescent="0.2">
      <c r="A1058" s="1">
        <v>33250</v>
      </c>
      <c r="B1058" s="1" t="s">
        <v>186</v>
      </c>
      <c r="C1058" s="1" t="s">
        <v>51</v>
      </c>
      <c r="D1058" s="2">
        <v>41815</v>
      </c>
      <c r="E1058" s="1" t="s">
        <v>22</v>
      </c>
      <c r="F1058" s="1" t="s">
        <v>1108</v>
      </c>
      <c r="G1058" s="1">
        <v>40</v>
      </c>
      <c r="H1058" s="1">
        <v>177.98</v>
      </c>
      <c r="I1058" s="1">
        <f t="shared" si="48"/>
        <v>7119.2</v>
      </c>
      <c r="J1058" t="str">
        <f t="shared" si="49"/>
        <v>High</v>
      </c>
      <c r="K1058" s="1"/>
      <c r="L1058" s="1">
        <v>0.04</v>
      </c>
      <c r="M1058" s="1">
        <v>0.99</v>
      </c>
      <c r="N1058" s="1" t="s">
        <v>33</v>
      </c>
      <c r="O1058" s="1" t="s">
        <v>34</v>
      </c>
      <c r="P1058" s="2">
        <v>41817</v>
      </c>
      <c r="Q1058" s="2" t="b">
        <f t="shared" si="50"/>
        <v>0</v>
      </c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  <c r="AG1058" s="2"/>
      <c r="AH1058" s="2"/>
      <c r="AI1058" s="2"/>
    </row>
    <row r="1059" spans="1:35" ht="14.25" customHeight="1" x14ac:dyDescent="0.2">
      <c r="A1059" s="1">
        <v>36705</v>
      </c>
      <c r="B1059" s="1" t="s">
        <v>1100</v>
      </c>
      <c r="C1059" s="1" t="s">
        <v>51</v>
      </c>
      <c r="D1059" s="2">
        <v>41815</v>
      </c>
      <c r="E1059" s="1" t="s">
        <v>22</v>
      </c>
      <c r="F1059" s="1" t="s">
        <v>1158</v>
      </c>
      <c r="G1059" s="1">
        <v>17</v>
      </c>
      <c r="H1059" s="1">
        <v>70.89</v>
      </c>
      <c r="I1059" s="1">
        <f t="shared" si="48"/>
        <v>1205.1300000000001</v>
      </c>
      <c r="J1059" t="str">
        <f t="shared" si="49"/>
        <v>High</v>
      </c>
      <c r="K1059" s="1"/>
      <c r="L1059" s="1">
        <v>0.06</v>
      </c>
      <c r="M1059" s="1">
        <v>89.3</v>
      </c>
      <c r="N1059" s="1" t="s">
        <v>45</v>
      </c>
      <c r="O1059" s="1" t="s">
        <v>63</v>
      </c>
      <c r="P1059" s="2">
        <v>41815</v>
      </c>
      <c r="Q1059" s="2" t="b">
        <f t="shared" si="50"/>
        <v>0</v>
      </c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  <c r="AG1059" s="2"/>
      <c r="AH1059" s="2"/>
      <c r="AI1059" s="2"/>
    </row>
    <row r="1060" spans="1:35" ht="14.25" customHeight="1" x14ac:dyDescent="0.2">
      <c r="A1060" s="1">
        <v>57507</v>
      </c>
      <c r="B1060" s="1" t="s">
        <v>1159</v>
      </c>
      <c r="C1060" s="1" t="s">
        <v>30</v>
      </c>
      <c r="D1060" s="2">
        <v>41816</v>
      </c>
      <c r="E1060" s="1" t="s">
        <v>38</v>
      </c>
      <c r="F1060" s="1" t="s">
        <v>1160</v>
      </c>
      <c r="G1060" s="1">
        <v>10</v>
      </c>
      <c r="H1060" s="1">
        <v>15.01</v>
      </c>
      <c r="I1060" s="1">
        <f t="shared" si="48"/>
        <v>150.1</v>
      </c>
      <c r="J1060" t="str">
        <f t="shared" si="49"/>
        <v>Low</v>
      </c>
      <c r="K1060" s="1"/>
      <c r="L1060" s="1">
        <v>0.03</v>
      </c>
      <c r="M1060" s="1">
        <v>8.4</v>
      </c>
      <c r="N1060" s="1" t="s">
        <v>33</v>
      </c>
      <c r="O1060" s="1" t="s">
        <v>34</v>
      </c>
      <c r="P1060" s="2">
        <v>41819</v>
      </c>
      <c r="Q1060" s="2" t="b">
        <f t="shared" si="50"/>
        <v>0</v>
      </c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  <c r="AG1060" s="2"/>
      <c r="AH1060" s="2"/>
      <c r="AI1060" s="2"/>
    </row>
    <row r="1061" spans="1:35" ht="14.25" customHeight="1" x14ac:dyDescent="0.2">
      <c r="A1061" s="1">
        <v>20322</v>
      </c>
      <c r="B1061" s="1" t="s">
        <v>1161</v>
      </c>
      <c r="C1061" s="1" t="s">
        <v>21</v>
      </c>
      <c r="D1061" s="2">
        <v>41818</v>
      </c>
      <c r="E1061" s="1" t="s">
        <v>38</v>
      </c>
      <c r="F1061" s="1" t="s">
        <v>1162</v>
      </c>
      <c r="G1061" s="1">
        <v>46</v>
      </c>
      <c r="H1061" s="1">
        <v>3.58</v>
      </c>
      <c r="I1061" s="1">
        <f t="shared" si="48"/>
        <v>164.68</v>
      </c>
      <c r="J1061" t="str">
        <f t="shared" si="49"/>
        <v>Low</v>
      </c>
      <c r="K1061" s="1"/>
      <c r="L1061" s="1">
        <v>0.06</v>
      </c>
      <c r="M1061" s="1">
        <v>5.47</v>
      </c>
      <c r="N1061" s="1" t="s">
        <v>33</v>
      </c>
      <c r="O1061" s="1" t="s">
        <v>34</v>
      </c>
      <c r="P1061" s="2">
        <v>41820</v>
      </c>
      <c r="Q1061" s="2" t="b">
        <f t="shared" si="50"/>
        <v>0</v>
      </c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  <c r="AG1061" s="2"/>
      <c r="AH1061" s="2"/>
      <c r="AI1061" s="2"/>
    </row>
    <row r="1062" spans="1:35" ht="14.25" customHeight="1" x14ac:dyDescent="0.2">
      <c r="A1062" s="1">
        <v>20322</v>
      </c>
      <c r="B1062" s="1" t="s">
        <v>1161</v>
      </c>
      <c r="C1062" s="1" t="s">
        <v>51</v>
      </c>
      <c r="D1062" s="2">
        <v>41818</v>
      </c>
      <c r="E1062" s="1" t="s">
        <v>38</v>
      </c>
      <c r="F1062" s="1" t="s">
        <v>107</v>
      </c>
      <c r="G1062" s="1">
        <v>46</v>
      </c>
      <c r="H1062" s="1">
        <v>100.98</v>
      </c>
      <c r="I1062" s="1">
        <f t="shared" si="48"/>
        <v>4645.08</v>
      </c>
      <c r="J1062" t="str">
        <f t="shared" si="49"/>
        <v>High</v>
      </c>
      <c r="K1062" s="1"/>
      <c r="L1062" s="1">
        <v>0.09</v>
      </c>
      <c r="M1062" s="1">
        <v>35.840000000000003</v>
      </c>
      <c r="N1062" s="1" t="s">
        <v>45</v>
      </c>
      <c r="O1062" s="1" t="s">
        <v>63</v>
      </c>
      <c r="P1062" s="2">
        <v>41818</v>
      </c>
      <c r="Q1062" s="2" t="b">
        <f t="shared" si="50"/>
        <v>0</v>
      </c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  <c r="AG1062" s="2"/>
      <c r="AH1062" s="2"/>
      <c r="AI1062" s="2"/>
    </row>
    <row r="1063" spans="1:35" ht="14.25" customHeight="1" x14ac:dyDescent="0.2">
      <c r="A1063" s="1">
        <v>20322</v>
      </c>
      <c r="B1063" s="1" t="s">
        <v>1161</v>
      </c>
      <c r="C1063" s="1" t="s">
        <v>51</v>
      </c>
      <c r="D1063" s="2">
        <v>41818</v>
      </c>
      <c r="E1063" s="1" t="s">
        <v>38</v>
      </c>
      <c r="F1063" s="1" t="s">
        <v>1163</v>
      </c>
      <c r="G1063" s="1">
        <v>15</v>
      </c>
      <c r="H1063" s="1">
        <v>5.78</v>
      </c>
      <c r="I1063" s="1">
        <f t="shared" si="48"/>
        <v>86.7</v>
      </c>
      <c r="J1063" t="str">
        <f t="shared" si="49"/>
        <v>Low</v>
      </c>
      <c r="K1063" s="1"/>
      <c r="L1063" s="1">
        <v>0.1</v>
      </c>
      <c r="M1063" s="1">
        <v>7.96</v>
      </c>
      <c r="N1063" s="1" t="s">
        <v>33</v>
      </c>
      <c r="O1063" s="1" t="s">
        <v>34</v>
      </c>
      <c r="P1063" s="2">
        <v>41818</v>
      </c>
      <c r="Q1063" s="2" t="b">
        <f t="shared" si="50"/>
        <v>0</v>
      </c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  <c r="AG1063" s="2"/>
      <c r="AH1063" s="2"/>
      <c r="AI1063" s="2"/>
    </row>
    <row r="1064" spans="1:35" ht="14.25" customHeight="1" x14ac:dyDescent="0.2">
      <c r="A1064" s="1">
        <v>18919</v>
      </c>
      <c r="B1064" s="1" t="s">
        <v>1164</v>
      </c>
      <c r="C1064" s="1" t="s">
        <v>21</v>
      </c>
      <c r="D1064" s="2">
        <v>41818</v>
      </c>
      <c r="E1064" s="1" t="s">
        <v>43</v>
      </c>
      <c r="F1064" s="1" t="s">
        <v>1165</v>
      </c>
      <c r="G1064" s="1">
        <v>39</v>
      </c>
      <c r="H1064" s="1">
        <v>17.52</v>
      </c>
      <c r="I1064" s="1">
        <f t="shared" si="48"/>
        <v>683.28</v>
      </c>
      <c r="J1064" t="str">
        <f t="shared" si="49"/>
        <v>Low</v>
      </c>
      <c r="K1064" s="1"/>
      <c r="L1064" s="1">
        <v>0</v>
      </c>
      <c r="M1064" s="1">
        <v>8.17</v>
      </c>
      <c r="N1064" s="1" t="s">
        <v>33</v>
      </c>
      <c r="O1064" s="1" t="s">
        <v>72</v>
      </c>
      <c r="P1064" s="2">
        <v>41823</v>
      </c>
      <c r="Q1064" s="2" t="b">
        <f t="shared" si="50"/>
        <v>0</v>
      </c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  <c r="AG1064" s="2"/>
      <c r="AH1064" s="2"/>
      <c r="AI1064" s="2"/>
    </row>
    <row r="1065" spans="1:35" ht="14.25" customHeight="1" x14ac:dyDescent="0.2">
      <c r="A1065" s="1">
        <v>55429</v>
      </c>
      <c r="B1065" s="1" t="s">
        <v>1166</v>
      </c>
      <c r="C1065" s="1" t="s">
        <v>51</v>
      </c>
      <c r="D1065" s="2">
        <v>41819</v>
      </c>
      <c r="E1065" s="1" t="s">
        <v>31</v>
      </c>
      <c r="F1065" s="1" t="s">
        <v>1167</v>
      </c>
      <c r="G1065" s="1">
        <v>43</v>
      </c>
      <c r="H1065" s="1">
        <v>6.48</v>
      </c>
      <c r="I1065" s="1">
        <f t="shared" si="48"/>
        <v>278.64000000000004</v>
      </c>
      <c r="J1065" t="str">
        <f t="shared" si="49"/>
        <v>Low</v>
      </c>
      <c r="K1065" s="1"/>
      <c r="L1065" s="1">
        <v>0.09</v>
      </c>
      <c r="M1065" s="1">
        <v>7.03</v>
      </c>
      <c r="N1065" s="1" t="s">
        <v>33</v>
      </c>
      <c r="O1065" s="1" t="s">
        <v>34</v>
      </c>
      <c r="P1065" s="2">
        <v>41821</v>
      </c>
      <c r="Q1065" s="2" t="b">
        <f t="shared" si="50"/>
        <v>0</v>
      </c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  <c r="AG1065" s="2"/>
      <c r="AH1065" s="2"/>
      <c r="AI1065" s="2"/>
    </row>
    <row r="1066" spans="1:35" ht="14.25" customHeight="1" x14ac:dyDescent="0.2">
      <c r="A1066" s="1">
        <v>31877</v>
      </c>
      <c r="B1066" s="1" t="s">
        <v>996</v>
      </c>
      <c r="C1066" s="1" t="s">
        <v>21</v>
      </c>
      <c r="D1066" s="2">
        <v>41819</v>
      </c>
      <c r="E1066" s="1" t="s">
        <v>101</v>
      </c>
      <c r="F1066" s="1" t="s">
        <v>1152</v>
      </c>
      <c r="G1066" s="1">
        <v>34</v>
      </c>
      <c r="H1066" s="1">
        <v>8.3699999999999992</v>
      </c>
      <c r="I1066" s="1">
        <f t="shared" si="48"/>
        <v>284.58</v>
      </c>
      <c r="J1066" t="str">
        <f t="shared" si="49"/>
        <v>Low</v>
      </c>
      <c r="K1066" s="1"/>
      <c r="L1066" s="1">
        <v>0.08</v>
      </c>
      <c r="M1066" s="1">
        <v>10.16</v>
      </c>
      <c r="N1066" s="1" t="s">
        <v>33</v>
      </c>
      <c r="O1066" s="1" t="s">
        <v>26</v>
      </c>
      <c r="P1066" s="2">
        <v>41819</v>
      </c>
      <c r="Q1066" s="2" t="b">
        <f t="shared" si="50"/>
        <v>0</v>
      </c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  <c r="AG1066" s="2"/>
      <c r="AH1066" s="2"/>
      <c r="AI1066" s="2"/>
    </row>
    <row r="1067" spans="1:35" ht="14.25" customHeight="1" x14ac:dyDescent="0.2">
      <c r="A1067" s="1">
        <v>2211</v>
      </c>
      <c r="B1067" s="1" t="s">
        <v>1065</v>
      </c>
      <c r="C1067" s="1" t="s">
        <v>51</v>
      </c>
      <c r="D1067" s="2">
        <v>41819</v>
      </c>
      <c r="E1067" s="1" t="s">
        <v>31</v>
      </c>
      <c r="F1067" s="1" t="s">
        <v>311</v>
      </c>
      <c r="G1067" s="1">
        <v>22</v>
      </c>
      <c r="H1067" s="1">
        <v>73.98</v>
      </c>
      <c r="I1067" s="1">
        <f t="shared" si="48"/>
        <v>1627.5600000000002</v>
      </c>
      <c r="J1067" t="str">
        <f t="shared" si="49"/>
        <v>High</v>
      </c>
      <c r="K1067" s="1"/>
      <c r="L1067" s="1">
        <v>0.05</v>
      </c>
      <c r="M1067" s="1">
        <v>12.14</v>
      </c>
      <c r="N1067" s="1" t="s">
        <v>33</v>
      </c>
      <c r="O1067" s="1" t="s">
        <v>34</v>
      </c>
      <c r="P1067" s="2">
        <v>41820</v>
      </c>
      <c r="Q1067" s="2" t="b">
        <f t="shared" si="50"/>
        <v>0</v>
      </c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  <c r="AG1067" s="2"/>
      <c r="AH1067" s="2"/>
      <c r="AI1067" s="2"/>
    </row>
    <row r="1068" spans="1:35" ht="14.25" customHeight="1" x14ac:dyDescent="0.2">
      <c r="A1068" s="1">
        <v>2211</v>
      </c>
      <c r="B1068" s="1" t="s">
        <v>1065</v>
      </c>
      <c r="C1068" s="1" t="s">
        <v>21</v>
      </c>
      <c r="D1068" s="2">
        <v>41819</v>
      </c>
      <c r="E1068" s="1" t="s">
        <v>31</v>
      </c>
      <c r="F1068" s="1" t="s">
        <v>981</v>
      </c>
      <c r="G1068" s="1">
        <v>14</v>
      </c>
      <c r="H1068" s="1">
        <v>5.98</v>
      </c>
      <c r="I1068" s="1">
        <f t="shared" si="48"/>
        <v>83.72</v>
      </c>
      <c r="J1068" t="str">
        <f t="shared" si="49"/>
        <v>Low</v>
      </c>
      <c r="K1068" s="1"/>
      <c r="L1068" s="1">
        <v>0</v>
      </c>
      <c r="M1068" s="1">
        <v>7.15</v>
      </c>
      <c r="N1068" s="1" t="s">
        <v>33</v>
      </c>
      <c r="O1068" s="1" t="s">
        <v>34</v>
      </c>
      <c r="P1068" s="2">
        <v>41821</v>
      </c>
      <c r="Q1068" s="2" t="b">
        <f t="shared" si="50"/>
        <v>0</v>
      </c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  <c r="AG1068" s="2"/>
      <c r="AH1068" s="2"/>
      <c r="AI1068" s="2"/>
    </row>
    <row r="1069" spans="1:35" ht="14.25" customHeight="1" x14ac:dyDescent="0.2">
      <c r="A1069" s="1">
        <v>2211</v>
      </c>
      <c r="B1069" s="1" t="s">
        <v>1065</v>
      </c>
      <c r="C1069" s="1" t="s">
        <v>21</v>
      </c>
      <c r="D1069" s="2">
        <v>41819</v>
      </c>
      <c r="E1069" s="1" t="s">
        <v>31</v>
      </c>
      <c r="F1069" s="1" t="s">
        <v>1168</v>
      </c>
      <c r="G1069" s="1">
        <v>23</v>
      </c>
      <c r="H1069" s="1">
        <v>3.57</v>
      </c>
      <c r="I1069" s="1">
        <f t="shared" si="48"/>
        <v>82.11</v>
      </c>
      <c r="J1069" t="str">
        <f t="shared" si="49"/>
        <v>Low</v>
      </c>
      <c r="K1069" s="1"/>
      <c r="L1069" s="1">
        <v>0.09</v>
      </c>
      <c r="M1069" s="1">
        <v>4.17</v>
      </c>
      <c r="N1069" s="1" t="s">
        <v>33</v>
      </c>
      <c r="O1069" s="1" t="s">
        <v>84</v>
      </c>
      <c r="P1069" s="2">
        <v>41821</v>
      </c>
      <c r="Q1069" s="2" t="b">
        <f t="shared" si="50"/>
        <v>0</v>
      </c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  <c r="AG1069" s="2"/>
      <c r="AH1069" s="2"/>
      <c r="AI1069" s="2"/>
    </row>
    <row r="1070" spans="1:35" ht="14.25" customHeight="1" x14ac:dyDescent="0.2">
      <c r="A1070" s="1">
        <v>25063</v>
      </c>
      <c r="B1070" s="1" t="s">
        <v>1022</v>
      </c>
      <c r="C1070" s="1" t="s">
        <v>51</v>
      </c>
      <c r="D1070" s="2">
        <v>41819</v>
      </c>
      <c r="E1070" s="1" t="s">
        <v>22</v>
      </c>
      <c r="F1070" s="1" t="s">
        <v>596</v>
      </c>
      <c r="G1070" s="1">
        <v>24</v>
      </c>
      <c r="H1070" s="1">
        <v>35.99</v>
      </c>
      <c r="I1070" s="1">
        <f t="shared" si="48"/>
        <v>863.76</v>
      </c>
      <c r="J1070" t="str">
        <f t="shared" si="49"/>
        <v>Low</v>
      </c>
      <c r="K1070" s="1"/>
      <c r="L1070" s="1">
        <v>0.04</v>
      </c>
      <c r="M1070" s="1">
        <v>3.3</v>
      </c>
      <c r="N1070" s="1" t="s">
        <v>33</v>
      </c>
      <c r="O1070" s="1" t="s">
        <v>84</v>
      </c>
      <c r="P1070" s="2">
        <v>41819</v>
      </c>
      <c r="Q1070" s="2" t="b">
        <f t="shared" si="50"/>
        <v>0</v>
      </c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  <c r="AG1070" s="2"/>
      <c r="AH1070" s="2"/>
      <c r="AI1070" s="2"/>
    </row>
    <row r="1071" spans="1:35" ht="14.25" customHeight="1" x14ac:dyDescent="0.2">
      <c r="A1071" s="1">
        <v>40224</v>
      </c>
      <c r="B1071" s="1" t="s">
        <v>501</v>
      </c>
      <c r="C1071" s="1" t="s">
        <v>30</v>
      </c>
      <c r="D1071" s="2">
        <v>41820</v>
      </c>
      <c r="E1071" s="1" t="s">
        <v>43</v>
      </c>
      <c r="F1071" s="1" t="s">
        <v>1169</v>
      </c>
      <c r="G1071" s="1">
        <v>14</v>
      </c>
      <c r="H1071" s="1">
        <v>63.94</v>
      </c>
      <c r="I1071" s="1">
        <f t="shared" si="48"/>
        <v>895.16</v>
      </c>
      <c r="J1071" t="str">
        <f t="shared" si="49"/>
        <v>Low</v>
      </c>
      <c r="K1071" s="1"/>
      <c r="L1071" s="1">
        <v>0.05</v>
      </c>
      <c r="M1071" s="1">
        <v>14.48</v>
      </c>
      <c r="N1071" s="1" t="s">
        <v>25</v>
      </c>
      <c r="O1071" s="1" t="s">
        <v>34</v>
      </c>
      <c r="P1071" s="2">
        <v>41827</v>
      </c>
      <c r="Q1071" s="2" t="b">
        <f t="shared" si="50"/>
        <v>0</v>
      </c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  <c r="AG1071" s="2"/>
      <c r="AH1071" s="2"/>
      <c r="AI1071" s="2"/>
    </row>
    <row r="1072" spans="1:35" ht="14.25" customHeight="1" x14ac:dyDescent="0.2">
      <c r="A1072" s="1">
        <v>42279</v>
      </c>
      <c r="B1072" s="1" t="s">
        <v>283</v>
      </c>
      <c r="C1072" s="1" t="s">
        <v>30</v>
      </c>
      <c r="D1072" s="2">
        <v>41820</v>
      </c>
      <c r="E1072" s="1" t="s">
        <v>22</v>
      </c>
      <c r="F1072" s="1" t="s">
        <v>1106</v>
      </c>
      <c r="G1072" s="1">
        <v>44</v>
      </c>
      <c r="H1072" s="1">
        <v>30.98</v>
      </c>
      <c r="I1072" s="1">
        <f t="shared" si="48"/>
        <v>1363.1200000000001</v>
      </c>
      <c r="J1072" t="str">
        <f t="shared" si="49"/>
        <v>High</v>
      </c>
      <c r="K1072" s="1"/>
      <c r="L1072" s="1">
        <v>0.02</v>
      </c>
      <c r="M1072" s="1">
        <v>6.5</v>
      </c>
      <c r="N1072" s="1" t="s">
        <v>25</v>
      </c>
      <c r="O1072" s="1" t="s">
        <v>34</v>
      </c>
      <c r="P1072" s="2">
        <v>41821</v>
      </c>
      <c r="Q1072" s="2" t="b">
        <f t="shared" si="50"/>
        <v>0</v>
      </c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  <c r="AG1072" s="2"/>
      <c r="AH1072" s="2"/>
      <c r="AI1072" s="2"/>
    </row>
    <row r="1073" spans="1:35" ht="14.25" customHeight="1" x14ac:dyDescent="0.2">
      <c r="A1073" s="1">
        <v>20135</v>
      </c>
      <c r="B1073" s="1" t="s">
        <v>1170</v>
      </c>
      <c r="C1073" s="1" t="s">
        <v>51</v>
      </c>
      <c r="D1073" s="2">
        <v>41820</v>
      </c>
      <c r="E1073" s="1" t="s">
        <v>38</v>
      </c>
      <c r="F1073" s="1" t="s">
        <v>1023</v>
      </c>
      <c r="G1073" s="1">
        <v>44</v>
      </c>
      <c r="H1073" s="1">
        <v>2.61</v>
      </c>
      <c r="I1073" s="1">
        <f t="shared" si="48"/>
        <v>114.83999999999999</v>
      </c>
      <c r="J1073" t="str">
        <f t="shared" si="49"/>
        <v>Low</v>
      </c>
      <c r="K1073" s="1"/>
      <c r="L1073" s="1">
        <v>0.03</v>
      </c>
      <c r="M1073" s="1">
        <v>0.5</v>
      </c>
      <c r="N1073" s="1" t="s">
        <v>33</v>
      </c>
      <c r="O1073" s="1" t="s">
        <v>34</v>
      </c>
      <c r="P1073" s="2">
        <v>41820</v>
      </c>
      <c r="Q1073" s="2" t="b">
        <f t="shared" si="50"/>
        <v>0</v>
      </c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  <c r="AG1073" s="2"/>
      <c r="AH1073" s="2"/>
      <c r="AI1073" s="2"/>
    </row>
    <row r="1074" spans="1:35" ht="14.25" customHeight="1" x14ac:dyDescent="0.2">
      <c r="A1074" s="1">
        <v>20135</v>
      </c>
      <c r="B1074" s="1" t="s">
        <v>1170</v>
      </c>
      <c r="C1074" s="1" t="s">
        <v>51</v>
      </c>
      <c r="D1074" s="2">
        <v>41820</v>
      </c>
      <c r="E1074" s="1" t="s">
        <v>38</v>
      </c>
      <c r="F1074" s="1" t="s">
        <v>811</v>
      </c>
      <c r="G1074" s="1">
        <v>28</v>
      </c>
      <c r="H1074" s="1">
        <v>349.45</v>
      </c>
      <c r="I1074" s="1">
        <f t="shared" si="48"/>
        <v>9784.6</v>
      </c>
      <c r="J1074" t="str">
        <f t="shared" si="49"/>
        <v>High</v>
      </c>
      <c r="K1074" s="1"/>
      <c r="L1074" s="1">
        <v>0.08</v>
      </c>
      <c r="M1074" s="1">
        <v>60</v>
      </c>
      <c r="N1074" s="1" t="s">
        <v>45</v>
      </c>
      <c r="O1074" s="1" t="s">
        <v>46</v>
      </c>
      <c r="P1074" s="2">
        <v>41822</v>
      </c>
      <c r="Q1074" s="2" t="b">
        <f t="shared" si="50"/>
        <v>0</v>
      </c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  <c r="AG1074" s="2"/>
      <c r="AH1074" s="2"/>
      <c r="AI1074" s="2"/>
    </row>
    <row r="1075" spans="1:35" ht="14.25" customHeight="1" x14ac:dyDescent="0.2">
      <c r="A1075" s="1">
        <v>55746</v>
      </c>
      <c r="B1075" s="1" t="s">
        <v>915</v>
      </c>
      <c r="C1075" s="1" t="s">
        <v>30</v>
      </c>
      <c r="D1075" s="2">
        <v>41820</v>
      </c>
      <c r="E1075" s="1" t="s">
        <v>22</v>
      </c>
      <c r="F1075" s="1" t="s">
        <v>497</v>
      </c>
      <c r="G1075" s="1">
        <v>29</v>
      </c>
      <c r="H1075" s="1">
        <v>11.29</v>
      </c>
      <c r="I1075" s="1">
        <f t="shared" si="48"/>
        <v>327.40999999999997</v>
      </c>
      <c r="J1075" t="str">
        <f t="shared" si="49"/>
        <v>Low</v>
      </c>
      <c r="K1075" s="1"/>
      <c r="L1075" s="1">
        <v>7.0000000000000007E-2</v>
      </c>
      <c r="M1075" s="1">
        <v>5.03</v>
      </c>
      <c r="N1075" s="1" t="s">
        <v>33</v>
      </c>
      <c r="O1075" s="1" t="s">
        <v>34</v>
      </c>
      <c r="P1075" s="2">
        <v>41822</v>
      </c>
      <c r="Q1075" s="2" t="b">
        <f t="shared" si="50"/>
        <v>0</v>
      </c>
      <c r="V1075" s="2"/>
      <c r="W1075" s="2"/>
      <c r="X1075" s="2"/>
      <c r="Y1075" s="2"/>
      <c r="Z1075" s="2"/>
      <c r="AA1075" s="2"/>
      <c r="AB1075" s="2"/>
      <c r="AC1075" s="2"/>
      <c r="AD1075" s="2"/>
      <c r="AE1075" s="2"/>
      <c r="AF1075" s="2"/>
      <c r="AG1075" s="2"/>
      <c r="AH1075" s="2"/>
      <c r="AI1075" s="2"/>
    </row>
    <row r="1076" spans="1:35" ht="14.25" customHeight="1" x14ac:dyDescent="0.2">
      <c r="A1076" s="1">
        <v>36647</v>
      </c>
      <c r="B1076" s="1" t="s">
        <v>885</v>
      </c>
      <c r="C1076" s="1" t="s">
        <v>30</v>
      </c>
      <c r="D1076" s="2">
        <v>41820</v>
      </c>
      <c r="E1076" s="1" t="s">
        <v>31</v>
      </c>
      <c r="F1076" s="1" t="s">
        <v>1171</v>
      </c>
      <c r="G1076" s="1">
        <v>21</v>
      </c>
      <c r="H1076" s="1">
        <v>7.89</v>
      </c>
      <c r="I1076" s="1">
        <f t="shared" si="48"/>
        <v>165.69</v>
      </c>
      <c r="J1076" t="str">
        <f t="shared" si="49"/>
        <v>Low</v>
      </c>
      <c r="K1076" s="1"/>
      <c r="L1076" s="1">
        <v>0.01</v>
      </c>
      <c r="M1076" s="1">
        <v>2.82</v>
      </c>
      <c r="N1076" s="1" t="s">
        <v>33</v>
      </c>
      <c r="O1076" s="1" t="s">
        <v>55</v>
      </c>
      <c r="P1076" s="2">
        <v>41821</v>
      </c>
      <c r="Q1076" s="2" t="b">
        <f t="shared" si="50"/>
        <v>0</v>
      </c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  <c r="AG1076" s="2"/>
      <c r="AH1076" s="2"/>
      <c r="AI1076" s="2"/>
    </row>
    <row r="1077" spans="1:35" ht="14.25" customHeight="1" x14ac:dyDescent="0.2">
      <c r="A1077" s="1">
        <v>36647</v>
      </c>
      <c r="B1077" s="1" t="s">
        <v>885</v>
      </c>
      <c r="C1077" s="1" t="s">
        <v>21</v>
      </c>
      <c r="D1077" s="2">
        <v>41820</v>
      </c>
      <c r="E1077" s="1" t="s">
        <v>31</v>
      </c>
      <c r="F1077" s="1" t="s">
        <v>970</v>
      </c>
      <c r="G1077" s="1">
        <v>16</v>
      </c>
      <c r="H1077" s="1">
        <v>3.68</v>
      </c>
      <c r="I1077" s="1">
        <f t="shared" si="48"/>
        <v>58.88</v>
      </c>
      <c r="J1077" t="str">
        <f t="shared" si="49"/>
        <v>Low</v>
      </c>
      <c r="K1077" s="1"/>
      <c r="L1077" s="1">
        <v>0.09</v>
      </c>
      <c r="M1077" s="1">
        <v>1.32</v>
      </c>
      <c r="N1077" s="1" t="s">
        <v>33</v>
      </c>
      <c r="O1077" s="1" t="s">
        <v>55</v>
      </c>
      <c r="P1077" s="2">
        <v>41821</v>
      </c>
      <c r="Q1077" s="2" t="b">
        <f t="shared" si="50"/>
        <v>0</v>
      </c>
      <c r="V1077" s="2"/>
      <c r="W1077" s="2"/>
      <c r="X1077" s="2"/>
      <c r="Y1077" s="2"/>
      <c r="Z1077" s="2"/>
      <c r="AA1077" s="2"/>
      <c r="AB1077" s="2"/>
      <c r="AC1077" s="2"/>
      <c r="AD1077" s="2"/>
      <c r="AE1077" s="2"/>
      <c r="AF1077" s="2"/>
      <c r="AG1077" s="2"/>
      <c r="AH1077" s="2"/>
      <c r="AI1077" s="2"/>
    </row>
    <row r="1078" spans="1:35" ht="14.25" customHeight="1" x14ac:dyDescent="0.2">
      <c r="A1078" s="1">
        <v>36647</v>
      </c>
      <c r="B1078" s="1" t="s">
        <v>885</v>
      </c>
      <c r="C1078" s="1" t="s">
        <v>51</v>
      </c>
      <c r="D1078" s="2">
        <v>41820</v>
      </c>
      <c r="E1078" s="1" t="s">
        <v>31</v>
      </c>
      <c r="F1078" s="1" t="s">
        <v>474</v>
      </c>
      <c r="G1078" s="1">
        <v>18</v>
      </c>
      <c r="H1078" s="1">
        <v>9.7100000000000009</v>
      </c>
      <c r="I1078" s="1">
        <f t="shared" si="48"/>
        <v>174.78000000000003</v>
      </c>
      <c r="J1078" t="str">
        <f t="shared" si="49"/>
        <v>Low</v>
      </c>
      <c r="K1078" s="1"/>
      <c r="L1078" s="1">
        <v>0.1</v>
      </c>
      <c r="M1078" s="1">
        <v>9.4499999999999993</v>
      </c>
      <c r="N1078" s="1" t="s">
        <v>33</v>
      </c>
      <c r="O1078" s="1" t="s">
        <v>34</v>
      </c>
      <c r="P1078" s="2">
        <v>41823</v>
      </c>
      <c r="Q1078" s="2" t="b">
        <f t="shared" si="50"/>
        <v>0</v>
      </c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  <c r="AG1078" s="2"/>
      <c r="AH1078" s="2"/>
      <c r="AI1078" s="2"/>
    </row>
    <row r="1079" spans="1:35" ht="14.25" customHeight="1" x14ac:dyDescent="0.2">
      <c r="A1079" s="1">
        <v>34374</v>
      </c>
      <c r="B1079" s="1" t="s">
        <v>1172</v>
      </c>
      <c r="C1079" s="1" t="s">
        <v>21</v>
      </c>
      <c r="D1079" s="2">
        <v>41820</v>
      </c>
      <c r="E1079" s="1" t="s">
        <v>43</v>
      </c>
      <c r="F1079" s="1" t="s">
        <v>530</v>
      </c>
      <c r="G1079" s="1">
        <v>42</v>
      </c>
      <c r="H1079" s="1">
        <v>8.33</v>
      </c>
      <c r="I1079" s="1">
        <f t="shared" si="48"/>
        <v>349.86</v>
      </c>
      <c r="J1079" t="str">
        <f t="shared" si="49"/>
        <v>Low</v>
      </c>
      <c r="K1079" s="1"/>
      <c r="L1079" s="1">
        <v>0.04</v>
      </c>
      <c r="M1079" s="1">
        <v>1.99</v>
      </c>
      <c r="N1079" s="1" t="s">
        <v>33</v>
      </c>
      <c r="O1079" s="1" t="s">
        <v>84</v>
      </c>
      <c r="P1079" s="2">
        <v>41827</v>
      </c>
      <c r="Q1079" s="2" t="b">
        <f t="shared" si="50"/>
        <v>0</v>
      </c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  <c r="AG1079" s="2"/>
      <c r="AH1079" s="2"/>
      <c r="AI1079" s="2"/>
    </row>
    <row r="1080" spans="1:35" ht="14.25" customHeight="1" x14ac:dyDescent="0.2">
      <c r="A1080" s="1">
        <v>34275</v>
      </c>
      <c r="B1080" s="1" t="s">
        <v>934</v>
      </c>
      <c r="C1080" s="1" t="s">
        <v>30</v>
      </c>
      <c r="D1080" s="2">
        <v>41821</v>
      </c>
      <c r="E1080" s="1" t="s">
        <v>43</v>
      </c>
      <c r="F1080" s="1" t="s">
        <v>690</v>
      </c>
      <c r="G1080" s="1">
        <v>27</v>
      </c>
      <c r="H1080" s="1">
        <v>4.84</v>
      </c>
      <c r="I1080" s="1">
        <f t="shared" si="48"/>
        <v>130.68</v>
      </c>
      <c r="J1080" t="str">
        <f t="shared" si="49"/>
        <v>Low</v>
      </c>
      <c r="K1080" s="1"/>
      <c r="L1080" s="1">
        <v>7.0000000000000007E-2</v>
      </c>
      <c r="M1080" s="1">
        <v>0.71</v>
      </c>
      <c r="N1080" s="1" t="s">
        <v>33</v>
      </c>
      <c r="O1080" s="1" t="s">
        <v>55</v>
      </c>
      <c r="P1080" s="2">
        <v>41823</v>
      </c>
      <c r="Q1080" s="2" t="b">
        <f t="shared" si="50"/>
        <v>0</v>
      </c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  <c r="AG1080" s="2"/>
      <c r="AH1080" s="2"/>
      <c r="AI1080" s="2"/>
    </row>
    <row r="1081" spans="1:35" ht="14.25" customHeight="1" x14ac:dyDescent="0.2">
      <c r="A1081" s="1">
        <v>47494</v>
      </c>
      <c r="B1081" s="1" t="s">
        <v>369</v>
      </c>
      <c r="C1081" s="1" t="s">
        <v>21</v>
      </c>
      <c r="D1081" s="2">
        <v>41821</v>
      </c>
      <c r="E1081" s="1" t="s">
        <v>31</v>
      </c>
      <c r="F1081" s="1" t="s">
        <v>368</v>
      </c>
      <c r="G1081" s="1">
        <v>42</v>
      </c>
      <c r="H1081" s="1">
        <v>45.19</v>
      </c>
      <c r="I1081" s="1">
        <f t="shared" si="48"/>
        <v>1897.98</v>
      </c>
      <c r="J1081" t="str">
        <f t="shared" si="49"/>
        <v>High</v>
      </c>
      <c r="K1081" s="1"/>
      <c r="L1081" s="1">
        <v>0.04</v>
      </c>
      <c r="M1081" s="1">
        <v>1.99</v>
      </c>
      <c r="N1081" s="1" t="s">
        <v>33</v>
      </c>
      <c r="O1081" s="1" t="s">
        <v>84</v>
      </c>
      <c r="P1081" s="2">
        <v>41822</v>
      </c>
      <c r="Q1081" s="2" t="b">
        <f t="shared" si="50"/>
        <v>0</v>
      </c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  <c r="AG1081" s="2"/>
      <c r="AH1081" s="2"/>
      <c r="AI1081" s="2"/>
    </row>
    <row r="1082" spans="1:35" ht="14.25" customHeight="1" x14ac:dyDescent="0.2">
      <c r="A1082" s="1">
        <v>47494</v>
      </c>
      <c r="B1082" s="1" t="s">
        <v>369</v>
      </c>
      <c r="C1082" s="1" t="s">
        <v>51</v>
      </c>
      <c r="D1082" s="2">
        <v>41821</v>
      </c>
      <c r="E1082" s="1" t="s">
        <v>31</v>
      </c>
      <c r="F1082" s="1" t="s">
        <v>985</v>
      </c>
      <c r="G1082" s="1">
        <v>9</v>
      </c>
      <c r="H1082" s="1">
        <v>4.9800000000000004</v>
      </c>
      <c r="I1082" s="1">
        <f t="shared" si="48"/>
        <v>44.820000000000007</v>
      </c>
      <c r="J1082" t="str">
        <f t="shared" si="49"/>
        <v>Low</v>
      </c>
      <c r="K1082" s="1"/>
      <c r="L1082" s="1">
        <v>0.03</v>
      </c>
      <c r="M1082" s="1">
        <v>6.07</v>
      </c>
      <c r="N1082" s="1" t="s">
        <v>33</v>
      </c>
      <c r="O1082" s="1" t="s">
        <v>34</v>
      </c>
      <c r="P1082" s="2">
        <v>41821</v>
      </c>
      <c r="Q1082" s="2" t="b">
        <f t="shared" si="50"/>
        <v>0</v>
      </c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  <c r="AG1082" s="2"/>
      <c r="AH1082" s="2"/>
      <c r="AI1082" s="2"/>
    </row>
    <row r="1083" spans="1:35" ht="14.25" customHeight="1" x14ac:dyDescent="0.2">
      <c r="A1083" s="1">
        <v>41216</v>
      </c>
      <c r="B1083" s="1" t="s">
        <v>1173</v>
      </c>
      <c r="C1083" s="1" t="s">
        <v>30</v>
      </c>
      <c r="D1083" s="2">
        <v>41821</v>
      </c>
      <c r="E1083" s="1" t="s">
        <v>22</v>
      </c>
      <c r="F1083" s="1" t="s">
        <v>1174</v>
      </c>
      <c r="G1083" s="1">
        <v>8</v>
      </c>
      <c r="H1083" s="1">
        <v>29.17</v>
      </c>
      <c r="I1083" s="1">
        <f t="shared" si="48"/>
        <v>233.36</v>
      </c>
      <c r="J1083" t="str">
        <f t="shared" si="49"/>
        <v>Low</v>
      </c>
      <c r="K1083" s="1"/>
      <c r="L1083" s="1">
        <v>0.02</v>
      </c>
      <c r="M1083" s="1">
        <v>6.27</v>
      </c>
      <c r="N1083" s="1" t="s">
        <v>33</v>
      </c>
      <c r="O1083" s="1" t="s">
        <v>34</v>
      </c>
      <c r="P1083" s="2">
        <v>41822</v>
      </c>
      <c r="Q1083" s="2" t="b">
        <f t="shared" si="50"/>
        <v>0</v>
      </c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  <c r="AG1083" s="2"/>
      <c r="AH1083" s="2"/>
      <c r="AI1083" s="2"/>
    </row>
    <row r="1084" spans="1:35" ht="14.25" customHeight="1" x14ac:dyDescent="0.2">
      <c r="A1084" s="1">
        <v>41216</v>
      </c>
      <c r="B1084" s="1" t="s">
        <v>1173</v>
      </c>
      <c r="C1084" s="1" t="s">
        <v>30</v>
      </c>
      <c r="D1084" s="2">
        <v>41821</v>
      </c>
      <c r="E1084" s="1" t="s">
        <v>22</v>
      </c>
      <c r="F1084" s="1" t="s">
        <v>237</v>
      </c>
      <c r="G1084" s="1">
        <v>45</v>
      </c>
      <c r="H1084" s="1">
        <v>179.29</v>
      </c>
      <c r="I1084" s="1">
        <f t="shared" si="48"/>
        <v>8068.0499999999993</v>
      </c>
      <c r="J1084" t="str">
        <f t="shared" si="49"/>
        <v>High</v>
      </c>
      <c r="K1084" s="1"/>
      <c r="L1084" s="1">
        <v>0</v>
      </c>
      <c r="M1084" s="1">
        <v>29.21</v>
      </c>
      <c r="N1084" s="1" t="s">
        <v>45</v>
      </c>
      <c r="O1084" s="1" t="s">
        <v>63</v>
      </c>
      <c r="P1084" s="2">
        <v>41823</v>
      </c>
      <c r="Q1084" s="2" t="b">
        <f t="shared" si="50"/>
        <v>0</v>
      </c>
      <c r="V1084" s="2"/>
      <c r="W1084" s="2"/>
      <c r="X1084" s="2"/>
      <c r="Y1084" s="2"/>
      <c r="Z1084" s="2"/>
      <c r="AA1084" s="2"/>
      <c r="AB1084" s="2"/>
      <c r="AC1084" s="2"/>
      <c r="AD1084" s="2"/>
      <c r="AE1084" s="2"/>
      <c r="AF1084" s="2"/>
      <c r="AG1084" s="2"/>
      <c r="AH1084" s="2"/>
      <c r="AI1084" s="2"/>
    </row>
    <row r="1085" spans="1:35" ht="14.25" customHeight="1" x14ac:dyDescent="0.2">
      <c r="A1085" s="1">
        <v>21602</v>
      </c>
      <c r="B1085" s="1" t="s">
        <v>688</v>
      </c>
      <c r="C1085" s="1" t="s">
        <v>30</v>
      </c>
      <c r="D1085" s="2">
        <v>41821</v>
      </c>
      <c r="E1085" s="1" t="s">
        <v>38</v>
      </c>
      <c r="F1085" s="1" t="s">
        <v>467</v>
      </c>
      <c r="G1085" s="1">
        <v>6</v>
      </c>
      <c r="H1085" s="1">
        <v>348.21</v>
      </c>
      <c r="I1085" s="1">
        <f t="shared" si="48"/>
        <v>2089.2599999999998</v>
      </c>
      <c r="J1085" t="str">
        <f t="shared" si="49"/>
        <v>High</v>
      </c>
      <c r="K1085" s="1"/>
      <c r="L1085" s="1">
        <v>0.01</v>
      </c>
      <c r="M1085" s="1">
        <v>40.19</v>
      </c>
      <c r="N1085" s="1" t="s">
        <v>45</v>
      </c>
      <c r="O1085" s="1" t="s">
        <v>63</v>
      </c>
      <c r="P1085" s="2">
        <v>41824</v>
      </c>
      <c r="Q1085" s="2" t="b">
        <f t="shared" si="50"/>
        <v>0</v>
      </c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  <c r="AG1085" s="2"/>
      <c r="AH1085" s="2"/>
      <c r="AI1085" s="2"/>
    </row>
    <row r="1086" spans="1:35" ht="14.25" customHeight="1" x14ac:dyDescent="0.2">
      <c r="A1086" s="1">
        <v>34276</v>
      </c>
      <c r="B1086" s="1" t="s">
        <v>194</v>
      </c>
      <c r="C1086" s="1" t="s">
        <v>30</v>
      </c>
      <c r="D1086" s="2">
        <v>41821</v>
      </c>
      <c r="E1086" s="1" t="s">
        <v>43</v>
      </c>
      <c r="F1086" s="1" t="s">
        <v>443</v>
      </c>
      <c r="G1086" s="1">
        <v>3</v>
      </c>
      <c r="H1086" s="1">
        <v>2036.48</v>
      </c>
      <c r="I1086" s="1">
        <f t="shared" si="48"/>
        <v>6109.4400000000005</v>
      </c>
      <c r="J1086" t="str">
        <f t="shared" si="49"/>
        <v>High</v>
      </c>
      <c r="K1086" s="1"/>
      <c r="L1086" s="1">
        <v>0.04</v>
      </c>
      <c r="M1086" s="1">
        <v>14.7</v>
      </c>
      <c r="N1086" s="1" t="s">
        <v>45</v>
      </c>
      <c r="O1086" s="1" t="s">
        <v>46</v>
      </c>
      <c r="P1086" s="2">
        <v>41826</v>
      </c>
      <c r="Q1086" s="2" t="b">
        <f t="shared" si="50"/>
        <v>0</v>
      </c>
      <c r="V1086" s="2"/>
      <c r="W1086" s="2"/>
      <c r="X1086" s="2"/>
      <c r="Y1086" s="2"/>
      <c r="Z1086" s="2"/>
      <c r="AA1086" s="2"/>
      <c r="AB1086" s="2"/>
      <c r="AC1086" s="2"/>
      <c r="AD1086" s="2"/>
      <c r="AE1086" s="2"/>
      <c r="AF1086" s="2"/>
      <c r="AG1086" s="2"/>
      <c r="AH1086" s="2"/>
      <c r="AI1086" s="2"/>
    </row>
    <row r="1087" spans="1:35" ht="14.25" customHeight="1" x14ac:dyDescent="0.2">
      <c r="A1087" s="1">
        <v>8997</v>
      </c>
      <c r="B1087" s="1" t="s">
        <v>674</v>
      </c>
      <c r="C1087" s="1" t="s">
        <v>51</v>
      </c>
      <c r="D1087" s="2">
        <v>41821</v>
      </c>
      <c r="E1087" s="1" t="s">
        <v>43</v>
      </c>
      <c r="F1087" s="1" t="s">
        <v>1103</v>
      </c>
      <c r="G1087" s="1">
        <v>40</v>
      </c>
      <c r="H1087" s="1">
        <v>449.99</v>
      </c>
      <c r="I1087" s="1">
        <f t="shared" si="48"/>
        <v>17999.599999999999</v>
      </c>
      <c r="J1087" t="str">
        <f t="shared" si="49"/>
        <v>High</v>
      </c>
      <c r="K1087" s="1"/>
      <c r="L1087" s="1">
        <v>0.04</v>
      </c>
      <c r="M1087" s="1">
        <v>24.49</v>
      </c>
      <c r="N1087" s="1" t="s">
        <v>33</v>
      </c>
      <c r="O1087" s="1" t="s">
        <v>26</v>
      </c>
      <c r="P1087" s="2">
        <v>41825</v>
      </c>
      <c r="Q1087" s="2" t="b">
        <f t="shared" si="50"/>
        <v>0</v>
      </c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  <c r="AG1087" s="2"/>
      <c r="AH1087" s="2"/>
      <c r="AI1087" s="2"/>
    </row>
    <row r="1088" spans="1:35" ht="14.25" customHeight="1" x14ac:dyDescent="0.2">
      <c r="A1088" s="1">
        <v>8997</v>
      </c>
      <c r="B1088" s="1" t="s">
        <v>674</v>
      </c>
      <c r="C1088" s="1" t="s">
        <v>30</v>
      </c>
      <c r="D1088" s="2">
        <v>41821</v>
      </c>
      <c r="E1088" s="1" t="s">
        <v>43</v>
      </c>
      <c r="F1088" s="1" t="s">
        <v>1175</v>
      </c>
      <c r="G1088" s="1">
        <v>20</v>
      </c>
      <c r="H1088" s="1">
        <v>5.84</v>
      </c>
      <c r="I1088" s="1">
        <f t="shared" si="48"/>
        <v>116.8</v>
      </c>
      <c r="J1088" t="str">
        <f t="shared" si="49"/>
        <v>Low</v>
      </c>
      <c r="K1088" s="1"/>
      <c r="L1088" s="1">
        <v>0.01</v>
      </c>
      <c r="M1088" s="1">
        <v>1.2</v>
      </c>
      <c r="N1088" s="1" t="s">
        <v>33</v>
      </c>
      <c r="O1088" s="1" t="s">
        <v>55</v>
      </c>
      <c r="P1088" s="2">
        <v>41830</v>
      </c>
      <c r="Q1088" s="2" t="b">
        <f t="shared" si="50"/>
        <v>0</v>
      </c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  <c r="AG1088" s="2"/>
      <c r="AH1088" s="2"/>
      <c r="AI1088" s="2"/>
    </row>
    <row r="1089" spans="1:35" ht="14.25" customHeight="1" x14ac:dyDescent="0.2">
      <c r="A1089" s="1">
        <v>54019</v>
      </c>
      <c r="B1089" s="1" t="s">
        <v>1176</v>
      </c>
      <c r="C1089" s="1" t="s">
        <v>21</v>
      </c>
      <c r="D1089" s="2">
        <v>41821</v>
      </c>
      <c r="E1089" s="1" t="s">
        <v>43</v>
      </c>
      <c r="F1089" s="1" t="s">
        <v>81</v>
      </c>
      <c r="G1089" s="1">
        <v>35</v>
      </c>
      <c r="H1089" s="1">
        <v>120.97</v>
      </c>
      <c r="I1089" s="1">
        <f t="shared" si="48"/>
        <v>4233.95</v>
      </c>
      <c r="J1089" t="str">
        <f t="shared" si="49"/>
        <v>High</v>
      </c>
      <c r="K1089" s="1"/>
      <c r="L1089" s="1">
        <v>0.08</v>
      </c>
      <c r="M1089" s="1">
        <v>26.3</v>
      </c>
      <c r="N1089" s="1" t="s">
        <v>45</v>
      </c>
      <c r="O1089" s="1" t="s">
        <v>46</v>
      </c>
      <c r="P1089" s="2">
        <v>41828</v>
      </c>
      <c r="Q1089" s="2" t="b">
        <f t="shared" si="50"/>
        <v>0</v>
      </c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  <c r="AG1089" s="2"/>
      <c r="AH1089" s="2"/>
      <c r="AI1089" s="2"/>
    </row>
    <row r="1090" spans="1:35" ht="14.25" customHeight="1" x14ac:dyDescent="0.2">
      <c r="A1090" s="1">
        <v>29287</v>
      </c>
      <c r="B1090" s="1" t="s">
        <v>1177</v>
      </c>
      <c r="C1090" s="1" t="s">
        <v>21</v>
      </c>
      <c r="D1090" s="2">
        <v>41822</v>
      </c>
      <c r="E1090" s="1" t="s">
        <v>31</v>
      </c>
      <c r="F1090" s="1" t="s">
        <v>1178</v>
      </c>
      <c r="G1090" s="1">
        <v>50</v>
      </c>
      <c r="H1090" s="1">
        <v>5.74</v>
      </c>
      <c r="I1090" s="1">
        <f t="shared" ref="I1090:I1153" si="51">G1090*H1090</f>
        <v>287</v>
      </c>
      <c r="J1090" t="str">
        <f t="shared" ref="J1090:J1153" si="52">IF(I1090&lt;1000,"Low","High")</f>
        <v>Low</v>
      </c>
      <c r="K1090" s="1"/>
      <c r="L1090" s="1">
        <v>0.1</v>
      </c>
      <c r="M1090" s="1">
        <v>5.01</v>
      </c>
      <c r="N1090" s="1" t="s">
        <v>33</v>
      </c>
      <c r="O1090" s="1" t="s">
        <v>34</v>
      </c>
      <c r="P1090" s="2">
        <v>41824</v>
      </c>
      <c r="Q1090" s="2" t="b">
        <f t="shared" ref="Q1090:Q1153" si="53">AND(N1090="Express Air",O1090="Large Box")</f>
        <v>0</v>
      </c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  <c r="AG1090" s="2"/>
      <c r="AH1090" s="2"/>
      <c r="AI1090" s="2"/>
    </row>
    <row r="1091" spans="1:35" ht="14.25" customHeight="1" x14ac:dyDescent="0.2">
      <c r="A1091" s="1">
        <v>29287</v>
      </c>
      <c r="B1091" s="1" t="s">
        <v>1177</v>
      </c>
      <c r="C1091" s="1" t="s">
        <v>21</v>
      </c>
      <c r="D1091" s="2">
        <v>41822</v>
      </c>
      <c r="E1091" s="1" t="s">
        <v>31</v>
      </c>
      <c r="F1091" s="1" t="s">
        <v>660</v>
      </c>
      <c r="G1091" s="1">
        <v>49</v>
      </c>
      <c r="H1091" s="1">
        <v>270.97000000000003</v>
      </c>
      <c r="I1091" s="1">
        <f t="shared" si="51"/>
        <v>13277.53</v>
      </c>
      <c r="J1091" t="str">
        <f t="shared" si="52"/>
        <v>High</v>
      </c>
      <c r="K1091" s="1"/>
      <c r="L1091" s="1">
        <v>0.09</v>
      </c>
      <c r="M1091" s="1">
        <v>28.06</v>
      </c>
      <c r="N1091" s="1" t="s">
        <v>45</v>
      </c>
      <c r="O1091" s="1" t="s">
        <v>46</v>
      </c>
      <c r="P1091" s="2">
        <v>41824</v>
      </c>
      <c r="Q1091" s="2" t="b">
        <f t="shared" si="53"/>
        <v>0</v>
      </c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  <c r="AG1091" s="2"/>
      <c r="AH1091" s="2"/>
      <c r="AI1091" s="2"/>
    </row>
    <row r="1092" spans="1:35" ht="14.25" customHeight="1" x14ac:dyDescent="0.2">
      <c r="A1092" s="1">
        <v>50373</v>
      </c>
      <c r="B1092" s="1" t="s">
        <v>397</v>
      </c>
      <c r="C1092" s="1" t="s">
        <v>21</v>
      </c>
      <c r="D1092" s="2">
        <v>41822</v>
      </c>
      <c r="E1092" s="1" t="s">
        <v>38</v>
      </c>
      <c r="F1092" s="1" t="s">
        <v>166</v>
      </c>
      <c r="G1092" s="1">
        <v>9</v>
      </c>
      <c r="H1092" s="1">
        <v>161.55000000000001</v>
      </c>
      <c r="I1092" s="1">
        <f t="shared" si="51"/>
        <v>1453.95</v>
      </c>
      <c r="J1092" t="str">
        <f t="shared" si="52"/>
        <v>High</v>
      </c>
      <c r="K1092" s="1"/>
      <c r="L1092" s="1">
        <v>0.06</v>
      </c>
      <c r="M1092" s="1">
        <v>19.989999999999998</v>
      </c>
      <c r="N1092" s="1" t="s">
        <v>33</v>
      </c>
      <c r="O1092" s="1" t="s">
        <v>34</v>
      </c>
      <c r="P1092" s="2">
        <v>41823</v>
      </c>
      <c r="Q1092" s="2" t="b">
        <f t="shared" si="53"/>
        <v>0</v>
      </c>
      <c r="V1092" s="2"/>
      <c r="W1092" s="2"/>
      <c r="X1092" s="2"/>
      <c r="Y1092" s="2"/>
      <c r="Z1092" s="2"/>
      <c r="AA1092" s="2"/>
      <c r="AB1092" s="2"/>
      <c r="AC1092" s="2"/>
      <c r="AD1092" s="2"/>
      <c r="AE1092" s="2"/>
      <c r="AF1092" s="2"/>
      <c r="AG1092" s="2"/>
      <c r="AH1092" s="2"/>
      <c r="AI1092" s="2"/>
    </row>
    <row r="1093" spans="1:35" ht="14.25" customHeight="1" x14ac:dyDescent="0.2">
      <c r="A1093" s="1">
        <v>11527</v>
      </c>
      <c r="B1093" s="1" t="s">
        <v>1089</v>
      </c>
      <c r="C1093" s="1" t="s">
        <v>30</v>
      </c>
      <c r="D1093" s="2">
        <v>41822</v>
      </c>
      <c r="E1093" s="1" t="s">
        <v>101</v>
      </c>
      <c r="F1093" s="1" t="s">
        <v>1179</v>
      </c>
      <c r="G1093" s="1">
        <v>45</v>
      </c>
      <c r="H1093" s="1">
        <v>99.23</v>
      </c>
      <c r="I1093" s="1">
        <f t="shared" si="51"/>
        <v>4465.3500000000004</v>
      </c>
      <c r="J1093" t="str">
        <f t="shared" si="52"/>
        <v>High</v>
      </c>
      <c r="K1093" s="1"/>
      <c r="L1093" s="1">
        <v>0.04</v>
      </c>
      <c r="M1093" s="1">
        <v>8.99</v>
      </c>
      <c r="N1093" s="1" t="s">
        <v>33</v>
      </c>
      <c r="O1093" s="1" t="s">
        <v>84</v>
      </c>
      <c r="P1093" s="2">
        <v>41824</v>
      </c>
      <c r="Q1093" s="2" t="b">
        <f t="shared" si="53"/>
        <v>0</v>
      </c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  <c r="AG1093" s="2"/>
      <c r="AH1093" s="2"/>
      <c r="AI1093" s="2"/>
    </row>
    <row r="1094" spans="1:35" ht="14.25" customHeight="1" x14ac:dyDescent="0.2">
      <c r="A1094" s="1">
        <v>46244</v>
      </c>
      <c r="B1094" s="1" t="s">
        <v>273</v>
      </c>
      <c r="C1094" s="1" t="s">
        <v>51</v>
      </c>
      <c r="D1094" s="2">
        <v>41822</v>
      </c>
      <c r="E1094" s="1" t="s">
        <v>101</v>
      </c>
      <c r="F1094" s="1" t="s">
        <v>757</v>
      </c>
      <c r="G1094" s="1">
        <v>10</v>
      </c>
      <c r="H1094" s="1">
        <v>60.98</v>
      </c>
      <c r="I1094" s="1">
        <f t="shared" si="51"/>
        <v>609.79999999999995</v>
      </c>
      <c r="J1094" t="str">
        <f t="shared" si="52"/>
        <v>Low</v>
      </c>
      <c r="K1094" s="1"/>
      <c r="L1094" s="1">
        <v>0.09</v>
      </c>
      <c r="M1094" s="1">
        <v>30</v>
      </c>
      <c r="N1094" s="1" t="s">
        <v>45</v>
      </c>
      <c r="O1094" s="1" t="s">
        <v>46</v>
      </c>
      <c r="P1094" s="2">
        <v>41823</v>
      </c>
      <c r="Q1094" s="2" t="b">
        <f t="shared" si="53"/>
        <v>0</v>
      </c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  <c r="AG1094" s="2"/>
      <c r="AH1094" s="2"/>
      <c r="AI1094" s="2"/>
    </row>
    <row r="1095" spans="1:35" ht="14.25" customHeight="1" x14ac:dyDescent="0.2">
      <c r="A1095" s="1">
        <v>46244</v>
      </c>
      <c r="B1095" s="1" t="s">
        <v>273</v>
      </c>
      <c r="C1095" s="1" t="s">
        <v>51</v>
      </c>
      <c r="D1095" s="2">
        <v>41822</v>
      </c>
      <c r="E1095" s="1" t="s">
        <v>101</v>
      </c>
      <c r="F1095" s="1" t="s">
        <v>1180</v>
      </c>
      <c r="G1095" s="1">
        <v>9</v>
      </c>
      <c r="H1095" s="1">
        <v>17.48</v>
      </c>
      <c r="I1095" s="1">
        <f t="shared" si="51"/>
        <v>157.32</v>
      </c>
      <c r="J1095" t="str">
        <f t="shared" si="52"/>
        <v>Low</v>
      </c>
      <c r="K1095" s="1"/>
      <c r="L1095" s="1">
        <v>0.05</v>
      </c>
      <c r="M1095" s="1">
        <v>1.99</v>
      </c>
      <c r="N1095" s="1" t="s">
        <v>33</v>
      </c>
      <c r="O1095" s="1" t="s">
        <v>84</v>
      </c>
      <c r="P1095" s="2">
        <v>41824</v>
      </c>
      <c r="Q1095" s="2" t="b">
        <f t="shared" si="53"/>
        <v>0</v>
      </c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  <c r="AG1095" s="2"/>
      <c r="AH1095" s="2"/>
      <c r="AI1095" s="2"/>
    </row>
    <row r="1096" spans="1:35" ht="14.25" customHeight="1" x14ac:dyDescent="0.2">
      <c r="A1096" s="1">
        <v>7782</v>
      </c>
      <c r="B1096" s="1" t="s">
        <v>597</v>
      </c>
      <c r="C1096" s="1" t="s">
        <v>51</v>
      </c>
      <c r="D1096" s="2">
        <v>41822</v>
      </c>
      <c r="E1096" s="1" t="s">
        <v>38</v>
      </c>
      <c r="F1096" s="1" t="s">
        <v>1044</v>
      </c>
      <c r="G1096" s="1">
        <v>20</v>
      </c>
      <c r="H1096" s="1">
        <v>60.97</v>
      </c>
      <c r="I1096" s="1">
        <f t="shared" si="51"/>
        <v>1219.4000000000001</v>
      </c>
      <c r="J1096" t="str">
        <f t="shared" si="52"/>
        <v>High</v>
      </c>
      <c r="K1096" s="1"/>
      <c r="L1096" s="1">
        <v>7.0000000000000007E-2</v>
      </c>
      <c r="M1096" s="1">
        <v>4.5</v>
      </c>
      <c r="N1096" s="1" t="s">
        <v>25</v>
      </c>
      <c r="O1096" s="1" t="s">
        <v>34</v>
      </c>
      <c r="P1096" s="2">
        <v>41824</v>
      </c>
      <c r="Q1096" s="2" t="b">
        <f t="shared" si="53"/>
        <v>0</v>
      </c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  <c r="AG1096" s="2"/>
      <c r="AH1096" s="2"/>
      <c r="AI1096" s="2"/>
    </row>
    <row r="1097" spans="1:35" ht="14.25" customHeight="1" x14ac:dyDescent="0.2">
      <c r="A1097" s="1">
        <v>57827</v>
      </c>
      <c r="B1097" s="1" t="s">
        <v>1181</v>
      </c>
      <c r="C1097" s="1" t="s">
        <v>21</v>
      </c>
      <c r="D1097" s="2">
        <v>41822</v>
      </c>
      <c r="E1097" s="1" t="s">
        <v>101</v>
      </c>
      <c r="F1097" s="1" t="s">
        <v>107</v>
      </c>
      <c r="G1097" s="1">
        <v>24</v>
      </c>
      <c r="H1097" s="1">
        <v>100.98</v>
      </c>
      <c r="I1097" s="1">
        <f t="shared" si="51"/>
        <v>2423.52</v>
      </c>
      <c r="J1097" t="str">
        <f t="shared" si="52"/>
        <v>High</v>
      </c>
      <c r="K1097" s="1"/>
      <c r="L1097" s="1">
        <v>0.05</v>
      </c>
      <c r="M1097" s="1">
        <v>35.840000000000003</v>
      </c>
      <c r="N1097" s="1" t="s">
        <v>45</v>
      </c>
      <c r="O1097" s="1" t="s">
        <v>63</v>
      </c>
      <c r="P1097" s="2">
        <v>41824</v>
      </c>
      <c r="Q1097" s="2" t="b">
        <f t="shared" si="53"/>
        <v>0</v>
      </c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  <c r="AG1097" s="2"/>
      <c r="AH1097" s="2"/>
      <c r="AI1097" s="2"/>
    </row>
    <row r="1098" spans="1:35" ht="14.25" customHeight="1" x14ac:dyDescent="0.2">
      <c r="A1098" s="1">
        <v>57827</v>
      </c>
      <c r="B1098" s="1" t="s">
        <v>1181</v>
      </c>
      <c r="C1098" s="1" t="s">
        <v>51</v>
      </c>
      <c r="D1098" s="2">
        <v>41822</v>
      </c>
      <c r="E1098" s="1" t="s">
        <v>101</v>
      </c>
      <c r="F1098" s="1" t="s">
        <v>964</v>
      </c>
      <c r="G1098" s="1">
        <v>29</v>
      </c>
      <c r="H1098" s="1">
        <v>4.9800000000000004</v>
      </c>
      <c r="I1098" s="1">
        <f t="shared" si="51"/>
        <v>144.42000000000002</v>
      </c>
      <c r="J1098" t="str">
        <f t="shared" si="52"/>
        <v>Low</v>
      </c>
      <c r="K1098" s="1"/>
      <c r="L1098" s="1">
        <v>0.02</v>
      </c>
      <c r="M1098" s="1">
        <v>5.49</v>
      </c>
      <c r="N1098" s="1" t="s">
        <v>33</v>
      </c>
      <c r="O1098" s="1" t="s">
        <v>34</v>
      </c>
      <c r="P1098" s="2">
        <v>41823</v>
      </c>
      <c r="Q1098" s="2" t="b">
        <f t="shared" si="53"/>
        <v>0</v>
      </c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  <c r="AG1098" s="2"/>
      <c r="AH1098" s="2"/>
      <c r="AI1098" s="2"/>
    </row>
    <row r="1099" spans="1:35" ht="14.25" customHeight="1" x14ac:dyDescent="0.2">
      <c r="A1099" s="1">
        <v>22695</v>
      </c>
      <c r="B1099" s="1" t="s">
        <v>367</v>
      </c>
      <c r="C1099" s="1" t="s">
        <v>21</v>
      </c>
      <c r="D1099" s="2">
        <v>41823</v>
      </c>
      <c r="E1099" s="1" t="s">
        <v>43</v>
      </c>
      <c r="F1099" s="1" t="s">
        <v>1182</v>
      </c>
      <c r="G1099" s="1">
        <v>44</v>
      </c>
      <c r="H1099" s="1">
        <v>10.06</v>
      </c>
      <c r="I1099" s="1">
        <f t="shared" si="51"/>
        <v>442.64000000000004</v>
      </c>
      <c r="J1099" t="str">
        <f t="shared" si="52"/>
        <v>Low</v>
      </c>
      <c r="K1099" s="1"/>
      <c r="L1099" s="1">
        <v>0.02</v>
      </c>
      <c r="M1099" s="1">
        <v>2.06</v>
      </c>
      <c r="N1099" s="1" t="s">
        <v>33</v>
      </c>
      <c r="O1099" s="1" t="s">
        <v>55</v>
      </c>
      <c r="P1099" s="2">
        <v>41828</v>
      </c>
      <c r="Q1099" s="2" t="b">
        <f t="shared" si="53"/>
        <v>0</v>
      </c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  <c r="AG1099" s="2"/>
      <c r="AH1099" s="2"/>
      <c r="AI1099" s="2"/>
    </row>
    <row r="1100" spans="1:35" ht="14.25" customHeight="1" x14ac:dyDescent="0.2">
      <c r="A1100" s="1">
        <v>47713</v>
      </c>
      <c r="B1100" s="1" t="s">
        <v>649</v>
      </c>
      <c r="C1100" s="1" t="s">
        <v>21</v>
      </c>
      <c r="D1100" s="2">
        <v>41823</v>
      </c>
      <c r="E1100" s="1" t="s">
        <v>31</v>
      </c>
      <c r="F1100" s="1" t="s">
        <v>303</v>
      </c>
      <c r="G1100" s="1">
        <v>34</v>
      </c>
      <c r="H1100" s="1">
        <v>115.99</v>
      </c>
      <c r="I1100" s="1">
        <f t="shared" si="51"/>
        <v>3943.66</v>
      </c>
      <c r="J1100" t="str">
        <f t="shared" si="52"/>
        <v>High</v>
      </c>
      <c r="K1100" s="1"/>
      <c r="L1100" s="1">
        <v>0</v>
      </c>
      <c r="M1100" s="1">
        <v>5.92</v>
      </c>
      <c r="N1100" s="1" t="s">
        <v>33</v>
      </c>
      <c r="O1100" s="1" t="s">
        <v>34</v>
      </c>
      <c r="P1100" s="2">
        <v>41823</v>
      </c>
      <c r="Q1100" s="2" t="b">
        <f t="shared" si="53"/>
        <v>0</v>
      </c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  <c r="AG1100" s="2"/>
      <c r="AH1100" s="2"/>
      <c r="AI1100" s="2"/>
    </row>
    <row r="1101" spans="1:35" ht="14.25" customHeight="1" x14ac:dyDescent="0.2">
      <c r="A1101" s="1">
        <v>30785</v>
      </c>
      <c r="B1101" s="1" t="s">
        <v>1183</v>
      </c>
      <c r="C1101" s="1" t="s">
        <v>21</v>
      </c>
      <c r="D1101" s="2">
        <v>41823</v>
      </c>
      <c r="E1101" s="1" t="s">
        <v>31</v>
      </c>
      <c r="F1101" s="1" t="s">
        <v>121</v>
      </c>
      <c r="G1101" s="1">
        <v>7</v>
      </c>
      <c r="H1101" s="1">
        <v>6.48</v>
      </c>
      <c r="I1101" s="1">
        <f t="shared" si="51"/>
        <v>45.36</v>
      </c>
      <c r="J1101" t="str">
        <f t="shared" si="52"/>
        <v>Low</v>
      </c>
      <c r="K1101" s="1"/>
      <c r="L1101" s="1">
        <v>0.03</v>
      </c>
      <c r="M1101" s="1">
        <v>8.73</v>
      </c>
      <c r="N1101" s="1" t="s">
        <v>33</v>
      </c>
      <c r="O1101" s="1" t="s">
        <v>34</v>
      </c>
      <c r="P1101" s="2">
        <v>41825</v>
      </c>
      <c r="Q1101" s="2" t="b">
        <f t="shared" si="53"/>
        <v>0</v>
      </c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  <c r="AG1101" s="2"/>
      <c r="AH1101" s="2"/>
      <c r="AI1101" s="2"/>
    </row>
    <row r="1102" spans="1:35" ht="14.25" customHeight="1" x14ac:dyDescent="0.2">
      <c r="A1102" s="1">
        <v>30785</v>
      </c>
      <c r="B1102" s="1" t="s">
        <v>1183</v>
      </c>
      <c r="C1102" s="1" t="s">
        <v>21</v>
      </c>
      <c r="D1102" s="2">
        <v>41823</v>
      </c>
      <c r="E1102" s="1" t="s">
        <v>31</v>
      </c>
      <c r="F1102" s="1" t="s">
        <v>1184</v>
      </c>
      <c r="G1102" s="1">
        <v>38</v>
      </c>
      <c r="H1102" s="1">
        <v>9.93</v>
      </c>
      <c r="I1102" s="1">
        <f t="shared" si="51"/>
        <v>377.34</v>
      </c>
      <c r="J1102" t="str">
        <f t="shared" si="52"/>
        <v>Low</v>
      </c>
      <c r="K1102" s="1"/>
      <c r="L1102" s="1">
        <v>7.0000000000000007E-2</v>
      </c>
      <c r="M1102" s="1">
        <v>1.0900000000000001</v>
      </c>
      <c r="N1102" s="1" t="s">
        <v>33</v>
      </c>
      <c r="O1102" s="1" t="s">
        <v>55</v>
      </c>
      <c r="P1102" s="2">
        <v>41826</v>
      </c>
      <c r="Q1102" s="2" t="b">
        <f t="shared" si="53"/>
        <v>0</v>
      </c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  <c r="AG1102" s="2"/>
      <c r="AH1102" s="2"/>
      <c r="AI1102" s="2"/>
    </row>
    <row r="1103" spans="1:35" ht="14.25" customHeight="1" x14ac:dyDescent="0.2">
      <c r="A1103" s="1">
        <v>27840</v>
      </c>
      <c r="B1103" s="1" t="s">
        <v>164</v>
      </c>
      <c r="C1103" s="1" t="s">
        <v>30</v>
      </c>
      <c r="D1103" s="2">
        <v>41823</v>
      </c>
      <c r="E1103" s="1" t="s">
        <v>31</v>
      </c>
      <c r="F1103" s="1" t="s">
        <v>1185</v>
      </c>
      <c r="G1103" s="1">
        <v>8</v>
      </c>
      <c r="H1103" s="1">
        <v>150.97999999999999</v>
      </c>
      <c r="I1103" s="1">
        <f t="shared" si="51"/>
        <v>1207.8399999999999</v>
      </c>
      <c r="J1103" t="str">
        <f t="shared" si="52"/>
        <v>High</v>
      </c>
      <c r="K1103" s="1"/>
      <c r="L1103" s="1">
        <v>0.09</v>
      </c>
      <c r="M1103" s="1">
        <v>66.27</v>
      </c>
      <c r="N1103" s="1" t="s">
        <v>45</v>
      </c>
      <c r="O1103" s="1" t="s">
        <v>63</v>
      </c>
      <c r="P1103" s="2">
        <v>41824</v>
      </c>
      <c r="Q1103" s="2" t="b">
        <f t="shared" si="53"/>
        <v>0</v>
      </c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  <c r="AG1103" s="2"/>
      <c r="AH1103" s="2"/>
      <c r="AI1103" s="2"/>
    </row>
    <row r="1104" spans="1:35" ht="14.25" customHeight="1" x14ac:dyDescent="0.2">
      <c r="A1104" s="1">
        <v>43172</v>
      </c>
      <c r="B1104" s="1" t="s">
        <v>1186</v>
      </c>
      <c r="C1104" s="1" t="s">
        <v>21</v>
      </c>
      <c r="D1104" s="2">
        <v>41823</v>
      </c>
      <c r="E1104" s="1" t="s">
        <v>43</v>
      </c>
      <c r="F1104" s="1" t="s">
        <v>1187</v>
      </c>
      <c r="G1104" s="1">
        <v>19</v>
      </c>
      <c r="H1104" s="1">
        <v>1.48</v>
      </c>
      <c r="I1104" s="1">
        <f t="shared" si="51"/>
        <v>28.12</v>
      </c>
      <c r="J1104" t="str">
        <f t="shared" si="52"/>
        <v>Low</v>
      </c>
      <c r="K1104" s="1"/>
      <c r="L1104" s="1">
        <v>0.09</v>
      </c>
      <c r="M1104" s="1">
        <v>0.7</v>
      </c>
      <c r="N1104" s="1" t="s">
        <v>33</v>
      </c>
      <c r="O1104" s="1" t="s">
        <v>55</v>
      </c>
      <c r="P1104" s="2">
        <v>41825</v>
      </c>
      <c r="Q1104" s="2" t="b">
        <f t="shared" si="53"/>
        <v>0</v>
      </c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  <c r="AG1104" s="2"/>
      <c r="AH1104" s="2"/>
      <c r="AI1104" s="2"/>
    </row>
    <row r="1105" spans="1:35" ht="14.25" customHeight="1" x14ac:dyDescent="0.2">
      <c r="A1105" s="1">
        <v>37987</v>
      </c>
      <c r="B1105" s="1" t="s">
        <v>437</v>
      </c>
      <c r="C1105" s="1" t="s">
        <v>21</v>
      </c>
      <c r="D1105" s="2">
        <v>41823</v>
      </c>
      <c r="E1105" s="1" t="s">
        <v>31</v>
      </c>
      <c r="F1105" s="1" t="s">
        <v>1188</v>
      </c>
      <c r="G1105" s="1">
        <v>26</v>
      </c>
      <c r="H1105" s="1">
        <v>12.53</v>
      </c>
      <c r="I1105" s="1">
        <f t="shared" si="51"/>
        <v>325.77999999999997</v>
      </c>
      <c r="J1105" t="str">
        <f t="shared" si="52"/>
        <v>Low</v>
      </c>
      <c r="K1105" s="1"/>
      <c r="L1105" s="1">
        <v>0.1</v>
      </c>
      <c r="M1105" s="1">
        <v>0.49</v>
      </c>
      <c r="N1105" s="1" t="s">
        <v>33</v>
      </c>
      <c r="O1105" s="1" t="s">
        <v>34</v>
      </c>
      <c r="P1105" s="2">
        <v>41824</v>
      </c>
      <c r="Q1105" s="2" t="b">
        <f t="shared" si="53"/>
        <v>0</v>
      </c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  <c r="AG1105" s="2"/>
      <c r="AH1105" s="2"/>
      <c r="AI1105" s="2"/>
    </row>
    <row r="1106" spans="1:35" ht="14.25" customHeight="1" x14ac:dyDescent="0.2">
      <c r="A1106" s="1">
        <v>37987</v>
      </c>
      <c r="B1106" s="1" t="s">
        <v>437</v>
      </c>
      <c r="C1106" s="1" t="s">
        <v>51</v>
      </c>
      <c r="D1106" s="2">
        <v>41823</v>
      </c>
      <c r="E1106" s="1" t="s">
        <v>31</v>
      </c>
      <c r="F1106" s="1" t="s">
        <v>1189</v>
      </c>
      <c r="G1106" s="1">
        <v>5</v>
      </c>
      <c r="H1106" s="1">
        <v>146.34</v>
      </c>
      <c r="I1106" s="1">
        <f t="shared" si="51"/>
        <v>731.7</v>
      </c>
      <c r="J1106" t="str">
        <f t="shared" si="52"/>
        <v>Low</v>
      </c>
      <c r="K1106" s="1"/>
      <c r="L1106" s="1">
        <v>0.1</v>
      </c>
      <c r="M1106" s="1">
        <v>43.75</v>
      </c>
      <c r="N1106" s="1" t="s">
        <v>45</v>
      </c>
      <c r="O1106" s="1" t="s">
        <v>63</v>
      </c>
      <c r="P1106" s="2">
        <v>41824</v>
      </c>
      <c r="Q1106" s="2" t="b">
        <f t="shared" si="53"/>
        <v>0</v>
      </c>
      <c r="V1106" s="2"/>
      <c r="W1106" s="2"/>
      <c r="X1106" s="2"/>
      <c r="Y1106" s="2"/>
      <c r="Z1106" s="2"/>
      <c r="AA1106" s="2"/>
      <c r="AB1106" s="2"/>
      <c r="AC1106" s="2"/>
      <c r="AD1106" s="2"/>
      <c r="AE1106" s="2"/>
      <c r="AF1106" s="2"/>
      <c r="AG1106" s="2"/>
      <c r="AH1106" s="2"/>
      <c r="AI1106" s="2"/>
    </row>
    <row r="1107" spans="1:35" ht="14.25" customHeight="1" x14ac:dyDescent="0.2">
      <c r="A1107" s="1">
        <v>32706</v>
      </c>
      <c r="B1107" s="1" t="s">
        <v>354</v>
      </c>
      <c r="C1107" s="1" t="s">
        <v>51</v>
      </c>
      <c r="D1107" s="2">
        <v>41824</v>
      </c>
      <c r="E1107" s="1" t="s">
        <v>38</v>
      </c>
      <c r="F1107" s="1" t="s">
        <v>185</v>
      </c>
      <c r="G1107" s="1">
        <v>5</v>
      </c>
      <c r="H1107" s="1">
        <v>399.98</v>
      </c>
      <c r="I1107" s="1">
        <f t="shared" si="51"/>
        <v>1999.9</v>
      </c>
      <c r="J1107" t="str">
        <f t="shared" si="52"/>
        <v>High</v>
      </c>
      <c r="K1107" s="1"/>
      <c r="L1107" s="1">
        <v>0.03</v>
      </c>
      <c r="M1107" s="1">
        <v>12.06</v>
      </c>
      <c r="N1107" s="1" t="s">
        <v>45</v>
      </c>
      <c r="O1107" s="1" t="s">
        <v>63</v>
      </c>
      <c r="P1107" s="2">
        <v>41826</v>
      </c>
      <c r="Q1107" s="2" t="b">
        <f t="shared" si="53"/>
        <v>0</v>
      </c>
      <c r="V1107" s="2"/>
      <c r="W1107" s="2"/>
      <c r="X1107" s="2"/>
      <c r="Y1107" s="2"/>
      <c r="Z1107" s="2"/>
      <c r="AA1107" s="2"/>
      <c r="AB1107" s="2"/>
      <c r="AC1107" s="2"/>
      <c r="AD1107" s="2"/>
      <c r="AE1107" s="2"/>
      <c r="AF1107" s="2"/>
      <c r="AG1107" s="2"/>
      <c r="AH1107" s="2"/>
      <c r="AI1107" s="2"/>
    </row>
    <row r="1108" spans="1:35" ht="14.25" customHeight="1" x14ac:dyDescent="0.2">
      <c r="A1108" s="1">
        <v>41282</v>
      </c>
      <c r="B1108" s="1" t="s">
        <v>738</v>
      </c>
      <c r="C1108" s="1" t="s">
        <v>21</v>
      </c>
      <c r="D1108" s="2">
        <v>41824</v>
      </c>
      <c r="E1108" s="1" t="s">
        <v>101</v>
      </c>
      <c r="F1108" s="1" t="s">
        <v>659</v>
      </c>
      <c r="G1108" s="1">
        <v>39</v>
      </c>
      <c r="H1108" s="1">
        <v>24.92</v>
      </c>
      <c r="I1108" s="1">
        <f t="shared" si="51"/>
        <v>971.88000000000011</v>
      </c>
      <c r="J1108" t="str">
        <f t="shared" si="52"/>
        <v>Low</v>
      </c>
      <c r="K1108" s="1"/>
      <c r="L1108" s="1">
        <v>0.08</v>
      </c>
      <c r="M1108" s="1">
        <v>12.98</v>
      </c>
      <c r="N1108" s="1" t="s">
        <v>33</v>
      </c>
      <c r="O1108" s="1" t="s">
        <v>34</v>
      </c>
      <c r="P1108" s="2">
        <v>41826</v>
      </c>
      <c r="Q1108" s="2" t="b">
        <f t="shared" si="53"/>
        <v>0</v>
      </c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  <c r="AG1108" s="2"/>
      <c r="AH1108" s="2"/>
      <c r="AI1108" s="2"/>
    </row>
    <row r="1109" spans="1:35" ht="14.25" customHeight="1" x14ac:dyDescent="0.2">
      <c r="A1109" s="1">
        <v>53312</v>
      </c>
      <c r="B1109" s="1" t="s">
        <v>1190</v>
      </c>
      <c r="C1109" s="1" t="s">
        <v>21</v>
      </c>
      <c r="D1109" s="2">
        <v>41824</v>
      </c>
      <c r="E1109" s="1" t="s">
        <v>101</v>
      </c>
      <c r="F1109" s="1" t="s">
        <v>873</v>
      </c>
      <c r="G1109" s="1">
        <v>23</v>
      </c>
      <c r="H1109" s="1">
        <v>363.25</v>
      </c>
      <c r="I1109" s="1">
        <f t="shared" si="51"/>
        <v>8354.75</v>
      </c>
      <c r="J1109" t="str">
        <f t="shared" si="52"/>
        <v>High</v>
      </c>
      <c r="K1109" s="1"/>
      <c r="L1109" s="1">
        <v>0.05</v>
      </c>
      <c r="M1109" s="1">
        <v>19.989999999999998</v>
      </c>
      <c r="N1109" s="1" t="s">
        <v>33</v>
      </c>
      <c r="O1109" s="1" t="s">
        <v>34</v>
      </c>
      <c r="P1109" s="2">
        <v>41826</v>
      </c>
      <c r="Q1109" s="2" t="b">
        <f t="shared" si="53"/>
        <v>0</v>
      </c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  <c r="AG1109" s="2"/>
      <c r="AH1109" s="2"/>
      <c r="AI1109" s="2"/>
    </row>
    <row r="1110" spans="1:35" ht="14.25" customHeight="1" x14ac:dyDescent="0.2">
      <c r="A1110" s="1">
        <v>53312</v>
      </c>
      <c r="B1110" s="1" t="s">
        <v>1190</v>
      </c>
      <c r="C1110" s="1" t="s">
        <v>51</v>
      </c>
      <c r="D1110" s="2">
        <v>41824</v>
      </c>
      <c r="E1110" s="1" t="s">
        <v>101</v>
      </c>
      <c r="F1110" s="1" t="s">
        <v>900</v>
      </c>
      <c r="G1110" s="1">
        <v>30</v>
      </c>
      <c r="H1110" s="1">
        <v>3.34</v>
      </c>
      <c r="I1110" s="1">
        <f t="shared" si="51"/>
        <v>100.19999999999999</v>
      </c>
      <c r="J1110" t="str">
        <f t="shared" si="52"/>
        <v>Low</v>
      </c>
      <c r="K1110" s="1"/>
      <c r="L1110" s="1">
        <v>0.06</v>
      </c>
      <c r="M1110" s="1">
        <v>7.49</v>
      </c>
      <c r="N1110" s="1" t="s">
        <v>33</v>
      </c>
      <c r="O1110" s="1" t="s">
        <v>55</v>
      </c>
      <c r="P1110" s="2">
        <v>41825</v>
      </c>
      <c r="Q1110" s="2" t="b">
        <f t="shared" si="53"/>
        <v>0</v>
      </c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  <c r="AG1110" s="2"/>
      <c r="AH1110" s="2"/>
      <c r="AI1110" s="2"/>
    </row>
    <row r="1111" spans="1:35" ht="14.25" customHeight="1" x14ac:dyDescent="0.2">
      <c r="A1111" s="1">
        <v>56002</v>
      </c>
      <c r="B1111" s="1" t="s">
        <v>78</v>
      </c>
      <c r="C1111" s="1" t="s">
        <v>21</v>
      </c>
      <c r="D1111" s="2">
        <v>41824</v>
      </c>
      <c r="E1111" s="1" t="s">
        <v>43</v>
      </c>
      <c r="F1111" s="1" t="s">
        <v>1191</v>
      </c>
      <c r="G1111" s="1">
        <v>21</v>
      </c>
      <c r="H1111" s="1">
        <v>23.99</v>
      </c>
      <c r="I1111" s="1">
        <f t="shared" si="51"/>
        <v>503.78999999999996</v>
      </c>
      <c r="J1111" t="str">
        <f t="shared" si="52"/>
        <v>Low</v>
      </c>
      <c r="K1111" s="1"/>
      <c r="L1111" s="1">
        <v>0.04</v>
      </c>
      <c r="M1111" s="1">
        <v>6.71</v>
      </c>
      <c r="N1111" s="1" t="s">
        <v>33</v>
      </c>
      <c r="O1111" s="1" t="s">
        <v>34</v>
      </c>
      <c r="P1111" s="2">
        <v>41826</v>
      </c>
      <c r="Q1111" s="2" t="b">
        <f t="shared" si="53"/>
        <v>0</v>
      </c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  <c r="AG1111" s="2"/>
      <c r="AH1111" s="2"/>
      <c r="AI1111" s="2"/>
    </row>
    <row r="1112" spans="1:35" ht="14.25" customHeight="1" x14ac:dyDescent="0.2">
      <c r="A1112" s="1">
        <v>56002</v>
      </c>
      <c r="B1112" s="1" t="s">
        <v>78</v>
      </c>
      <c r="C1112" s="1" t="s">
        <v>30</v>
      </c>
      <c r="D1112" s="2">
        <v>41824</v>
      </c>
      <c r="E1112" s="1" t="s">
        <v>43</v>
      </c>
      <c r="F1112" s="1" t="s">
        <v>1192</v>
      </c>
      <c r="G1112" s="1">
        <v>14</v>
      </c>
      <c r="H1112" s="1">
        <v>55.98</v>
      </c>
      <c r="I1112" s="1">
        <f t="shared" si="51"/>
        <v>783.71999999999991</v>
      </c>
      <c r="J1112" t="str">
        <f t="shared" si="52"/>
        <v>Low</v>
      </c>
      <c r="K1112" s="1"/>
      <c r="L1112" s="1">
        <v>0.09</v>
      </c>
      <c r="M1112" s="1">
        <v>4.8600000000000003</v>
      </c>
      <c r="N1112" s="1" t="s">
        <v>33</v>
      </c>
      <c r="O1112" s="1" t="s">
        <v>34</v>
      </c>
      <c r="P1112" s="2">
        <v>41828</v>
      </c>
      <c r="Q1112" s="2" t="b">
        <f t="shared" si="53"/>
        <v>0</v>
      </c>
      <c r="V1112" s="2"/>
      <c r="W1112" s="2"/>
      <c r="X1112" s="2"/>
      <c r="Y1112" s="2"/>
      <c r="Z1112" s="2"/>
      <c r="AA1112" s="2"/>
      <c r="AB1112" s="2"/>
      <c r="AC1112" s="2"/>
      <c r="AD1112" s="2"/>
      <c r="AE1112" s="2"/>
      <c r="AF1112" s="2"/>
      <c r="AG1112" s="2"/>
      <c r="AH1112" s="2"/>
      <c r="AI1112" s="2"/>
    </row>
    <row r="1113" spans="1:35" ht="14.25" customHeight="1" x14ac:dyDescent="0.2">
      <c r="A1113" s="1">
        <v>56002</v>
      </c>
      <c r="B1113" s="1" t="s">
        <v>78</v>
      </c>
      <c r="C1113" s="1" t="s">
        <v>21</v>
      </c>
      <c r="D1113" s="2">
        <v>41824</v>
      </c>
      <c r="E1113" s="1" t="s">
        <v>43</v>
      </c>
      <c r="F1113" s="1" t="s">
        <v>166</v>
      </c>
      <c r="G1113" s="1">
        <v>9</v>
      </c>
      <c r="H1113" s="1">
        <v>161.55000000000001</v>
      </c>
      <c r="I1113" s="1">
        <f t="shared" si="51"/>
        <v>1453.95</v>
      </c>
      <c r="J1113" t="str">
        <f t="shared" si="52"/>
        <v>High</v>
      </c>
      <c r="K1113" s="1"/>
      <c r="L1113" s="1">
        <v>0.05</v>
      </c>
      <c r="M1113" s="1">
        <v>19.989999999999998</v>
      </c>
      <c r="N1113" s="1" t="s">
        <v>33</v>
      </c>
      <c r="O1113" s="1" t="s">
        <v>34</v>
      </c>
      <c r="P1113" s="2">
        <v>41831</v>
      </c>
      <c r="Q1113" s="2" t="b">
        <f t="shared" si="53"/>
        <v>0</v>
      </c>
      <c r="V1113" s="2"/>
      <c r="W1113" s="2"/>
      <c r="X1113" s="2"/>
      <c r="Y1113" s="2"/>
      <c r="Z1113" s="2"/>
      <c r="AA1113" s="2"/>
      <c r="AB1113" s="2"/>
      <c r="AC1113" s="2"/>
      <c r="AD1113" s="2"/>
      <c r="AE1113" s="2"/>
      <c r="AF1113" s="2"/>
      <c r="AG1113" s="2"/>
      <c r="AH1113" s="2"/>
      <c r="AI1113" s="2"/>
    </row>
    <row r="1114" spans="1:35" ht="14.25" customHeight="1" x14ac:dyDescent="0.2">
      <c r="A1114" s="1">
        <v>56002</v>
      </c>
      <c r="B1114" s="1" t="s">
        <v>78</v>
      </c>
      <c r="C1114" s="1" t="s">
        <v>30</v>
      </c>
      <c r="D1114" s="2">
        <v>41824</v>
      </c>
      <c r="E1114" s="1" t="s">
        <v>43</v>
      </c>
      <c r="F1114" s="1" t="s">
        <v>1193</v>
      </c>
      <c r="G1114" s="1">
        <v>14</v>
      </c>
      <c r="H1114" s="1">
        <v>290.98</v>
      </c>
      <c r="I1114" s="1">
        <f t="shared" si="51"/>
        <v>4073.7200000000003</v>
      </c>
      <c r="J1114" t="str">
        <f t="shared" si="52"/>
        <v>High</v>
      </c>
      <c r="K1114" s="1"/>
      <c r="L1114" s="1">
        <v>7.0000000000000007E-2</v>
      </c>
      <c r="M1114" s="1">
        <v>69</v>
      </c>
      <c r="N1114" s="1" t="s">
        <v>33</v>
      </c>
      <c r="O1114" s="1" t="s">
        <v>26</v>
      </c>
      <c r="P1114" s="2">
        <v>41826</v>
      </c>
      <c r="Q1114" s="2" t="b">
        <f t="shared" si="53"/>
        <v>0</v>
      </c>
      <c r="V1114" s="2"/>
      <c r="W1114" s="2"/>
      <c r="X1114" s="2"/>
      <c r="Y1114" s="2"/>
      <c r="Z1114" s="2"/>
      <c r="AA1114" s="2"/>
      <c r="AB1114" s="2"/>
      <c r="AC1114" s="2"/>
      <c r="AD1114" s="2"/>
      <c r="AE1114" s="2"/>
      <c r="AF1114" s="2"/>
      <c r="AG1114" s="2"/>
      <c r="AH1114" s="2"/>
      <c r="AI1114" s="2"/>
    </row>
    <row r="1115" spans="1:35" ht="14.25" customHeight="1" x14ac:dyDescent="0.2">
      <c r="A1115" s="1">
        <v>1287</v>
      </c>
      <c r="B1115" s="1" t="s">
        <v>912</v>
      </c>
      <c r="C1115" s="1" t="s">
        <v>51</v>
      </c>
      <c r="D1115" s="2">
        <v>41824</v>
      </c>
      <c r="E1115" s="1" t="s">
        <v>31</v>
      </c>
      <c r="F1115" s="1" t="s">
        <v>1104</v>
      </c>
      <c r="G1115" s="1">
        <v>39</v>
      </c>
      <c r="H1115" s="1">
        <v>105.29</v>
      </c>
      <c r="I1115" s="1">
        <f t="shared" si="51"/>
        <v>4106.3100000000004</v>
      </c>
      <c r="J1115" t="str">
        <f t="shared" si="52"/>
        <v>High</v>
      </c>
      <c r="K1115" s="1"/>
      <c r="L1115" s="1">
        <v>0.06</v>
      </c>
      <c r="M1115" s="1">
        <v>10.119999999999999</v>
      </c>
      <c r="N1115" s="1" t="s">
        <v>33</v>
      </c>
      <c r="O1115" s="1" t="s">
        <v>26</v>
      </c>
      <c r="P1115" s="2">
        <v>41826</v>
      </c>
      <c r="Q1115" s="2" t="b">
        <f t="shared" si="53"/>
        <v>0</v>
      </c>
      <c r="V1115" s="2"/>
      <c r="W1115" s="2"/>
      <c r="X1115" s="2"/>
      <c r="Y1115" s="2"/>
      <c r="Z1115" s="2"/>
      <c r="AA1115" s="2"/>
      <c r="AB1115" s="2"/>
      <c r="AC1115" s="2"/>
      <c r="AD1115" s="2"/>
      <c r="AE1115" s="2"/>
      <c r="AF1115" s="2"/>
      <c r="AG1115" s="2"/>
      <c r="AH1115" s="2"/>
      <c r="AI1115" s="2"/>
    </row>
    <row r="1116" spans="1:35" ht="14.25" customHeight="1" x14ac:dyDescent="0.2">
      <c r="A1116" s="1">
        <v>36067</v>
      </c>
      <c r="B1116" s="1" t="s">
        <v>779</v>
      </c>
      <c r="C1116" s="1" t="s">
        <v>51</v>
      </c>
      <c r="D1116" s="2">
        <v>41824</v>
      </c>
      <c r="E1116" s="1" t="s">
        <v>31</v>
      </c>
      <c r="F1116" s="1" t="s">
        <v>1194</v>
      </c>
      <c r="G1116" s="1">
        <v>37</v>
      </c>
      <c r="H1116" s="1">
        <v>165.2</v>
      </c>
      <c r="I1116" s="1">
        <f t="shared" si="51"/>
        <v>6112.4</v>
      </c>
      <c r="J1116" t="str">
        <f t="shared" si="52"/>
        <v>High</v>
      </c>
      <c r="K1116" s="1"/>
      <c r="L1116" s="1">
        <v>0.04</v>
      </c>
      <c r="M1116" s="1">
        <v>19.989999999999998</v>
      </c>
      <c r="N1116" s="1" t="s">
        <v>25</v>
      </c>
      <c r="O1116" s="1" t="s">
        <v>34</v>
      </c>
      <c r="P1116" s="2">
        <v>41826</v>
      </c>
      <c r="Q1116" s="2" t="b">
        <f t="shared" si="53"/>
        <v>0</v>
      </c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  <c r="AG1116" s="2"/>
      <c r="AH1116" s="2"/>
      <c r="AI1116" s="2"/>
    </row>
    <row r="1117" spans="1:35" ht="14.25" customHeight="1" x14ac:dyDescent="0.2">
      <c r="A1117" s="1">
        <v>3649</v>
      </c>
      <c r="B1117" s="1" t="s">
        <v>825</v>
      </c>
      <c r="C1117" s="1" t="s">
        <v>51</v>
      </c>
      <c r="D1117" s="2">
        <v>41825</v>
      </c>
      <c r="E1117" s="1" t="s">
        <v>43</v>
      </c>
      <c r="F1117" s="1" t="s">
        <v>1195</v>
      </c>
      <c r="G1117" s="1">
        <v>8</v>
      </c>
      <c r="H1117" s="1">
        <v>8.8800000000000008</v>
      </c>
      <c r="I1117" s="1">
        <f t="shared" si="51"/>
        <v>71.040000000000006</v>
      </c>
      <c r="J1117" t="str">
        <f t="shared" si="52"/>
        <v>Low</v>
      </c>
      <c r="K1117" s="1"/>
      <c r="L1117" s="1">
        <v>0.01</v>
      </c>
      <c r="M1117" s="1">
        <v>6.28</v>
      </c>
      <c r="N1117" s="1" t="s">
        <v>33</v>
      </c>
      <c r="O1117" s="1" t="s">
        <v>34</v>
      </c>
      <c r="P1117" s="2">
        <v>41830</v>
      </c>
      <c r="Q1117" s="2" t="b">
        <f t="shared" si="53"/>
        <v>0</v>
      </c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  <c r="AG1117" s="2"/>
      <c r="AH1117" s="2"/>
      <c r="AI1117" s="2"/>
    </row>
    <row r="1118" spans="1:35" ht="14.25" customHeight="1" x14ac:dyDescent="0.2">
      <c r="A1118" s="1">
        <v>3649</v>
      </c>
      <c r="B1118" s="1" t="s">
        <v>825</v>
      </c>
      <c r="C1118" s="1" t="s">
        <v>30</v>
      </c>
      <c r="D1118" s="2">
        <v>41825</v>
      </c>
      <c r="E1118" s="1" t="s">
        <v>43</v>
      </c>
      <c r="F1118" s="1" t="s">
        <v>1196</v>
      </c>
      <c r="G1118" s="1">
        <v>26</v>
      </c>
      <c r="H1118" s="1">
        <v>2.88</v>
      </c>
      <c r="I1118" s="1">
        <f t="shared" si="51"/>
        <v>74.88</v>
      </c>
      <c r="J1118" t="str">
        <f t="shared" si="52"/>
        <v>Low</v>
      </c>
      <c r="K1118" s="1"/>
      <c r="L1118" s="1">
        <v>0.06</v>
      </c>
      <c r="M1118" s="1">
        <v>0.99</v>
      </c>
      <c r="N1118" s="1" t="s">
        <v>33</v>
      </c>
      <c r="O1118" s="1" t="s">
        <v>34</v>
      </c>
      <c r="P1118" s="2">
        <v>41834</v>
      </c>
      <c r="Q1118" s="2" t="b">
        <f t="shared" si="53"/>
        <v>0</v>
      </c>
      <c r="V1118" s="2"/>
      <c r="W1118" s="2"/>
      <c r="X1118" s="2"/>
      <c r="Y1118" s="2"/>
      <c r="Z1118" s="2"/>
      <c r="AA1118" s="2"/>
      <c r="AB1118" s="2"/>
      <c r="AC1118" s="2"/>
      <c r="AD1118" s="2"/>
      <c r="AE1118" s="2"/>
      <c r="AF1118" s="2"/>
      <c r="AG1118" s="2"/>
      <c r="AH1118" s="2"/>
      <c r="AI1118" s="2"/>
    </row>
    <row r="1119" spans="1:35" ht="14.25" customHeight="1" x14ac:dyDescent="0.2">
      <c r="A1119" s="1">
        <v>27013</v>
      </c>
      <c r="B1119" s="1" t="s">
        <v>746</v>
      </c>
      <c r="C1119" s="1" t="s">
        <v>51</v>
      </c>
      <c r="D1119" s="2">
        <v>41825</v>
      </c>
      <c r="E1119" s="1" t="s">
        <v>43</v>
      </c>
      <c r="F1119" s="1" t="s">
        <v>1197</v>
      </c>
      <c r="G1119" s="1">
        <v>28</v>
      </c>
      <c r="H1119" s="1">
        <v>80.98</v>
      </c>
      <c r="I1119" s="1">
        <f t="shared" si="51"/>
        <v>2267.44</v>
      </c>
      <c r="J1119" t="str">
        <f t="shared" si="52"/>
        <v>High</v>
      </c>
      <c r="K1119" s="1"/>
      <c r="L1119" s="1">
        <v>0.05</v>
      </c>
      <c r="M1119" s="1">
        <v>35</v>
      </c>
      <c r="N1119" s="1" t="s">
        <v>33</v>
      </c>
      <c r="O1119" s="1" t="s">
        <v>26</v>
      </c>
      <c r="P1119" s="2">
        <v>41829</v>
      </c>
      <c r="Q1119" s="2" t="b">
        <f t="shared" si="53"/>
        <v>0</v>
      </c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  <c r="AG1119" s="2"/>
      <c r="AH1119" s="2"/>
      <c r="AI1119" s="2"/>
    </row>
    <row r="1120" spans="1:35" ht="14.25" customHeight="1" x14ac:dyDescent="0.2">
      <c r="A1120" s="1">
        <v>27013</v>
      </c>
      <c r="B1120" s="1" t="s">
        <v>746</v>
      </c>
      <c r="C1120" s="1" t="s">
        <v>21</v>
      </c>
      <c r="D1120" s="2">
        <v>41825</v>
      </c>
      <c r="E1120" s="1" t="s">
        <v>43</v>
      </c>
      <c r="F1120" s="1" t="s">
        <v>978</v>
      </c>
      <c r="G1120" s="1">
        <v>26</v>
      </c>
      <c r="H1120" s="1">
        <v>279.48</v>
      </c>
      <c r="I1120" s="1">
        <f t="shared" si="51"/>
        <v>7266.4800000000005</v>
      </c>
      <c r="J1120" t="str">
        <f t="shared" si="52"/>
        <v>High</v>
      </c>
      <c r="K1120" s="1"/>
      <c r="L1120" s="1">
        <v>0.05</v>
      </c>
      <c r="M1120" s="1">
        <v>35</v>
      </c>
      <c r="N1120" s="1" t="s">
        <v>33</v>
      </c>
      <c r="O1120" s="1" t="s">
        <v>26</v>
      </c>
      <c r="P1120" s="2">
        <v>41825</v>
      </c>
      <c r="Q1120" s="2" t="b">
        <f t="shared" si="53"/>
        <v>0</v>
      </c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  <c r="AG1120" s="2"/>
      <c r="AH1120" s="2"/>
      <c r="AI1120" s="2"/>
    </row>
    <row r="1121" spans="1:35" ht="14.25" customHeight="1" x14ac:dyDescent="0.2">
      <c r="A1121" s="1">
        <v>24132</v>
      </c>
      <c r="B1121" s="1" t="s">
        <v>492</v>
      </c>
      <c r="C1121" s="1" t="s">
        <v>21</v>
      </c>
      <c r="D1121" s="2">
        <v>41826</v>
      </c>
      <c r="E1121" s="1" t="s">
        <v>43</v>
      </c>
      <c r="F1121" s="1" t="s">
        <v>1198</v>
      </c>
      <c r="G1121" s="1">
        <v>4</v>
      </c>
      <c r="H1121" s="1">
        <v>6.75</v>
      </c>
      <c r="I1121" s="1">
        <f t="shared" si="51"/>
        <v>27</v>
      </c>
      <c r="J1121" t="str">
        <f t="shared" si="52"/>
        <v>Low</v>
      </c>
      <c r="K1121" s="1"/>
      <c r="L1121" s="1">
        <v>0.03</v>
      </c>
      <c r="M1121" s="1">
        <v>2.99</v>
      </c>
      <c r="N1121" s="1" t="s">
        <v>33</v>
      </c>
      <c r="O1121" s="1" t="s">
        <v>34</v>
      </c>
      <c r="P1121" s="2">
        <v>41831</v>
      </c>
      <c r="Q1121" s="2" t="b">
        <f t="shared" si="53"/>
        <v>0</v>
      </c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  <c r="AG1121" s="2"/>
      <c r="AH1121" s="2"/>
      <c r="AI1121" s="2"/>
    </row>
    <row r="1122" spans="1:35" ht="14.25" customHeight="1" x14ac:dyDescent="0.2">
      <c r="A1122" s="1">
        <v>24132</v>
      </c>
      <c r="B1122" s="1" t="s">
        <v>492</v>
      </c>
      <c r="C1122" s="1" t="s">
        <v>30</v>
      </c>
      <c r="D1122" s="2">
        <v>41826</v>
      </c>
      <c r="E1122" s="1" t="s">
        <v>43</v>
      </c>
      <c r="F1122" s="1" t="s">
        <v>456</v>
      </c>
      <c r="G1122" s="1">
        <v>46</v>
      </c>
      <c r="H1122" s="1">
        <v>7.1</v>
      </c>
      <c r="I1122" s="1">
        <f t="shared" si="51"/>
        <v>326.59999999999997</v>
      </c>
      <c r="J1122" t="str">
        <f t="shared" si="52"/>
        <v>Low</v>
      </c>
      <c r="K1122" s="1"/>
      <c r="L1122" s="1">
        <v>0.05</v>
      </c>
      <c r="M1122" s="1">
        <v>6.05</v>
      </c>
      <c r="N1122" s="1" t="s">
        <v>33</v>
      </c>
      <c r="O1122" s="1" t="s">
        <v>34</v>
      </c>
      <c r="P1122" s="2">
        <v>41826</v>
      </c>
      <c r="Q1122" s="2" t="b">
        <f t="shared" si="53"/>
        <v>0</v>
      </c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  <c r="AG1122" s="2"/>
      <c r="AH1122" s="2"/>
      <c r="AI1122" s="2"/>
    </row>
    <row r="1123" spans="1:35" ht="14.25" customHeight="1" x14ac:dyDescent="0.2">
      <c r="A1123" s="1">
        <v>24132</v>
      </c>
      <c r="B1123" s="1" t="s">
        <v>492</v>
      </c>
      <c r="C1123" s="1" t="s">
        <v>30</v>
      </c>
      <c r="D1123" s="2">
        <v>41826</v>
      </c>
      <c r="E1123" s="1" t="s">
        <v>43</v>
      </c>
      <c r="F1123" s="1" t="s">
        <v>1122</v>
      </c>
      <c r="G1123" s="1">
        <v>22</v>
      </c>
      <c r="H1123" s="1">
        <v>20.95</v>
      </c>
      <c r="I1123" s="1">
        <f t="shared" si="51"/>
        <v>460.9</v>
      </c>
      <c r="J1123" t="str">
        <f t="shared" si="52"/>
        <v>Low</v>
      </c>
      <c r="K1123" s="1"/>
      <c r="L1123" s="1">
        <v>0.04</v>
      </c>
      <c r="M1123" s="1">
        <v>4</v>
      </c>
      <c r="N1123" s="1" t="s">
        <v>33</v>
      </c>
      <c r="O1123" s="1" t="s">
        <v>34</v>
      </c>
      <c r="P1123" s="2">
        <v>41831</v>
      </c>
      <c r="Q1123" s="2" t="b">
        <f t="shared" si="53"/>
        <v>0</v>
      </c>
      <c r="V1123" s="2"/>
      <c r="W1123" s="2"/>
      <c r="X1123" s="2"/>
      <c r="Y1123" s="2"/>
      <c r="Z1123" s="2"/>
      <c r="AA1123" s="2"/>
      <c r="AB1123" s="2"/>
      <c r="AC1123" s="2"/>
      <c r="AD1123" s="2"/>
      <c r="AE1123" s="2"/>
      <c r="AF1123" s="2"/>
      <c r="AG1123" s="2"/>
      <c r="AH1123" s="2"/>
      <c r="AI1123" s="2"/>
    </row>
    <row r="1124" spans="1:35" ht="14.25" customHeight="1" x14ac:dyDescent="0.2">
      <c r="A1124" s="1">
        <v>24132</v>
      </c>
      <c r="B1124" s="1" t="s">
        <v>492</v>
      </c>
      <c r="C1124" s="1" t="s">
        <v>51</v>
      </c>
      <c r="D1124" s="2">
        <v>41826</v>
      </c>
      <c r="E1124" s="1" t="s">
        <v>43</v>
      </c>
      <c r="F1124" s="1" t="s">
        <v>971</v>
      </c>
      <c r="G1124" s="1">
        <v>31</v>
      </c>
      <c r="H1124" s="1">
        <v>39.06</v>
      </c>
      <c r="I1124" s="1">
        <f t="shared" si="51"/>
        <v>1210.8600000000001</v>
      </c>
      <c r="J1124" t="str">
        <f t="shared" si="52"/>
        <v>High</v>
      </c>
      <c r="K1124" s="1"/>
      <c r="L1124" s="1">
        <v>0.05</v>
      </c>
      <c r="M1124" s="1">
        <v>10.55</v>
      </c>
      <c r="N1124" s="1" t="s">
        <v>33</v>
      </c>
      <c r="O1124" s="1" t="s">
        <v>34</v>
      </c>
      <c r="P1124" s="2">
        <v>41833</v>
      </c>
      <c r="Q1124" s="2" t="b">
        <f t="shared" si="53"/>
        <v>0</v>
      </c>
      <c r="V1124" s="2"/>
      <c r="W1124" s="2"/>
      <c r="X1124" s="2"/>
      <c r="Y1124" s="2"/>
      <c r="Z1124" s="2"/>
      <c r="AA1124" s="2"/>
      <c r="AB1124" s="2"/>
      <c r="AC1124" s="2"/>
      <c r="AD1124" s="2"/>
      <c r="AE1124" s="2"/>
      <c r="AF1124" s="2"/>
      <c r="AG1124" s="2"/>
      <c r="AH1124" s="2"/>
      <c r="AI1124" s="2"/>
    </row>
    <row r="1125" spans="1:35" ht="14.25" customHeight="1" x14ac:dyDescent="0.2">
      <c r="A1125" s="1">
        <v>24132</v>
      </c>
      <c r="B1125" s="1" t="s">
        <v>492</v>
      </c>
      <c r="C1125" s="1" t="s">
        <v>30</v>
      </c>
      <c r="D1125" s="2">
        <v>41826</v>
      </c>
      <c r="E1125" s="1" t="s">
        <v>43</v>
      </c>
      <c r="F1125" s="1" t="s">
        <v>1199</v>
      </c>
      <c r="G1125" s="1">
        <v>12</v>
      </c>
      <c r="H1125" s="1">
        <v>3.52</v>
      </c>
      <c r="I1125" s="1">
        <f t="shared" si="51"/>
        <v>42.24</v>
      </c>
      <c r="J1125" t="str">
        <f t="shared" si="52"/>
        <v>Low</v>
      </c>
      <c r="K1125" s="1"/>
      <c r="L1125" s="1">
        <v>0.04</v>
      </c>
      <c r="M1125" s="1">
        <v>6.83</v>
      </c>
      <c r="N1125" s="1" t="s">
        <v>33</v>
      </c>
      <c r="O1125" s="1" t="s">
        <v>34</v>
      </c>
      <c r="P1125" s="2">
        <v>41835</v>
      </c>
      <c r="Q1125" s="2" t="b">
        <f t="shared" si="53"/>
        <v>0</v>
      </c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  <c r="AG1125" s="2"/>
      <c r="AH1125" s="2"/>
      <c r="AI1125" s="2"/>
    </row>
    <row r="1126" spans="1:35" ht="14.25" customHeight="1" x14ac:dyDescent="0.2">
      <c r="A1126" s="1">
        <v>24132</v>
      </c>
      <c r="B1126" s="1" t="s">
        <v>492</v>
      </c>
      <c r="C1126" s="1" t="s">
        <v>51</v>
      </c>
      <c r="D1126" s="2">
        <v>41826</v>
      </c>
      <c r="E1126" s="1" t="s">
        <v>43</v>
      </c>
      <c r="F1126" s="1" t="s">
        <v>267</v>
      </c>
      <c r="G1126" s="1">
        <v>3</v>
      </c>
      <c r="H1126" s="1">
        <v>15.51</v>
      </c>
      <c r="I1126" s="1">
        <f t="shared" si="51"/>
        <v>46.53</v>
      </c>
      <c r="J1126" t="str">
        <f t="shared" si="52"/>
        <v>Low</v>
      </c>
      <c r="K1126" s="1"/>
      <c r="L1126" s="1">
        <v>0.02</v>
      </c>
      <c r="M1126" s="1">
        <v>17.78</v>
      </c>
      <c r="N1126" s="1" t="s">
        <v>33</v>
      </c>
      <c r="O1126" s="1" t="s">
        <v>34</v>
      </c>
      <c r="P1126" s="2">
        <v>41833</v>
      </c>
      <c r="Q1126" s="2" t="b">
        <f t="shared" si="53"/>
        <v>0</v>
      </c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  <c r="AG1126" s="2"/>
      <c r="AH1126" s="2"/>
      <c r="AI1126" s="2"/>
    </row>
    <row r="1127" spans="1:35" ht="14.25" customHeight="1" x14ac:dyDescent="0.2">
      <c r="A1127" s="1">
        <v>23844</v>
      </c>
      <c r="B1127" s="1" t="s">
        <v>1200</v>
      </c>
      <c r="C1127" s="1" t="s">
        <v>51</v>
      </c>
      <c r="D1127" s="2">
        <v>41826</v>
      </c>
      <c r="E1127" s="1" t="s">
        <v>22</v>
      </c>
      <c r="F1127" s="1" t="s">
        <v>800</v>
      </c>
      <c r="G1127" s="1">
        <v>40</v>
      </c>
      <c r="H1127" s="1">
        <v>42.98</v>
      </c>
      <c r="I1127" s="1">
        <f t="shared" si="51"/>
        <v>1719.1999999999998</v>
      </c>
      <c r="J1127" t="str">
        <f t="shared" si="52"/>
        <v>High</v>
      </c>
      <c r="K1127" s="1"/>
      <c r="L1127" s="1">
        <v>0</v>
      </c>
      <c r="M1127" s="1">
        <v>4.62</v>
      </c>
      <c r="N1127" s="1" t="s">
        <v>33</v>
      </c>
      <c r="O1127" s="1" t="s">
        <v>34</v>
      </c>
      <c r="P1127" s="2">
        <v>41828</v>
      </c>
      <c r="Q1127" s="2" t="b">
        <f t="shared" si="53"/>
        <v>0</v>
      </c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  <c r="AG1127" s="2"/>
      <c r="AH1127" s="2"/>
      <c r="AI1127" s="2"/>
    </row>
    <row r="1128" spans="1:35" ht="14.25" customHeight="1" x14ac:dyDescent="0.2">
      <c r="A1128" s="1">
        <v>23844</v>
      </c>
      <c r="B1128" s="1" t="s">
        <v>1200</v>
      </c>
      <c r="C1128" s="1" t="s">
        <v>21</v>
      </c>
      <c r="D1128" s="2">
        <v>41826</v>
      </c>
      <c r="E1128" s="1" t="s">
        <v>22</v>
      </c>
      <c r="F1128" s="1" t="s">
        <v>1201</v>
      </c>
      <c r="G1128" s="1">
        <v>42</v>
      </c>
      <c r="H1128" s="1">
        <v>21.78</v>
      </c>
      <c r="I1128" s="1">
        <f t="shared" si="51"/>
        <v>914.76</v>
      </c>
      <c r="J1128" t="str">
        <f t="shared" si="52"/>
        <v>Low</v>
      </c>
      <c r="K1128" s="1"/>
      <c r="L1128" s="1">
        <v>0.03</v>
      </c>
      <c r="M1128" s="1">
        <v>5.94</v>
      </c>
      <c r="N1128" s="1" t="s">
        <v>33</v>
      </c>
      <c r="O1128" s="1" t="s">
        <v>72</v>
      </c>
      <c r="P1128" s="2">
        <v>41828</v>
      </c>
      <c r="Q1128" s="2" t="b">
        <f t="shared" si="53"/>
        <v>0</v>
      </c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  <c r="AG1128" s="2"/>
      <c r="AH1128" s="2"/>
      <c r="AI1128" s="2"/>
    </row>
    <row r="1129" spans="1:35" ht="14.25" customHeight="1" x14ac:dyDescent="0.2">
      <c r="A1129" s="1">
        <v>23844</v>
      </c>
      <c r="B1129" s="1" t="s">
        <v>1200</v>
      </c>
      <c r="C1129" s="1" t="s">
        <v>21</v>
      </c>
      <c r="D1129" s="2">
        <v>41826</v>
      </c>
      <c r="E1129" s="1" t="s">
        <v>22</v>
      </c>
      <c r="F1129" s="1" t="s">
        <v>1202</v>
      </c>
      <c r="G1129" s="1">
        <v>11</v>
      </c>
      <c r="H1129" s="1">
        <v>3.15</v>
      </c>
      <c r="I1129" s="1">
        <f t="shared" si="51"/>
        <v>34.65</v>
      </c>
      <c r="J1129" t="str">
        <f t="shared" si="52"/>
        <v>Low</v>
      </c>
      <c r="K1129" s="1"/>
      <c r="L1129" s="1">
        <v>0.08</v>
      </c>
      <c r="M1129" s="1">
        <v>0.5</v>
      </c>
      <c r="N1129" s="1" t="s">
        <v>33</v>
      </c>
      <c r="O1129" s="1" t="s">
        <v>34</v>
      </c>
      <c r="P1129" s="2">
        <v>41827</v>
      </c>
      <c r="Q1129" s="2" t="b">
        <f t="shared" si="53"/>
        <v>0</v>
      </c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  <c r="AG1129" s="2"/>
      <c r="AH1129" s="2"/>
      <c r="AI1129" s="2"/>
    </row>
    <row r="1130" spans="1:35" ht="14.25" customHeight="1" x14ac:dyDescent="0.2">
      <c r="A1130" s="1">
        <v>58727</v>
      </c>
      <c r="B1130" s="1" t="s">
        <v>1065</v>
      </c>
      <c r="C1130" s="1" t="s">
        <v>30</v>
      </c>
      <c r="D1130" s="2">
        <v>41826</v>
      </c>
      <c r="E1130" s="1" t="s">
        <v>101</v>
      </c>
      <c r="F1130" s="1" t="s">
        <v>974</v>
      </c>
      <c r="G1130" s="1">
        <v>20</v>
      </c>
      <c r="H1130" s="1">
        <v>26.48</v>
      </c>
      <c r="I1130" s="1">
        <f t="shared" si="51"/>
        <v>529.6</v>
      </c>
      <c r="J1130" t="str">
        <f t="shared" si="52"/>
        <v>Low</v>
      </c>
      <c r="K1130" s="1"/>
      <c r="L1130" s="1">
        <v>0.03</v>
      </c>
      <c r="M1130" s="1">
        <v>6.93</v>
      </c>
      <c r="N1130" s="1" t="s">
        <v>33</v>
      </c>
      <c r="O1130" s="1" t="s">
        <v>34</v>
      </c>
      <c r="P1130" s="2">
        <v>41827</v>
      </c>
      <c r="Q1130" s="2" t="b">
        <f t="shared" si="53"/>
        <v>0</v>
      </c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  <c r="AG1130" s="2"/>
      <c r="AH1130" s="2"/>
      <c r="AI1130" s="2"/>
    </row>
    <row r="1131" spans="1:35" ht="14.25" customHeight="1" x14ac:dyDescent="0.2">
      <c r="A1131" s="1">
        <v>39744</v>
      </c>
      <c r="B1131" s="1" t="s">
        <v>1203</v>
      </c>
      <c r="C1131" s="1" t="s">
        <v>21</v>
      </c>
      <c r="D1131" s="2">
        <v>41826</v>
      </c>
      <c r="E1131" s="1" t="s">
        <v>101</v>
      </c>
      <c r="F1131" s="1" t="s">
        <v>1182</v>
      </c>
      <c r="G1131" s="1">
        <v>6</v>
      </c>
      <c r="H1131" s="1">
        <v>10.06</v>
      </c>
      <c r="I1131" s="1">
        <f t="shared" si="51"/>
        <v>60.36</v>
      </c>
      <c r="J1131" t="str">
        <f t="shared" si="52"/>
        <v>Low</v>
      </c>
      <c r="K1131" s="1"/>
      <c r="L1131" s="1">
        <v>0.01</v>
      </c>
      <c r="M1131" s="1">
        <v>2.06</v>
      </c>
      <c r="N1131" s="1" t="s">
        <v>33</v>
      </c>
      <c r="O1131" s="1" t="s">
        <v>55</v>
      </c>
      <c r="P1131" s="2">
        <v>41828</v>
      </c>
      <c r="Q1131" s="2" t="b">
        <f t="shared" si="53"/>
        <v>0</v>
      </c>
      <c r="V1131" s="2"/>
      <c r="W1131" s="2"/>
      <c r="X1131" s="2"/>
      <c r="Y1131" s="2"/>
      <c r="Z1131" s="2"/>
      <c r="AA1131" s="2"/>
      <c r="AB1131" s="2"/>
      <c r="AC1131" s="2"/>
      <c r="AD1131" s="2"/>
      <c r="AE1131" s="2"/>
      <c r="AF1131" s="2"/>
      <c r="AG1131" s="2"/>
      <c r="AH1131" s="2"/>
      <c r="AI1131" s="2"/>
    </row>
    <row r="1132" spans="1:35" ht="14.25" customHeight="1" x14ac:dyDescent="0.2">
      <c r="A1132" s="1">
        <v>39744</v>
      </c>
      <c r="B1132" s="1" t="s">
        <v>1203</v>
      </c>
      <c r="C1132" s="1" t="s">
        <v>51</v>
      </c>
      <c r="D1132" s="2">
        <v>41826</v>
      </c>
      <c r="E1132" s="1" t="s">
        <v>101</v>
      </c>
      <c r="F1132" s="1" t="s">
        <v>1204</v>
      </c>
      <c r="G1132" s="1">
        <v>9</v>
      </c>
      <c r="H1132" s="1">
        <v>65.989999999999995</v>
      </c>
      <c r="I1132" s="1">
        <f t="shared" si="51"/>
        <v>593.91</v>
      </c>
      <c r="J1132" t="str">
        <f t="shared" si="52"/>
        <v>Low</v>
      </c>
      <c r="K1132" s="1"/>
      <c r="L1132" s="1">
        <v>0</v>
      </c>
      <c r="M1132" s="1">
        <v>5.92</v>
      </c>
      <c r="N1132" s="1" t="s">
        <v>33</v>
      </c>
      <c r="O1132" s="1" t="s">
        <v>34</v>
      </c>
      <c r="P1132" s="2">
        <v>41828</v>
      </c>
      <c r="Q1132" s="2" t="b">
        <f t="shared" si="53"/>
        <v>0</v>
      </c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  <c r="AG1132" s="2"/>
      <c r="AH1132" s="2"/>
      <c r="AI1132" s="2"/>
    </row>
    <row r="1133" spans="1:35" ht="14.25" customHeight="1" x14ac:dyDescent="0.2">
      <c r="A1133" s="1">
        <v>39744</v>
      </c>
      <c r="B1133" s="1" t="s">
        <v>1203</v>
      </c>
      <c r="C1133" s="1" t="s">
        <v>51</v>
      </c>
      <c r="D1133" s="2">
        <v>41826</v>
      </c>
      <c r="E1133" s="1" t="s">
        <v>101</v>
      </c>
      <c r="F1133" s="1" t="s">
        <v>1205</v>
      </c>
      <c r="G1133" s="1">
        <v>41</v>
      </c>
      <c r="H1133" s="1">
        <v>155.99</v>
      </c>
      <c r="I1133" s="1">
        <f t="shared" si="51"/>
        <v>6395.59</v>
      </c>
      <c r="J1133" t="str">
        <f t="shared" si="52"/>
        <v>High</v>
      </c>
      <c r="K1133" s="1"/>
      <c r="L1133" s="1">
        <v>0.04</v>
      </c>
      <c r="M1133" s="1">
        <v>8.99</v>
      </c>
      <c r="N1133" s="1" t="s">
        <v>33</v>
      </c>
      <c r="O1133" s="1" t="s">
        <v>34</v>
      </c>
      <c r="P1133" s="2">
        <v>41827</v>
      </c>
      <c r="Q1133" s="2" t="b">
        <f t="shared" si="53"/>
        <v>0</v>
      </c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  <c r="AG1133" s="2"/>
      <c r="AH1133" s="2"/>
      <c r="AI1133" s="2"/>
    </row>
    <row r="1134" spans="1:35" ht="14.25" customHeight="1" x14ac:dyDescent="0.2">
      <c r="A1134" s="1">
        <v>48416</v>
      </c>
      <c r="B1134" s="1" t="s">
        <v>1206</v>
      </c>
      <c r="C1134" s="1" t="s">
        <v>51</v>
      </c>
      <c r="D1134" s="2">
        <v>41826</v>
      </c>
      <c r="E1134" s="1" t="s">
        <v>22</v>
      </c>
      <c r="F1134" s="1" t="s">
        <v>1207</v>
      </c>
      <c r="G1134" s="1">
        <v>23</v>
      </c>
      <c r="H1134" s="1">
        <v>6.68</v>
      </c>
      <c r="I1134" s="1">
        <f t="shared" si="51"/>
        <v>153.63999999999999</v>
      </c>
      <c r="J1134" t="str">
        <f t="shared" si="52"/>
        <v>Low</v>
      </c>
      <c r="K1134" s="1"/>
      <c r="L1134" s="1">
        <v>0.01</v>
      </c>
      <c r="M1134" s="1">
        <v>4.91</v>
      </c>
      <c r="N1134" s="1" t="s">
        <v>33</v>
      </c>
      <c r="O1134" s="1" t="s">
        <v>34</v>
      </c>
      <c r="P1134" s="2">
        <v>41828</v>
      </c>
      <c r="Q1134" s="2" t="b">
        <f t="shared" si="53"/>
        <v>0</v>
      </c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  <c r="AG1134" s="2"/>
      <c r="AH1134" s="2"/>
      <c r="AI1134" s="2"/>
    </row>
    <row r="1135" spans="1:35" ht="14.25" customHeight="1" x14ac:dyDescent="0.2">
      <c r="A1135" s="1">
        <v>40902</v>
      </c>
      <c r="B1135" s="1" t="s">
        <v>80</v>
      </c>
      <c r="C1135" s="1" t="s">
        <v>21</v>
      </c>
      <c r="D1135" s="2">
        <v>41827</v>
      </c>
      <c r="E1135" s="1" t="s">
        <v>43</v>
      </c>
      <c r="F1135" s="1" t="s">
        <v>456</v>
      </c>
      <c r="G1135" s="1">
        <v>25</v>
      </c>
      <c r="H1135" s="1">
        <v>7.1</v>
      </c>
      <c r="I1135" s="1">
        <f t="shared" si="51"/>
        <v>177.5</v>
      </c>
      <c r="J1135" t="str">
        <f t="shared" si="52"/>
        <v>Low</v>
      </c>
      <c r="K1135" s="1"/>
      <c r="L1135" s="1">
        <v>0.02</v>
      </c>
      <c r="M1135" s="1">
        <v>6.05</v>
      </c>
      <c r="N1135" s="1" t="s">
        <v>33</v>
      </c>
      <c r="O1135" s="1" t="s">
        <v>34</v>
      </c>
      <c r="P1135" s="2">
        <v>41829</v>
      </c>
      <c r="Q1135" s="2" t="b">
        <f t="shared" si="53"/>
        <v>0</v>
      </c>
      <c r="V1135" s="2"/>
      <c r="W1135" s="2"/>
      <c r="X1135" s="2"/>
      <c r="Y1135" s="2"/>
      <c r="Z1135" s="2"/>
      <c r="AA1135" s="2"/>
      <c r="AB1135" s="2"/>
      <c r="AC1135" s="2"/>
      <c r="AD1135" s="2"/>
      <c r="AE1135" s="2"/>
      <c r="AF1135" s="2"/>
      <c r="AG1135" s="2"/>
      <c r="AH1135" s="2"/>
      <c r="AI1135" s="2"/>
    </row>
    <row r="1136" spans="1:35" ht="14.25" customHeight="1" x14ac:dyDescent="0.2">
      <c r="A1136" s="1">
        <v>53894</v>
      </c>
      <c r="B1136" s="1" t="s">
        <v>444</v>
      </c>
      <c r="C1136" s="1" t="s">
        <v>21</v>
      </c>
      <c r="D1136" s="2">
        <v>41827</v>
      </c>
      <c r="E1136" s="1" t="s">
        <v>38</v>
      </c>
      <c r="F1136" s="1" t="s">
        <v>636</v>
      </c>
      <c r="G1136" s="1">
        <v>47</v>
      </c>
      <c r="H1136" s="1">
        <v>14.2</v>
      </c>
      <c r="I1136" s="1">
        <f t="shared" si="51"/>
        <v>667.4</v>
      </c>
      <c r="J1136" t="str">
        <f t="shared" si="52"/>
        <v>Low</v>
      </c>
      <c r="K1136" s="1"/>
      <c r="L1136" s="1">
        <v>0.03</v>
      </c>
      <c r="M1136" s="1">
        <v>5.3</v>
      </c>
      <c r="N1136" s="1" t="s">
        <v>33</v>
      </c>
      <c r="O1136" s="1" t="s">
        <v>55</v>
      </c>
      <c r="P1136" s="2">
        <v>41828</v>
      </c>
      <c r="Q1136" s="2" t="b">
        <f t="shared" si="53"/>
        <v>0</v>
      </c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  <c r="AG1136" s="2"/>
      <c r="AH1136" s="2"/>
      <c r="AI1136" s="2"/>
    </row>
    <row r="1137" spans="1:35" ht="14.25" customHeight="1" x14ac:dyDescent="0.2">
      <c r="A1137" s="1">
        <v>53894</v>
      </c>
      <c r="B1137" s="1" t="s">
        <v>444</v>
      </c>
      <c r="C1137" s="1" t="s">
        <v>30</v>
      </c>
      <c r="D1137" s="2">
        <v>41827</v>
      </c>
      <c r="E1137" s="1" t="s">
        <v>38</v>
      </c>
      <c r="F1137" s="1" t="s">
        <v>412</v>
      </c>
      <c r="G1137" s="1">
        <v>37</v>
      </c>
      <c r="H1137" s="1">
        <v>71.37</v>
      </c>
      <c r="I1137" s="1">
        <f t="shared" si="51"/>
        <v>2640.69</v>
      </c>
      <c r="J1137" t="str">
        <f t="shared" si="52"/>
        <v>High</v>
      </c>
      <c r="K1137" s="1"/>
      <c r="L1137" s="1">
        <v>0.04</v>
      </c>
      <c r="M1137" s="1">
        <v>69</v>
      </c>
      <c r="N1137" s="1" t="s">
        <v>33</v>
      </c>
      <c r="O1137" s="1" t="s">
        <v>26</v>
      </c>
      <c r="P1137" s="2">
        <v>41828</v>
      </c>
      <c r="Q1137" s="2" t="b">
        <f t="shared" si="53"/>
        <v>0</v>
      </c>
      <c r="V1137" s="2"/>
      <c r="W1137" s="2"/>
      <c r="X1137" s="2"/>
      <c r="Y1137" s="2"/>
      <c r="Z1137" s="2"/>
      <c r="AA1137" s="2"/>
      <c r="AB1137" s="2"/>
      <c r="AC1137" s="2"/>
      <c r="AD1137" s="2"/>
      <c r="AE1137" s="2"/>
      <c r="AF1137" s="2"/>
      <c r="AG1137" s="2"/>
      <c r="AH1137" s="2"/>
      <c r="AI1137" s="2"/>
    </row>
    <row r="1138" spans="1:35" ht="14.25" customHeight="1" x14ac:dyDescent="0.2">
      <c r="A1138" s="1">
        <v>53894</v>
      </c>
      <c r="B1138" s="1" t="s">
        <v>444</v>
      </c>
      <c r="C1138" s="1" t="s">
        <v>51</v>
      </c>
      <c r="D1138" s="2">
        <v>41827</v>
      </c>
      <c r="E1138" s="1" t="s">
        <v>38</v>
      </c>
      <c r="F1138" s="1" t="s">
        <v>1064</v>
      </c>
      <c r="G1138" s="1">
        <v>29</v>
      </c>
      <c r="H1138" s="1">
        <v>200.99</v>
      </c>
      <c r="I1138" s="1">
        <f t="shared" si="51"/>
        <v>5828.71</v>
      </c>
      <c r="J1138" t="str">
        <f t="shared" si="52"/>
        <v>High</v>
      </c>
      <c r="K1138" s="1"/>
      <c r="L1138" s="1">
        <v>0.02</v>
      </c>
      <c r="M1138" s="1">
        <v>8.08</v>
      </c>
      <c r="N1138" s="1" t="s">
        <v>25</v>
      </c>
      <c r="O1138" s="1" t="s">
        <v>34</v>
      </c>
      <c r="P1138" s="2">
        <v>41827</v>
      </c>
      <c r="Q1138" s="2" t="b">
        <f t="shared" si="53"/>
        <v>0</v>
      </c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  <c r="AG1138" s="2"/>
      <c r="AH1138" s="2"/>
      <c r="AI1138" s="2"/>
    </row>
    <row r="1139" spans="1:35" ht="14.25" customHeight="1" x14ac:dyDescent="0.2">
      <c r="A1139" s="1">
        <v>12480</v>
      </c>
      <c r="B1139" s="1" t="s">
        <v>936</v>
      </c>
      <c r="C1139" s="1" t="s">
        <v>51</v>
      </c>
      <c r="D1139" s="2">
        <v>41827</v>
      </c>
      <c r="E1139" s="1" t="s">
        <v>101</v>
      </c>
      <c r="F1139" s="1" t="s">
        <v>1208</v>
      </c>
      <c r="G1139" s="1">
        <v>8</v>
      </c>
      <c r="H1139" s="1">
        <v>137.47999999999999</v>
      </c>
      <c r="I1139" s="1">
        <f t="shared" si="51"/>
        <v>1099.8399999999999</v>
      </c>
      <c r="J1139" t="str">
        <f t="shared" si="52"/>
        <v>High</v>
      </c>
      <c r="K1139" s="1"/>
      <c r="L1139" s="1">
        <v>0</v>
      </c>
      <c r="M1139" s="1">
        <v>32.18</v>
      </c>
      <c r="N1139" s="1" t="s">
        <v>45</v>
      </c>
      <c r="O1139" s="1" t="s">
        <v>63</v>
      </c>
      <c r="P1139" s="2">
        <v>41828</v>
      </c>
      <c r="Q1139" s="2" t="b">
        <f t="shared" si="53"/>
        <v>0</v>
      </c>
      <c r="V1139" s="2"/>
      <c r="W1139" s="2"/>
      <c r="X1139" s="2"/>
      <c r="Y1139" s="2"/>
      <c r="Z1139" s="2"/>
      <c r="AA1139" s="2"/>
      <c r="AB1139" s="2"/>
      <c r="AC1139" s="2"/>
      <c r="AD1139" s="2"/>
      <c r="AE1139" s="2"/>
      <c r="AF1139" s="2"/>
      <c r="AG1139" s="2"/>
      <c r="AH1139" s="2"/>
      <c r="AI1139" s="2"/>
    </row>
    <row r="1140" spans="1:35" ht="14.25" customHeight="1" x14ac:dyDescent="0.2">
      <c r="A1140" s="1">
        <v>36932</v>
      </c>
      <c r="B1140" s="1" t="s">
        <v>1209</v>
      </c>
      <c r="C1140" s="1" t="s">
        <v>51</v>
      </c>
      <c r="D1140" s="2">
        <v>41827</v>
      </c>
      <c r="E1140" s="1" t="s">
        <v>43</v>
      </c>
      <c r="F1140" s="1" t="s">
        <v>1124</v>
      </c>
      <c r="G1140" s="1">
        <v>20</v>
      </c>
      <c r="H1140" s="1">
        <v>33.89</v>
      </c>
      <c r="I1140" s="1">
        <f t="shared" si="51"/>
        <v>677.8</v>
      </c>
      <c r="J1140" t="str">
        <f t="shared" si="52"/>
        <v>Low</v>
      </c>
      <c r="K1140" s="1"/>
      <c r="L1140" s="1">
        <v>0.04</v>
      </c>
      <c r="M1140" s="1">
        <v>5.0999999999999996</v>
      </c>
      <c r="N1140" s="1" t="s">
        <v>33</v>
      </c>
      <c r="O1140" s="1" t="s">
        <v>34</v>
      </c>
      <c r="P1140" s="2">
        <v>41832</v>
      </c>
      <c r="Q1140" s="2" t="b">
        <f t="shared" si="53"/>
        <v>0</v>
      </c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  <c r="AG1140" s="2"/>
      <c r="AH1140" s="2"/>
      <c r="AI1140" s="2"/>
    </row>
    <row r="1141" spans="1:35" ht="14.25" customHeight="1" x14ac:dyDescent="0.2">
      <c r="A1141" s="1">
        <v>10305</v>
      </c>
      <c r="B1141" s="1" t="s">
        <v>123</v>
      </c>
      <c r="C1141" s="1" t="s">
        <v>30</v>
      </c>
      <c r="D1141" s="2">
        <v>41827</v>
      </c>
      <c r="E1141" s="1" t="s">
        <v>43</v>
      </c>
      <c r="F1141" s="1" t="s">
        <v>1210</v>
      </c>
      <c r="G1141" s="1">
        <v>12</v>
      </c>
      <c r="H1141" s="1">
        <v>5.08</v>
      </c>
      <c r="I1141" s="1">
        <f t="shared" si="51"/>
        <v>60.96</v>
      </c>
      <c r="J1141" t="str">
        <f t="shared" si="52"/>
        <v>Low</v>
      </c>
      <c r="K1141" s="1"/>
      <c r="L1141" s="1">
        <v>0.03</v>
      </c>
      <c r="M1141" s="1">
        <v>2.0299999999999998</v>
      </c>
      <c r="N1141" s="1" t="s">
        <v>33</v>
      </c>
      <c r="O1141" s="1" t="s">
        <v>55</v>
      </c>
      <c r="P1141" s="2">
        <v>41832</v>
      </c>
      <c r="Q1141" s="2" t="b">
        <f t="shared" si="53"/>
        <v>0</v>
      </c>
      <c r="V1141" s="2"/>
      <c r="W1141" s="2"/>
      <c r="X1141" s="2"/>
      <c r="Y1141" s="2"/>
      <c r="Z1141" s="2"/>
      <c r="AA1141" s="2"/>
      <c r="AB1141" s="2"/>
      <c r="AC1141" s="2"/>
      <c r="AD1141" s="2"/>
      <c r="AE1141" s="2"/>
      <c r="AF1141" s="2"/>
      <c r="AG1141" s="2"/>
      <c r="AH1141" s="2"/>
      <c r="AI1141" s="2"/>
    </row>
    <row r="1142" spans="1:35" ht="14.25" customHeight="1" x14ac:dyDescent="0.2">
      <c r="A1142" s="1">
        <v>20513</v>
      </c>
      <c r="B1142" s="1" t="s">
        <v>1176</v>
      </c>
      <c r="C1142" s="1" t="s">
        <v>30</v>
      </c>
      <c r="D1142" s="2">
        <v>41827</v>
      </c>
      <c r="E1142" s="1" t="s">
        <v>31</v>
      </c>
      <c r="F1142" s="1" t="s">
        <v>1079</v>
      </c>
      <c r="G1142" s="1">
        <v>13</v>
      </c>
      <c r="H1142" s="1">
        <v>2.84</v>
      </c>
      <c r="I1142" s="1">
        <f t="shared" si="51"/>
        <v>36.92</v>
      </c>
      <c r="J1142" t="str">
        <f t="shared" si="52"/>
        <v>Low</v>
      </c>
      <c r="K1142" s="1"/>
      <c r="L1142" s="1">
        <v>0.01</v>
      </c>
      <c r="M1142" s="1">
        <v>0.93</v>
      </c>
      <c r="N1142" s="1" t="s">
        <v>25</v>
      </c>
      <c r="O1142" s="1" t="s">
        <v>55</v>
      </c>
      <c r="P1142" s="2">
        <v>41828</v>
      </c>
      <c r="Q1142" s="2" t="b">
        <f t="shared" si="53"/>
        <v>0</v>
      </c>
      <c r="V1142" s="2"/>
      <c r="W1142" s="2"/>
      <c r="X1142" s="2"/>
      <c r="Y1142" s="2"/>
      <c r="Z1142" s="2"/>
      <c r="AA1142" s="2"/>
      <c r="AB1142" s="2"/>
      <c r="AC1142" s="2"/>
      <c r="AD1142" s="2"/>
      <c r="AE1142" s="2"/>
      <c r="AF1142" s="2"/>
      <c r="AG1142" s="2"/>
      <c r="AH1142" s="2"/>
      <c r="AI1142" s="2"/>
    </row>
    <row r="1143" spans="1:35" ht="14.25" customHeight="1" x14ac:dyDescent="0.2">
      <c r="A1143" s="1">
        <v>37447</v>
      </c>
      <c r="B1143" s="1" t="s">
        <v>933</v>
      </c>
      <c r="C1143" s="1" t="s">
        <v>51</v>
      </c>
      <c r="D1143" s="2">
        <v>41828</v>
      </c>
      <c r="E1143" s="1" t="s">
        <v>43</v>
      </c>
      <c r="F1143" s="1" t="s">
        <v>230</v>
      </c>
      <c r="G1143" s="1">
        <v>23</v>
      </c>
      <c r="H1143" s="1">
        <v>5.81</v>
      </c>
      <c r="I1143" s="1">
        <f t="shared" si="51"/>
        <v>133.63</v>
      </c>
      <c r="J1143" t="str">
        <f t="shared" si="52"/>
        <v>Low</v>
      </c>
      <c r="K1143" s="1"/>
      <c r="L1143" s="1">
        <v>0.02</v>
      </c>
      <c r="M1143" s="1">
        <v>8.49</v>
      </c>
      <c r="N1143" s="1" t="s">
        <v>33</v>
      </c>
      <c r="O1143" s="1" t="s">
        <v>34</v>
      </c>
      <c r="P1143" s="2">
        <v>41832</v>
      </c>
      <c r="Q1143" s="2" t="b">
        <f t="shared" si="53"/>
        <v>0</v>
      </c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  <c r="AG1143" s="2"/>
      <c r="AH1143" s="2"/>
      <c r="AI1143" s="2"/>
    </row>
    <row r="1144" spans="1:35" ht="14.25" customHeight="1" x14ac:dyDescent="0.2">
      <c r="A1144" s="1">
        <v>49830</v>
      </c>
      <c r="B1144" s="1" t="s">
        <v>431</v>
      </c>
      <c r="C1144" s="1" t="s">
        <v>30</v>
      </c>
      <c r="D1144" s="2">
        <v>41829</v>
      </c>
      <c r="E1144" s="1" t="s">
        <v>38</v>
      </c>
      <c r="F1144" s="1" t="s">
        <v>1211</v>
      </c>
      <c r="G1144" s="1">
        <v>16</v>
      </c>
      <c r="H1144" s="1">
        <v>30.98</v>
      </c>
      <c r="I1144" s="1">
        <f t="shared" si="51"/>
        <v>495.68</v>
      </c>
      <c r="J1144" t="str">
        <f t="shared" si="52"/>
        <v>Low</v>
      </c>
      <c r="K1144" s="1"/>
      <c r="L1144" s="1">
        <v>0.03</v>
      </c>
      <c r="M1144" s="1">
        <v>8.99</v>
      </c>
      <c r="N1144" s="1" t="s">
        <v>25</v>
      </c>
      <c r="O1144" s="1" t="s">
        <v>84</v>
      </c>
      <c r="P1144" s="2">
        <v>41831</v>
      </c>
      <c r="Q1144" s="2" t="b">
        <f t="shared" si="53"/>
        <v>0</v>
      </c>
      <c r="V1144" s="2"/>
      <c r="W1144" s="2"/>
      <c r="X1144" s="2"/>
      <c r="Y1144" s="2"/>
      <c r="Z1144" s="2"/>
      <c r="AA1144" s="2"/>
      <c r="AB1144" s="2"/>
      <c r="AC1144" s="2"/>
      <c r="AD1144" s="2"/>
      <c r="AE1144" s="2"/>
      <c r="AF1144" s="2"/>
      <c r="AG1144" s="2"/>
      <c r="AH1144" s="2"/>
      <c r="AI1144" s="2"/>
    </row>
    <row r="1145" spans="1:35" ht="14.25" customHeight="1" x14ac:dyDescent="0.2">
      <c r="A1145" s="1">
        <v>37696</v>
      </c>
      <c r="B1145" s="1" t="s">
        <v>100</v>
      </c>
      <c r="C1145" s="1" t="s">
        <v>51</v>
      </c>
      <c r="D1145" s="2">
        <v>41829</v>
      </c>
      <c r="E1145" s="1" t="s">
        <v>22</v>
      </c>
      <c r="F1145" s="1" t="s">
        <v>1212</v>
      </c>
      <c r="G1145" s="1">
        <v>5</v>
      </c>
      <c r="H1145" s="1">
        <v>3.81</v>
      </c>
      <c r="I1145" s="1">
        <f t="shared" si="51"/>
        <v>19.05</v>
      </c>
      <c r="J1145" t="str">
        <f t="shared" si="52"/>
        <v>Low</v>
      </c>
      <c r="K1145" s="1"/>
      <c r="L1145" s="1">
        <v>0.04</v>
      </c>
      <c r="M1145" s="1">
        <v>5.44</v>
      </c>
      <c r="N1145" s="1" t="s">
        <v>33</v>
      </c>
      <c r="O1145" s="1" t="s">
        <v>34</v>
      </c>
      <c r="P1145" s="2">
        <v>41831</v>
      </c>
      <c r="Q1145" s="2" t="b">
        <f t="shared" si="53"/>
        <v>0</v>
      </c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  <c r="AG1145" s="2"/>
      <c r="AH1145" s="2"/>
      <c r="AI1145" s="2"/>
    </row>
    <row r="1146" spans="1:35" ht="14.25" customHeight="1" x14ac:dyDescent="0.2">
      <c r="A1146" s="1">
        <v>37696</v>
      </c>
      <c r="B1146" s="1" t="s">
        <v>100</v>
      </c>
      <c r="C1146" s="1" t="s">
        <v>51</v>
      </c>
      <c r="D1146" s="2">
        <v>41829</v>
      </c>
      <c r="E1146" s="1" t="s">
        <v>22</v>
      </c>
      <c r="F1146" s="1" t="s">
        <v>612</v>
      </c>
      <c r="G1146" s="1">
        <v>41</v>
      </c>
      <c r="H1146" s="1">
        <v>4</v>
      </c>
      <c r="I1146" s="1">
        <f t="shared" si="51"/>
        <v>164</v>
      </c>
      <c r="J1146" t="str">
        <f t="shared" si="52"/>
        <v>Low</v>
      </c>
      <c r="K1146" s="1"/>
      <c r="L1146" s="1">
        <v>0.02</v>
      </c>
      <c r="M1146" s="1">
        <v>1.3</v>
      </c>
      <c r="N1146" s="1" t="s">
        <v>33</v>
      </c>
      <c r="O1146" s="1" t="s">
        <v>55</v>
      </c>
      <c r="P1146" s="2">
        <v>41829</v>
      </c>
      <c r="Q1146" s="2" t="b">
        <f t="shared" si="53"/>
        <v>0</v>
      </c>
      <c r="V1146" s="2"/>
      <c r="W1146" s="2"/>
      <c r="X1146" s="2"/>
      <c r="Y1146" s="2"/>
      <c r="Z1146" s="2"/>
      <c r="AA1146" s="2"/>
      <c r="AB1146" s="2"/>
      <c r="AC1146" s="2"/>
      <c r="AD1146" s="2"/>
      <c r="AE1146" s="2"/>
      <c r="AF1146" s="2"/>
      <c r="AG1146" s="2"/>
      <c r="AH1146" s="2"/>
      <c r="AI1146" s="2"/>
    </row>
    <row r="1147" spans="1:35" ht="14.25" customHeight="1" x14ac:dyDescent="0.2">
      <c r="A1147" s="1">
        <v>40547</v>
      </c>
      <c r="B1147" s="1" t="s">
        <v>1213</v>
      </c>
      <c r="C1147" s="1" t="s">
        <v>51</v>
      </c>
      <c r="D1147" s="2">
        <v>41829</v>
      </c>
      <c r="E1147" s="1" t="s">
        <v>38</v>
      </c>
      <c r="F1147" s="1" t="s">
        <v>1214</v>
      </c>
      <c r="G1147" s="1">
        <v>45</v>
      </c>
      <c r="H1147" s="1">
        <v>179.99</v>
      </c>
      <c r="I1147" s="1">
        <f t="shared" si="51"/>
        <v>8099.55</v>
      </c>
      <c r="J1147" t="str">
        <f t="shared" si="52"/>
        <v>High</v>
      </c>
      <c r="K1147" s="1"/>
      <c r="L1147" s="1">
        <v>0.06</v>
      </c>
      <c r="M1147" s="1">
        <v>13.99</v>
      </c>
      <c r="N1147" s="1" t="s">
        <v>25</v>
      </c>
      <c r="O1147" s="1" t="s">
        <v>72</v>
      </c>
      <c r="P1147" s="2">
        <v>41831</v>
      </c>
      <c r="Q1147" s="2" t="b">
        <f t="shared" si="53"/>
        <v>0</v>
      </c>
      <c r="V1147" s="2"/>
      <c r="W1147" s="2"/>
      <c r="X1147" s="2"/>
      <c r="Y1147" s="2"/>
      <c r="Z1147" s="2"/>
      <c r="AA1147" s="2"/>
      <c r="AB1147" s="2"/>
      <c r="AC1147" s="2"/>
      <c r="AD1147" s="2"/>
      <c r="AE1147" s="2"/>
      <c r="AF1147" s="2"/>
      <c r="AG1147" s="2"/>
      <c r="AH1147" s="2"/>
      <c r="AI1147" s="2"/>
    </row>
    <row r="1148" spans="1:35" ht="14.25" customHeight="1" x14ac:dyDescent="0.2">
      <c r="A1148" s="1">
        <v>49830</v>
      </c>
      <c r="B1148" s="1" t="s">
        <v>431</v>
      </c>
      <c r="C1148" s="1" t="s">
        <v>30</v>
      </c>
      <c r="D1148" s="2">
        <v>41829</v>
      </c>
      <c r="E1148" s="1" t="s">
        <v>38</v>
      </c>
      <c r="F1148" s="1" t="s">
        <v>859</v>
      </c>
      <c r="G1148" s="1">
        <v>31</v>
      </c>
      <c r="H1148" s="1">
        <v>525.98</v>
      </c>
      <c r="I1148" s="1">
        <f t="shared" si="51"/>
        <v>16305.380000000001</v>
      </c>
      <c r="J1148" t="str">
        <f t="shared" si="52"/>
        <v>High</v>
      </c>
      <c r="K1148" s="1"/>
      <c r="L1148" s="1">
        <v>0.01</v>
      </c>
      <c r="M1148" s="1">
        <v>19.989999999999998</v>
      </c>
      <c r="N1148" s="1" t="s">
        <v>33</v>
      </c>
      <c r="O1148" s="1" t="s">
        <v>34</v>
      </c>
      <c r="P1148" s="2">
        <v>41831</v>
      </c>
      <c r="Q1148" s="2" t="b">
        <f t="shared" si="53"/>
        <v>0</v>
      </c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  <c r="AG1148" s="2"/>
      <c r="AH1148" s="2"/>
      <c r="AI1148" s="2"/>
    </row>
    <row r="1149" spans="1:35" ht="14.25" customHeight="1" x14ac:dyDescent="0.2">
      <c r="A1149" s="1">
        <v>28933</v>
      </c>
      <c r="B1149" s="1" t="s">
        <v>1154</v>
      </c>
      <c r="C1149" s="1" t="s">
        <v>21</v>
      </c>
      <c r="D1149" s="2">
        <v>41829</v>
      </c>
      <c r="E1149" s="1" t="s">
        <v>38</v>
      </c>
      <c r="F1149" s="1" t="s">
        <v>794</v>
      </c>
      <c r="G1149" s="1">
        <v>1</v>
      </c>
      <c r="H1149" s="1">
        <v>5.58</v>
      </c>
      <c r="I1149" s="1">
        <f t="shared" si="51"/>
        <v>5.58</v>
      </c>
      <c r="J1149" t="str">
        <f t="shared" si="52"/>
        <v>Low</v>
      </c>
      <c r="K1149" s="1"/>
      <c r="L1149" s="1">
        <v>0.01</v>
      </c>
      <c r="M1149" s="1">
        <v>5.3</v>
      </c>
      <c r="N1149" s="1" t="s">
        <v>33</v>
      </c>
      <c r="O1149" s="1" t="s">
        <v>34</v>
      </c>
      <c r="P1149" s="2">
        <v>41830</v>
      </c>
      <c r="Q1149" s="2" t="b">
        <f t="shared" si="53"/>
        <v>0</v>
      </c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  <c r="AG1149" s="2"/>
      <c r="AH1149" s="2"/>
      <c r="AI1149" s="2"/>
    </row>
    <row r="1150" spans="1:35" ht="14.25" customHeight="1" x14ac:dyDescent="0.2">
      <c r="A1150" s="1">
        <v>28933</v>
      </c>
      <c r="B1150" s="1" t="s">
        <v>1154</v>
      </c>
      <c r="C1150" s="1" t="s">
        <v>21</v>
      </c>
      <c r="D1150" s="2">
        <v>41829</v>
      </c>
      <c r="E1150" s="1" t="s">
        <v>38</v>
      </c>
      <c r="F1150" s="1" t="s">
        <v>289</v>
      </c>
      <c r="G1150" s="1">
        <v>38</v>
      </c>
      <c r="H1150" s="1">
        <v>3.98</v>
      </c>
      <c r="I1150" s="1">
        <f t="shared" si="51"/>
        <v>151.24</v>
      </c>
      <c r="J1150" t="str">
        <f t="shared" si="52"/>
        <v>Low</v>
      </c>
      <c r="K1150" s="1"/>
      <c r="L1150" s="1">
        <v>0.03</v>
      </c>
      <c r="M1150" s="1">
        <v>0.7</v>
      </c>
      <c r="N1150" s="1" t="s">
        <v>33</v>
      </c>
      <c r="O1150" s="1" t="s">
        <v>55</v>
      </c>
      <c r="P1150" s="2">
        <v>41830</v>
      </c>
      <c r="Q1150" s="2" t="b">
        <f t="shared" si="53"/>
        <v>0</v>
      </c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  <c r="AG1150" s="2"/>
      <c r="AH1150" s="2"/>
      <c r="AI1150" s="2"/>
    </row>
    <row r="1151" spans="1:35" ht="14.25" customHeight="1" x14ac:dyDescent="0.2">
      <c r="A1151" s="1">
        <v>26629</v>
      </c>
      <c r="B1151" s="1" t="s">
        <v>115</v>
      </c>
      <c r="C1151" s="1" t="s">
        <v>21</v>
      </c>
      <c r="D1151" s="2">
        <v>41830</v>
      </c>
      <c r="E1151" s="1" t="s">
        <v>31</v>
      </c>
      <c r="F1151" s="1" t="s">
        <v>694</v>
      </c>
      <c r="G1151" s="1">
        <v>38</v>
      </c>
      <c r="H1151" s="1">
        <v>599.99</v>
      </c>
      <c r="I1151" s="1">
        <f t="shared" si="51"/>
        <v>22799.62</v>
      </c>
      <c r="J1151" t="str">
        <f t="shared" si="52"/>
        <v>High</v>
      </c>
      <c r="K1151" s="1"/>
      <c r="L1151" s="1">
        <v>0.1</v>
      </c>
      <c r="M1151" s="1">
        <v>24.49</v>
      </c>
      <c r="N1151" s="1" t="s">
        <v>33</v>
      </c>
      <c r="O1151" s="1" t="s">
        <v>26</v>
      </c>
      <c r="P1151" s="2">
        <v>41831</v>
      </c>
      <c r="Q1151" s="2" t="b">
        <f t="shared" si="53"/>
        <v>0</v>
      </c>
      <c r="V1151" s="2"/>
      <c r="W1151" s="2"/>
      <c r="X1151" s="2"/>
      <c r="Y1151" s="2"/>
      <c r="Z1151" s="2"/>
      <c r="AA1151" s="2"/>
      <c r="AB1151" s="2"/>
      <c r="AC1151" s="2"/>
      <c r="AD1151" s="2"/>
      <c r="AE1151" s="2"/>
      <c r="AF1151" s="2"/>
      <c r="AG1151" s="2"/>
      <c r="AH1151" s="2"/>
      <c r="AI1151" s="2"/>
    </row>
    <row r="1152" spans="1:35" ht="14.25" customHeight="1" x14ac:dyDescent="0.2">
      <c r="A1152" s="1">
        <v>26629</v>
      </c>
      <c r="B1152" s="1" t="s">
        <v>115</v>
      </c>
      <c r="C1152" s="1" t="s">
        <v>30</v>
      </c>
      <c r="D1152" s="2">
        <v>41830</v>
      </c>
      <c r="E1152" s="1" t="s">
        <v>31</v>
      </c>
      <c r="F1152" s="1" t="s">
        <v>808</v>
      </c>
      <c r="G1152" s="1">
        <v>32</v>
      </c>
      <c r="H1152" s="1">
        <v>2.78</v>
      </c>
      <c r="I1152" s="1">
        <f t="shared" si="51"/>
        <v>88.96</v>
      </c>
      <c r="J1152" t="str">
        <f t="shared" si="52"/>
        <v>Low</v>
      </c>
      <c r="K1152" s="1"/>
      <c r="L1152" s="1">
        <v>0.06</v>
      </c>
      <c r="M1152" s="1">
        <v>1.25</v>
      </c>
      <c r="N1152" s="1" t="s">
        <v>33</v>
      </c>
      <c r="O1152" s="1" t="s">
        <v>55</v>
      </c>
      <c r="P1152" s="2">
        <v>41832</v>
      </c>
      <c r="Q1152" s="2" t="b">
        <f t="shared" si="53"/>
        <v>0</v>
      </c>
      <c r="V1152" s="2"/>
      <c r="W1152" s="2"/>
      <c r="X1152" s="2"/>
      <c r="Y1152" s="2"/>
      <c r="Z1152" s="2"/>
      <c r="AA1152" s="2"/>
      <c r="AB1152" s="2"/>
      <c r="AC1152" s="2"/>
      <c r="AD1152" s="2"/>
      <c r="AE1152" s="2"/>
      <c r="AF1152" s="2"/>
      <c r="AG1152" s="2"/>
      <c r="AH1152" s="2"/>
      <c r="AI1152" s="2"/>
    </row>
    <row r="1153" spans="1:35" ht="14.25" customHeight="1" x14ac:dyDescent="0.2">
      <c r="A1153" s="1">
        <v>47621</v>
      </c>
      <c r="B1153" s="1" t="s">
        <v>827</v>
      </c>
      <c r="C1153" s="1" t="s">
        <v>30</v>
      </c>
      <c r="D1153" s="2">
        <v>41831</v>
      </c>
      <c r="E1153" s="1" t="s">
        <v>38</v>
      </c>
      <c r="F1153" s="1" t="s">
        <v>636</v>
      </c>
      <c r="G1153" s="1">
        <v>16</v>
      </c>
      <c r="H1153" s="1">
        <v>14.2</v>
      </c>
      <c r="I1153" s="1">
        <f t="shared" si="51"/>
        <v>227.2</v>
      </c>
      <c r="J1153" t="str">
        <f t="shared" si="52"/>
        <v>Low</v>
      </c>
      <c r="K1153" s="1"/>
      <c r="L1153" s="1">
        <v>0.08</v>
      </c>
      <c r="M1153" s="1">
        <v>5.3</v>
      </c>
      <c r="N1153" s="1" t="s">
        <v>25</v>
      </c>
      <c r="O1153" s="1" t="s">
        <v>55</v>
      </c>
      <c r="P1153" s="2">
        <v>41833</v>
      </c>
      <c r="Q1153" s="2" t="b">
        <f t="shared" si="53"/>
        <v>0</v>
      </c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  <c r="AG1153" s="2"/>
      <c r="AH1153" s="2"/>
      <c r="AI1153" s="2"/>
    </row>
    <row r="1154" spans="1:35" ht="14.25" customHeight="1" x14ac:dyDescent="0.2">
      <c r="A1154" s="1">
        <v>26372</v>
      </c>
      <c r="B1154" s="1" t="s">
        <v>1137</v>
      </c>
      <c r="C1154" s="1" t="s">
        <v>21</v>
      </c>
      <c r="D1154" s="2">
        <v>41832</v>
      </c>
      <c r="E1154" s="1" t="s">
        <v>43</v>
      </c>
      <c r="F1154" s="1" t="s">
        <v>379</v>
      </c>
      <c r="G1154" s="1">
        <v>1</v>
      </c>
      <c r="H1154" s="1">
        <v>29.89</v>
      </c>
      <c r="I1154" s="1">
        <f t="shared" ref="I1154:I1217" si="54">G1154*H1154</f>
        <v>29.89</v>
      </c>
      <c r="J1154" t="str">
        <f t="shared" ref="J1154:J1217" si="55">IF(I1154&lt;1000,"Low","High")</f>
        <v>Low</v>
      </c>
      <c r="K1154" s="1"/>
      <c r="L1154" s="1">
        <v>0.01</v>
      </c>
      <c r="M1154" s="1">
        <v>1.99</v>
      </c>
      <c r="N1154" s="1" t="s">
        <v>33</v>
      </c>
      <c r="O1154" s="1" t="s">
        <v>84</v>
      </c>
      <c r="P1154" s="2">
        <v>41836</v>
      </c>
      <c r="Q1154" s="2" t="b">
        <f t="shared" ref="Q1154:Q1217" si="56">AND(N1154="Express Air",O1154="Large Box")</f>
        <v>0</v>
      </c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  <c r="AG1154" s="2"/>
      <c r="AH1154" s="2"/>
      <c r="AI1154" s="2"/>
    </row>
    <row r="1155" spans="1:35" ht="14.25" customHeight="1" x14ac:dyDescent="0.2">
      <c r="A1155" s="1">
        <v>33635</v>
      </c>
      <c r="B1155" s="1" t="s">
        <v>1215</v>
      </c>
      <c r="C1155" s="1" t="s">
        <v>21</v>
      </c>
      <c r="D1155" s="2">
        <v>41832</v>
      </c>
      <c r="E1155" s="1" t="s">
        <v>31</v>
      </c>
      <c r="F1155" s="1" t="s">
        <v>1216</v>
      </c>
      <c r="G1155" s="1">
        <v>5</v>
      </c>
      <c r="H1155" s="1">
        <v>90.97</v>
      </c>
      <c r="I1155" s="1">
        <f t="shared" si="54"/>
        <v>454.85</v>
      </c>
      <c r="J1155" t="str">
        <f t="shared" si="55"/>
        <v>Low</v>
      </c>
      <c r="K1155" s="1"/>
      <c r="L1155" s="1">
        <v>0.04</v>
      </c>
      <c r="M1155" s="1">
        <v>28</v>
      </c>
      <c r="N1155" s="1" t="s">
        <v>45</v>
      </c>
      <c r="O1155" s="1" t="s">
        <v>46</v>
      </c>
      <c r="P1155" s="2">
        <v>41833</v>
      </c>
      <c r="Q1155" s="2" t="b">
        <f t="shared" si="56"/>
        <v>0</v>
      </c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  <c r="AG1155" s="2"/>
      <c r="AH1155" s="2"/>
      <c r="AI1155" s="2"/>
    </row>
    <row r="1156" spans="1:35" ht="14.25" customHeight="1" x14ac:dyDescent="0.2">
      <c r="A1156" s="1">
        <v>33635</v>
      </c>
      <c r="B1156" s="1" t="s">
        <v>1215</v>
      </c>
      <c r="C1156" s="1" t="s">
        <v>30</v>
      </c>
      <c r="D1156" s="2">
        <v>41832</v>
      </c>
      <c r="E1156" s="1" t="s">
        <v>31</v>
      </c>
      <c r="F1156" s="1" t="s">
        <v>122</v>
      </c>
      <c r="G1156" s="1">
        <v>4</v>
      </c>
      <c r="H1156" s="1">
        <v>20.34</v>
      </c>
      <c r="I1156" s="1">
        <f t="shared" si="54"/>
        <v>81.36</v>
      </c>
      <c r="J1156" t="str">
        <f t="shared" si="55"/>
        <v>Low</v>
      </c>
      <c r="K1156" s="1"/>
      <c r="L1156" s="1">
        <v>7.0000000000000007E-2</v>
      </c>
      <c r="M1156" s="1">
        <v>35</v>
      </c>
      <c r="N1156" s="1" t="s">
        <v>33</v>
      </c>
      <c r="O1156" s="1" t="s">
        <v>26</v>
      </c>
      <c r="P1156" s="2">
        <v>41833</v>
      </c>
      <c r="Q1156" s="2" t="b">
        <f t="shared" si="56"/>
        <v>0</v>
      </c>
      <c r="V1156" s="2"/>
      <c r="W1156" s="2"/>
      <c r="X1156" s="2"/>
      <c r="Y1156" s="2"/>
      <c r="Z1156" s="2"/>
      <c r="AA1156" s="2"/>
      <c r="AB1156" s="2"/>
      <c r="AC1156" s="2"/>
      <c r="AD1156" s="2"/>
      <c r="AE1156" s="2"/>
      <c r="AF1156" s="2"/>
      <c r="AG1156" s="2"/>
      <c r="AH1156" s="2"/>
      <c r="AI1156" s="2"/>
    </row>
    <row r="1157" spans="1:35" ht="14.25" customHeight="1" x14ac:dyDescent="0.2">
      <c r="A1157" s="1">
        <v>19232</v>
      </c>
      <c r="B1157" s="1" t="s">
        <v>275</v>
      </c>
      <c r="C1157" s="1" t="s">
        <v>51</v>
      </c>
      <c r="D1157" s="2">
        <v>41832</v>
      </c>
      <c r="E1157" s="1" t="s">
        <v>43</v>
      </c>
      <c r="F1157" s="1" t="s">
        <v>1217</v>
      </c>
      <c r="G1157" s="1">
        <v>43</v>
      </c>
      <c r="H1157" s="1">
        <v>6.24</v>
      </c>
      <c r="I1157" s="1">
        <f t="shared" si="54"/>
        <v>268.32</v>
      </c>
      <c r="J1157" t="str">
        <f t="shared" si="55"/>
        <v>Low</v>
      </c>
      <c r="K1157" s="1"/>
      <c r="L1157" s="1">
        <v>0.04</v>
      </c>
      <c r="M1157" s="1">
        <v>5.22</v>
      </c>
      <c r="N1157" s="1" t="s">
        <v>33</v>
      </c>
      <c r="O1157" s="1" t="s">
        <v>34</v>
      </c>
      <c r="P1157" s="2">
        <v>41837</v>
      </c>
      <c r="Q1157" s="2" t="b">
        <f t="shared" si="56"/>
        <v>0</v>
      </c>
      <c r="V1157" s="2"/>
      <c r="W1157" s="2"/>
      <c r="X1157" s="2"/>
      <c r="Y1157" s="2"/>
      <c r="Z1157" s="2"/>
      <c r="AA1157" s="2"/>
      <c r="AB1157" s="2"/>
      <c r="AC1157" s="2"/>
      <c r="AD1157" s="2"/>
      <c r="AE1157" s="2"/>
      <c r="AF1157" s="2"/>
      <c r="AG1157" s="2"/>
      <c r="AH1157" s="2"/>
      <c r="AI1157" s="2"/>
    </row>
    <row r="1158" spans="1:35" ht="14.25" customHeight="1" x14ac:dyDescent="0.2">
      <c r="A1158" s="1">
        <v>19232</v>
      </c>
      <c r="B1158" s="1" t="s">
        <v>275</v>
      </c>
      <c r="C1158" s="1" t="s">
        <v>21</v>
      </c>
      <c r="D1158" s="2">
        <v>41832</v>
      </c>
      <c r="E1158" s="1" t="s">
        <v>43</v>
      </c>
      <c r="F1158" s="1" t="s">
        <v>716</v>
      </c>
      <c r="G1158" s="1">
        <v>5</v>
      </c>
      <c r="H1158" s="1">
        <v>6.68</v>
      </c>
      <c r="I1158" s="1">
        <f t="shared" si="54"/>
        <v>33.4</v>
      </c>
      <c r="J1158" t="str">
        <f t="shared" si="55"/>
        <v>Low</v>
      </c>
      <c r="K1158" s="1"/>
      <c r="L1158" s="1">
        <v>0.09</v>
      </c>
      <c r="M1158" s="1">
        <v>1.5</v>
      </c>
      <c r="N1158" s="1" t="s">
        <v>33</v>
      </c>
      <c r="O1158" s="1" t="s">
        <v>55</v>
      </c>
      <c r="P1158" s="2">
        <v>41834</v>
      </c>
      <c r="Q1158" s="2" t="b">
        <f t="shared" si="56"/>
        <v>0</v>
      </c>
      <c r="V1158" s="2"/>
      <c r="W1158" s="2"/>
      <c r="X1158" s="2"/>
      <c r="Y1158" s="2"/>
      <c r="Z1158" s="2"/>
      <c r="AA1158" s="2"/>
      <c r="AB1158" s="2"/>
      <c r="AC1158" s="2"/>
      <c r="AD1158" s="2"/>
      <c r="AE1158" s="2"/>
      <c r="AF1158" s="2"/>
      <c r="AG1158" s="2"/>
      <c r="AH1158" s="2"/>
      <c r="AI1158" s="2"/>
    </row>
    <row r="1159" spans="1:35" ht="14.25" customHeight="1" x14ac:dyDescent="0.2">
      <c r="A1159" s="1">
        <v>19232</v>
      </c>
      <c r="B1159" s="1" t="s">
        <v>275</v>
      </c>
      <c r="C1159" s="1" t="s">
        <v>30</v>
      </c>
      <c r="D1159" s="2">
        <v>41832</v>
      </c>
      <c r="E1159" s="1" t="s">
        <v>43</v>
      </c>
      <c r="F1159" s="1" t="s">
        <v>1218</v>
      </c>
      <c r="G1159" s="1">
        <v>28</v>
      </c>
      <c r="H1159" s="1">
        <v>260.98</v>
      </c>
      <c r="I1159" s="1">
        <f t="shared" si="54"/>
        <v>7307.4400000000005</v>
      </c>
      <c r="J1159" t="str">
        <f t="shared" si="55"/>
        <v>High</v>
      </c>
      <c r="K1159" s="1"/>
      <c r="L1159" s="1">
        <v>0.09</v>
      </c>
      <c r="M1159" s="1">
        <v>41.91</v>
      </c>
      <c r="N1159" s="1" t="s">
        <v>45</v>
      </c>
      <c r="O1159" s="1" t="s">
        <v>63</v>
      </c>
      <c r="P1159" s="2">
        <v>41839</v>
      </c>
      <c r="Q1159" s="2" t="b">
        <f t="shared" si="56"/>
        <v>0</v>
      </c>
      <c r="V1159" s="2"/>
      <c r="W1159" s="2"/>
      <c r="X1159" s="2"/>
      <c r="Y1159" s="2"/>
      <c r="Z1159" s="2"/>
      <c r="AA1159" s="2"/>
      <c r="AB1159" s="2"/>
      <c r="AC1159" s="2"/>
      <c r="AD1159" s="2"/>
      <c r="AE1159" s="2"/>
      <c r="AF1159" s="2"/>
      <c r="AG1159" s="2"/>
      <c r="AH1159" s="2"/>
      <c r="AI1159" s="2"/>
    </row>
    <row r="1160" spans="1:35" ht="14.25" customHeight="1" x14ac:dyDescent="0.2">
      <c r="A1160" s="1">
        <v>20706</v>
      </c>
      <c r="B1160" s="1" t="s">
        <v>213</v>
      </c>
      <c r="C1160" s="1" t="s">
        <v>21</v>
      </c>
      <c r="D1160" s="2">
        <v>41832</v>
      </c>
      <c r="E1160" s="1" t="s">
        <v>31</v>
      </c>
      <c r="F1160" s="1" t="s">
        <v>1219</v>
      </c>
      <c r="G1160" s="1">
        <v>41</v>
      </c>
      <c r="H1160" s="1">
        <v>136.97999999999999</v>
      </c>
      <c r="I1160" s="1">
        <f t="shared" si="54"/>
        <v>5616.1799999999994</v>
      </c>
      <c r="J1160" t="str">
        <f t="shared" si="55"/>
        <v>High</v>
      </c>
      <c r="K1160" s="1"/>
      <c r="L1160" s="1">
        <v>0.04</v>
      </c>
      <c r="M1160" s="1">
        <v>24.49</v>
      </c>
      <c r="N1160" s="1" t="s">
        <v>25</v>
      </c>
      <c r="O1160" s="1" t="s">
        <v>26</v>
      </c>
      <c r="P1160" s="2">
        <v>41834</v>
      </c>
      <c r="Q1160" s="2" t="b">
        <f t="shared" si="56"/>
        <v>1</v>
      </c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  <c r="AG1160" s="2"/>
      <c r="AH1160" s="2"/>
      <c r="AI1160" s="2"/>
    </row>
    <row r="1161" spans="1:35" ht="14.25" customHeight="1" x14ac:dyDescent="0.2">
      <c r="A1161" s="1">
        <v>23877</v>
      </c>
      <c r="B1161" s="1" t="s">
        <v>442</v>
      </c>
      <c r="C1161" s="1" t="s">
        <v>21</v>
      </c>
      <c r="D1161" s="2">
        <v>41832</v>
      </c>
      <c r="E1161" s="1" t="s">
        <v>22</v>
      </c>
      <c r="F1161" s="1" t="s">
        <v>576</v>
      </c>
      <c r="G1161" s="1">
        <v>31</v>
      </c>
      <c r="H1161" s="1">
        <v>65.989999999999995</v>
      </c>
      <c r="I1161" s="1">
        <f t="shared" si="54"/>
        <v>2045.6899999999998</v>
      </c>
      <c r="J1161" t="str">
        <f t="shared" si="55"/>
        <v>High</v>
      </c>
      <c r="K1161" s="1"/>
      <c r="L1161" s="1">
        <v>7.0000000000000007E-2</v>
      </c>
      <c r="M1161" s="1">
        <v>8.8000000000000007</v>
      </c>
      <c r="N1161" s="1" t="s">
        <v>33</v>
      </c>
      <c r="O1161" s="1" t="s">
        <v>34</v>
      </c>
      <c r="P1161" s="2">
        <v>41832</v>
      </c>
      <c r="Q1161" s="2" t="b">
        <f t="shared" si="56"/>
        <v>0</v>
      </c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  <c r="AG1161" s="2"/>
      <c r="AH1161" s="2"/>
      <c r="AI1161" s="2"/>
    </row>
    <row r="1162" spans="1:35" ht="14.25" customHeight="1" x14ac:dyDescent="0.2">
      <c r="A1162" s="1">
        <v>23877</v>
      </c>
      <c r="B1162" s="1" t="s">
        <v>442</v>
      </c>
      <c r="C1162" s="1" t="s">
        <v>21</v>
      </c>
      <c r="D1162" s="2">
        <v>41832</v>
      </c>
      <c r="E1162" s="1" t="s">
        <v>22</v>
      </c>
      <c r="F1162" s="1" t="s">
        <v>1220</v>
      </c>
      <c r="G1162" s="1">
        <v>35</v>
      </c>
      <c r="H1162" s="1">
        <v>10.01</v>
      </c>
      <c r="I1162" s="1">
        <f t="shared" si="54"/>
        <v>350.34999999999997</v>
      </c>
      <c r="J1162" t="str">
        <f t="shared" si="55"/>
        <v>Low</v>
      </c>
      <c r="K1162" s="1"/>
      <c r="L1162" s="1">
        <v>0</v>
      </c>
      <c r="M1162" s="1">
        <v>1.99</v>
      </c>
      <c r="N1162" s="1" t="s">
        <v>25</v>
      </c>
      <c r="O1162" s="1" t="s">
        <v>84</v>
      </c>
      <c r="P1162" s="2">
        <v>41834</v>
      </c>
      <c r="Q1162" s="2" t="b">
        <f t="shared" si="56"/>
        <v>0</v>
      </c>
      <c r="V1162" s="2"/>
      <c r="W1162" s="2"/>
      <c r="X1162" s="2"/>
      <c r="Y1162" s="2"/>
      <c r="Z1162" s="2"/>
      <c r="AA1162" s="2"/>
      <c r="AB1162" s="2"/>
      <c r="AC1162" s="2"/>
      <c r="AD1162" s="2"/>
      <c r="AE1162" s="2"/>
      <c r="AF1162" s="2"/>
      <c r="AG1162" s="2"/>
      <c r="AH1162" s="2"/>
      <c r="AI1162" s="2"/>
    </row>
    <row r="1163" spans="1:35" ht="14.25" customHeight="1" x14ac:dyDescent="0.2">
      <c r="A1163" s="1">
        <v>19457</v>
      </c>
      <c r="B1163" s="1" t="s">
        <v>1221</v>
      </c>
      <c r="C1163" s="1" t="s">
        <v>21</v>
      </c>
      <c r="D1163" s="2">
        <v>41832</v>
      </c>
      <c r="E1163" s="1" t="s">
        <v>31</v>
      </c>
      <c r="F1163" s="1" t="s">
        <v>356</v>
      </c>
      <c r="G1163" s="1">
        <v>34</v>
      </c>
      <c r="H1163" s="1">
        <v>6.3</v>
      </c>
      <c r="I1163" s="1">
        <f t="shared" si="54"/>
        <v>214.2</v>
      </c>
      <c r="J1163" t="str">
        <f t="shared" si="55"/>
        <v>Low</v>
      </c>
      <c r="K1163" s="1"/>
      <c r="L1163" s="1">
        <v>0.05</v>
      </c>
      <c r="M1163" s="1">
        <v>0.5</v>
      </c>
      <c r="N1163" s="1" t="s">
        <v>33</v>
      </c>
      <c r="O1163" s="1" t="s">
        <v>34</v>
      </c>
      <c r="P1163" s="2">
        <v>41833</v>
      </c>
      <c r="Q1163" s="2" t="b">
        <f t="shared" si="56"/>
        <v>0</v>
      </c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  <c r="AG1163" s="2"/>
      <c r="AH1163" s="2"/>
      <c r="AI1163" s="2"/>
    </row>
    <row r="1164" spans="1:35" ht="14.25" customHeight="1" x14ac:dyDescent="0.2">
      <c r="A1164" s="1">
        <v>19457</v>
      </c>
      <c r="B1164" s="1" t="s">
        <v>1221</v>
      </c>
      <c r="C1164" s="1" t="s">
        <v>21</v>
      </c>
      <c r="D1164" s="2">
        <v>41832</v>
      </c>
      <c r="E1164" s="1" t="s">
        <v>31</v>
      </c>
      <c r="F1164" s="1" t="s">
        <v>1222</v>
      </c>
      <c r="G1164" s="1">
        <v>33</v>
      </c>
      <c r="H1164" s="1">
        <v>205.99</v>
      </c>
      <c r="I1164" s="1">
        <f t="shared" si="54"/>
        <v>6797.67</v>
      </c>
      <c r="J1164" t="str">
        <f t="shared" si="55"/>
        <v>High</v>
      </c>
      <c r="K1164" s="1"/>
      <c r="L1164" s="1">
        <v>0.09</v>
      </c>
      <c r="M1164" s="1">
        <v>3</v>
      </c>
      <c r="N1164" s="1" t="s">
        <v>25</v>
      </c>
      <c r="O1164" s="1" t="s">
        <v>34</v>
      </c>
      <c r="P1164" s="2">
        <v>41834</v>
      </c>
      <c r="Q1164" s="2" t="b">
        <f t="shared" si="56"/>
        <v>0</v>
      </c>
      <c r="V1164" s="2"/>
      <c r="W1164" s="2"/>
      <c r="X1164" s="2"/>
      <c r="Y1164" s="2"/>
      <c r="Z1164" s="2"/>
      <c r="AA1164" s="2"/>
      <c r="AB1164" s="2"/>
      <c r="AC1164" s="2"/>
      <c r="AD1164" s="2"/>
      <c r="AE1164" s="2"/>
      <c r="AF1164" s="2"/>
      <c r="AG1164" s="2"/>
      <c r="AH1164" s="2"/>
      <c r="AI1164" s="2"/>
    </row>
    <row r="1165" spans="1:35" ht="14.25" customHeight="1" x14ac:dyDescent="0.2">
      <c r="A1165" s="1">
        <v>41696</v>
      </c>
      <c r="B1165" s="1" t="s">
        <v>1223</v>
      </c>
      <c r="C1165" s="1" t="s">
        <v>30</v>
      </c>
      <c r="D1165" s="2">
        <v>41833</v>
      </c>
      <c r="E1165" s="1" t="s">
        <v>22</v>
      </c>
      <c r="F1165" s="1" t="s">
        <v>810</v>
      </c>
      <c r="G1165" s="1">
        <v>45</v>
      </c>
      <c r="H1165" s="1">
        <v>4.4800000000000004</v>
      </c>
      <c r="I1165" s="1">
        <f t="shared" si="54"/>
        <v>201.60000000000002</v>
      </c>
      <c r="J1165" t="str">
        <f t="shared" si="55"/>
        <v>Low</v>
      </c>
      <c r="K1165" s="1"/>
      <c r="L1165" s="1">
        <v>0.03</v>
      </c>
      <c r="M1165" s="1">
        <v>49</v>
      </c>
      <c r="N1165" s="1" t="s">
        <v>25</v>
      </c>
      <c r="O1165" s="1" t="s">
        <v>26</v>
      </c>
      <c r="P1165" s="2">
        <v>41835</v>
      </c>
      <c r="Q1165" s="2" t="b">
        <f t="shared" si="56"/>
        <v>1</v>
      </c>
      <c r="V1165" s="2"/>
      <c r="W1165" s="2"/>
      <c r="X1165" s="2"/>
      <c r="Y1165" s="2"/>
      <c r="Z1165" s="2"/>
      <c r="AA1165" s="2"/>
      <c r="AB1165" s="2"/>
      <c r="AC1165" s="2"/>
      <c r="AD1165" s="2"/>
      <c r="AE1165" s="2"/>
      <c r="AF1165" s="2"/>
      <c r="AG1165" s="2"/>
      <c r="AH1165" s="2"/>
      <c r="AI1165" s="2"/>
    </row>
    <row r="1166" spans="1:35" ht="14.25" customHeight="1" x14ac:dyDescent="0.2">
      <c r="A1166" s="1">
        <v>23778</v>
      </c>
      <c r="B1166" s="1" t="s">
        <v>959</v>
      </c>
      <c r="C1166" s="1" t="s">
        <v>30</v>
      </c>
      <c r="D1166" s="2">
        <v>41833</v>
      </c>
      <c r="E1166" s="1" t="s">
        <v>43</v>
      </c>
      <c r="F1166" s="1" t="s">
        <v>810</v>
      </c>
      <c r="G1166" s="1">
        <v>13</v>
      </c>
      <c r="H1166" s="1">
        <v>4.4800000000000004</v>
      </c>
      <c r="I1166" s="1">
        <f t="shared" si="54"/>
        <v>58.240000000000009</v>
      </c>
      <c r="J1166" t="str">
        <f t="shared" si="55"/>
        <v>Low</v>
      </c>
      <c r="K1166" s="1"/>
      <c r="L1166" s="1">
        <v>0.06</v>
      </c>
      <c r="M1166" s="1">
        <v>49</v>
      </c>
      <c r="N1166" s="1" t="s">
        <v>33</v>
      </c>
      <c r="O1166" s="1" t="s">
        <v>26</v>
      </c>
      <c r="P1166" s="2">
        <v>41837</v>
      </c>
      <c r="Q1166" s="2" t="b">
        <f t="shared" si="56"/>
        <v>0</v>
      </c>
      <c r="V1166" s="2"/>
      <c r="W1166" s="2"/>
      <c r="X1166" s="2"/>
      <c r="Y1166" s="2"/>
      <c r="Z1166" s="2"/>
      <c r="AA1166" s="2"/>
      <c r="AB1166" s="2"/>
      <c r="AC1166" s="2"/>
      <c r="AD1166" s="2"/>
      <c r="AE1166" s="2"/>
      <c r="AF1166" s="2"/>
      <c r="AG1166" s="2"/>
      <c r="AH1166" s="2"/>
      <c r="AI1166" s="2"/>
    </row>
    <row r="1167" spans="1:35" ht="14.25" customHeight="1" x14ac:dyDescent="0.2">
      <c r="A1167" s="1">
        <v>57412</v>
      </c>
      <c r="B1167" s="1" t="s">
        <v>571</v>
      </c>
      <c r="C1167" s="1" t="s">
        <v>51</v>
      </c>
      <c r="D1167" s="2">
        <v>41833</v>
      </c>
      <c r="E1167" s="1" t="s">
        <v>43</v>
      </c>
      <c r="F1167" s="1" t="s">
        <v>1224</v>
      </c>
      <c r="G1167" s="1">
        <v>34</v>
      </c>
      <c r="H1167" s="1">
        <v>7.99</v>
      </c>
      <c r="I1167" s="1">
        <f t="shared" si="54"/>
        <v>271.66000000000003</v>
      </c>
      <c r="J1167" t="str">
        <f t="shared" si="55"/>
        <v>Low</v>
      </c>
      <c r="K1167" s="1"/>
      <c r="L1167" s="1">
        <v>0.06</v>
      </c>
      <c r="M1167" s="1">
        <v>5.03</v>
      </c>
      <c r="N1167" s="1" t="s">
        <v>33</v>
      </c>
      <c r="O1167" s="1" t="s">
        <v>72</v>
      </c>
      <c r="P1167" s="2">
        <v>41833</v>
      </c>
      <c r="Q1167" s="2" t="b">
        <f t="shared" si="56"/>
        <v>0</v>
      </c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  <c r="AG1167" s="2"/>
      <c r="AH1167" s="2"/>
      <c r="AI1167" s="2"/>
    </row>
    <row r="1168" spans="1:35" ht="14.25" customHeight="1" x14ac:dyDescent="0.2">
      <c r="A1168" s="1">
        <v>34565</v>
      </c>
      <c r="B1168" s="1" t="s">
        <v>938</v>
      </c>
      <c r="C1168" s="1" t="s">
        <v>21</v>
      </c>
      <c r="D1168" s="2">
        <v>41833</v>
      </c>
      <c r="E1168" s="1" t="s">
        <v>101</v>
      </c>
      <c r="F1168" s="1" t="s">
        <v>1225</v>
      </c>
      <c r="G1168" s="1">
        <v>47</v>
      </c>
      <c r="H1168" s="1">
        <v>125.99</v>
      </c>
      <c r="I1168" s="1">
        <f t="shared" si="54"/>
        <v>5921.53</v>
      </c>
      <c r="J1168" t="str">
        <f t="shared" si="55"/>
        <v>High</v>
      </c>
      <c r="K1168" s="1"/>
      <c r="L1168" s="1">
        <v>0.08</v>
      </c>
      <c r="M1168" s="1">
        <v>4.2</v>
      </c>
      <c r="N1168" s="1" t="s">
        <v>33</v>
      </c>
      <c r="O1168" s="1" t="s">
        <v>34</v>
      </c>
      <c r="P1168" s="2">
        <v>41834</v>
      </c>
      <c r="Q1168" s="2" t="b">
        <f t="shared" si="56"/>
        <v>0</v>
      </c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  <c r="AG1168" s="2"/>
      <c r="AH1168" s="2"/>
      <c r="AI1168" s="2"/>
    </row>
    <row r="1169" spans="1:35" ht="14.25" customHeight="1" x14ac:dyDescent="0.2">
      <c r="A1169" s="1">
        <v>48034</v>
      </c>
      <c r="B1169" s="1" t="s">
        <v>102</v>
      </c>
      <c r="C1169" s="1" t="s">
        <v>30</v>
      </c>
      <c r="D1169" s="2">
        <v>41834</v>
      </c>
      <c r="E1169" s="1" t="s">
        <v>22</v>
      </c>
      <c r="F1169" s="1" t="s">
        <v>876</v>
      </c>
      <c r="G1169" s="1">
        <v>47</v>
      </c>
      <c r="H1169" s="1">
        <v>22.01</v>
      </c>
      <c r="I1169" s="1">
        <f t="shared" si="54"/>
        <v>1034.47</v>
      </c>
      <c r="J1169" t="str">
        <f t="shared" si="55"/>
        <v>High</v>
      </c>
      <c r="K1169" s="1"/>
      <c r="L1169" s="1">
        <v>0.1</v>
      </c>
      <c r="M1169" s="1">
        <v>5.53</v>
      </c>
      <c r="N1169" s="1" t="s">
        <v>33</v>
      </c>
      <c r="O1169" s="1" t="s">
        <v>84</v>
      </c>
      <c r="P1169" s="2">
        <v>41835</v>
      </c>
      <c r="Q1169" s="2" t="b">
        <f t="shared" si="56"/>
        <v>0</v>
      </c>
      <c r="V1169" s="2"/>
      <c r="W1169" s="2"/>
      <c r="X1169" s="2"/>
      <c r="Y1169" s="2"/>
      <c r="Z1169" s="2"/>
      <c r="AA1169" s="2"/>
      <c r="AB1169" s="2"/>
      <c r="AC1169" s="2"/>
      <c r="AD1169" s="2"/>
      <c r="AE1169" s="2"/>
      <c r="AF1169" s="2"/>
      <c r="AG1169" s="2"/>
      <c r="AH1169" s="2"/>
      <c r="AI1169" s="2"/>
    </row>
    <row r="1170" spans="1:35" ht="14.25" customHeight="1" x14ac:dyDescent="0.2">
      <c r="A1170" s="1">
        <v>48034</v>
      </c>
      <c r="B1170" s="1" t="s">
        <v>102</v>
      </c>
      <c r="C1170" s="1" t="s">
        <v>21</v>
      </c>
      <c r="D1170" s="2">
        <v>41834</v>
      </c>
      <c r="E1170" s="1" t="s">
        <v>22</v>
      </c>
      <c r="F1170" s="1" t="s">
        <v>469</v>
      </c>
      <c r="G1170" s="1">
        <v>12</v>
      </c>
      <c r="H1170" s="1">
        <v>236.97</v>
      </c>
      <c r="I1170" s="1">
        <f t="shared" si="54"/>
        <v>2843.64</v>
      </c>
      <c r="J1170" t="str">
        <f t="shared" si="55"/>
        <v>High</v>
      </c>
      <c r="K1170" s="1"/>
      <c r="L1170" s="1">
        <v>0.04</v>
      </c>
      <c r="M1170" s="1">
        <v>59.24</v>
      </c>
      <c r="N1170" s="1" t="s">
        <v>45</v>
      </c>
      <c r="O1170" s="1" t="s">
        <v>63</v>
      </c>
      <c r="P1170" s="2">
        <v>41834</v>
      </c>
      <c r="Q1170" s="2" t="b">
        <f t="shared" si="56"/>
        <v>0</v>
      </c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  <c r="AG1170" s="2"/>
      <c r="AH1170" s="2"/>
      <c r="AI1170" s="2"/>
    </row>
    <row r="1171" spans="1:35" ht="14.25" customHeight="1" x14ac:dyDescent="0.2">
      <c r="A1171" s="1">
        <v>3175</v>
      </c>
      <c r="B1171" s="1" t="s">
        <v>179</v>
      </c>
      <c r="C1171" s="1" t="s">
        <v>21</v>
      </c>
      <c r="D1171" s="2">
        <v>41834</v>
      </c>
      <c r="E1171" s="1" t="s">
        <v>43</v>
      </c>
      <c r="F1171" s="1" t="s">
        <v>1194</v>
      </c>
      <c r="G1171" s="1">
        <v>23</v>
      </c>
      <c r="H1171" s="1">
        <v>165.2</v>
      </c>
      <c r="I1171" s="1">
        <f t="shared" si="54"/>
        <v>3799.6</v>
      </c>
      <c r="J1171" t="str">
        <f t="shared" si="55"/>
        <v>High</v>
      </c>
      <c r="K1171" s="1"/>
      <c r="L1171" s="1">
        <v>7.0000000000000007E-2</v>
      </c>
      <c r="M1171" s="1">
        <v>19.989999999999998</v>
      </c>
      <c r="N1171" s="1" t="s">
        <v>33</v>
      </c>
      <c r="O1171" s="1" t="s">
        <v>34</v>
      </c>
      <c r="P1171" s="2">
        <v>41836</v>
      </c>
      <c r="Q1171" s="2" t="b">
        <f t="shared" si="56"/>
        <v>0</v>
      </c>
      <c r="V1171" s="2"/>
      <c r="W1171" s="2"/>
      <c r="X1171" s="2"/>
      <c r="Y1171" s="2"/>
      <c r="Z1171" s="2"/>
      <c r="AA1171" s="2"/>
      <c r="AB1171" s="2"/>
      <c r="AC1171" s="2"/>
      <c r="AD1171" s="2"/>
      <c r="AE1171" s="2"/>
      <c r="AF1171" s="2"/>
      <c r="AG1171" s="2"/>
      <c r="AH1171" s="2"/>
      <c r="AI1171" s="2"/>
    </row>
    <row r="1172" spans="1:35" ht="14.25" customHeight="1" x14ac:dyDescent="0.2">
      <c r="A1172" s="1">
        <v>41189</v>
      </c>
      <c r="B1172" s="1" t="s">
        <v>541</v>
      </c>
      <c r="C1172" s="1" t="s">
        <v>51</v>
      </c>
      <c r="D1172" s="2">
        <v>41834</v>
      </c>
      <c r="E1172" s="1" t="s">
        <v>43</v>
      </c>
      <c r="F1172" s="1" t="s">
        <v>1226</v>
      </c>
      <c r="G1172" s="1">
        <v>30</v>
      </c>
      <c r="H1172" s="1">
        <v>6.45</v>
      </c>
      <c r="I1172" s="1">
        <f t="shared" si="54"/>
        <v>193.5</v>
      </c>
      <c r="J1172" t="str">
        <f t="shared" si="55"/>
        <v>Low</v>
      </c>
      <c r="K1172" s="1"/>
      <c r="L1172" s="1">
        <v>0.03</v>
      </c>
      <c r="M1172" s="1">
        <v>1.34</v>
      </c>
      <c r="N1172" s="1" t="s">
        <v>33</v>
      </c>
      <c r="O1172" s="1" t="s">
        <v>55</v>
      </c>
      <c r="P1172" s="2">
        <v>41839</v>
      </c>
      <c r="Q1172" s="2" t="b">
        <f t="shared" si="56"/>
        <v>0</v>
      </c>
      <c r="V1172" s="2"/>
      <c r="W1172" s="2"/>
      <c r="X1172" s="2"/>
      <c r="Y1172" s="2"/>
      <c r="Z1172" s="2"/>
      <c r="AA1172" s="2"/>
      <c r="AB1172" s="2"/>
      <c r="AC1172" s="2"/>
      <c r="AD1172" s="2"/>
      <c r="AE1172" s="2"/>
      <c r="AF1172" s="2"/>
      <c r="AG1172" s="2"/>
      <c r="AH1172" s="2"/>
      <c r="AI1172" s="2"/>
    </row>
    <row r="1173" spans="1:35" ht="14.25" customHeight="1" x14ac:dyDescent="0.2">
      <c r="A1173" s="1">
        <v>32199</v>
      </c>
      <c r="B1173" s="1" t="s">
        <v>259</v>
      </c>
      <c r="C1173" s="1" t="s">
        <v>51</v>
      </c>
      <c r="D1173" s="2">
        <v>41835</v>
      </c>
      <c r="E1173" s="1" t="s">
        <v>31</v>
      </c>
      <c r="F1173" s="1" t="s">
        <v>1227</v>
      </c>
      <c r="G1173" s="1">
        <v>40</v>
      </c>
      <c r="H1173" s="1">
        <v>4.91</v>
      </c>
      <c r="I1173" s="1">
        <f t="shared" si="54"/>
        <v>196.4</v>
      </c>
      <c r="J1173" t="str">
        <f t="shared" si="55"/>
        <v>Low</v>
      </c>
      <c r="K1173" s="1"/>
      <c r="L1173" s="1">
        <v>0.08</v>
      </c>
      <c r="M1173" s="1">
        <v>4.97</v>
      </c>
      <c r="N1173" s="1" t="s">
        <v>33</v>
      </c>
      <c r="O1173" s="1" t="s">
        <v>34</v>
      </c>
      <c r="P1173" s="2">
        <v>41836</v>
      </c>
      <c r="Q1173" s="2" t="b">
        <f t="shared" si="56"/>
        <v>0</v>
      </c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  <c r="AG1173" s="2"/>
      <c r="AH1173" s="2"/>
      <c r="AI1173" s="2"/>
    </row>
    <row r="1174" spans="1:35" ht="14.25" customHeight="1" x14ac:dyDescent="0.2">
      <c r="A1174" s="1">
        <v>32199</v>
      </c>
      <c r="B1174" s="1" t="s">
        <v>259</v>
      </c>
      <c r="C1174" s="1" t="s">
        <v>21</v>
      </c>
      <c r="D1174" s="2">
        <v>41835</v>
      </c>
      <c r="E1174" s="1" t="s">
        <v>31</v>
      </c>
      <c r="F1174" s="1" t="s">
        <v>559</v>
      </c>
      <c r="G1174" s="1">
        <v>1</v>
      </c>
      <c r="H1174" s="1">
        <v>3499.99</v>
      </c>
      <c r="I1174" s="1">
        <f t="shared" si="54"/>
        <v>3499.99</v>
      </c>
      <c r="J1174" t="str">
        <f t="shared" si="55"/>
        <v>High</v>
      </c>
      <c r="K1174" s="1"/>
      <c r="L1174" s="1">
        <v>0.01</v>
      </c>
      <c r="M1174" s="1">
        <v>24.49</v>
      </c>
      <c r="N1174" s="1" t="s">
        <v>33</v>
      </c>
      <c r="O1174" s="1" t="s">
        <v>26</v>
      </c>
      <c r="P1174" s="2">
        <v>41836</v>
      </c>
      <c r="Q1174" s="2" t="b">
        <f t="shared" si="56"/>
        <v>0</v>
      </c>
      <c r="V1174" s="2"/>
      <c r="W1174" s="2"/>
      <c r="X1174" s="2"/>
      <c r="Y1174" s="2"/>
      <c r="Z1174" s="2"/>
      <c r="AA1174" s="2"/>
      <c r="AB1174" s="2"/>
      <c r="AC1174" s="2"/>
      <c r="AD1174" s="2"/>
      <c r="AE1174" s="2"/>
      <c r="AF1174" s="2"/>
      <c r="AG1174" s="2"/>
      <c r="AH1174" s="2"/>
      <c r="AI1174" s="2"/>
    </row>
    <row r="1175" spans="1:35" ht="14.25" customHeight="1" x14ac:dyDescent="0.2">
      <c r="A1175" s="1">
        <v>32199</v>
      </c>
      <c r="B1175" s="1" t="s">
        <v>259</v>
      </c>
      <c r="C1175" s="1" t="s">
        <v>21</v>
      </c>
      <c r="D1175" s="2">
        <v>41835</v>
      </c>
      <c r="E1175" s="1" t="s">
        <v>31</v>
      </c>
      <c r="F1175" s="1" t="s">
        <v>1175</v>
      </c>
      <c r="G1175" s="1">
        <v>8</v>
      </c>
      <c r="H1175" s="1">
        <v>5.84</v>
      </c>
      <c r="I1175" s="1">
        <f t="shared" si="54"/>
        <v>46.72</v>
      </c>
      <c r="J1175" t="str">
        <f t="shared" si="55"/>
        <v>Low</v>
      </c>
      <c r="K1175" s="1"/>
      <c r="L1175" s="1">
        <v>0.03</v>
      </c>
      <c r="M1175" s="1">
        <v>1.2</v>
      </c>
      <c r="N1175" s="1" t="s">
        <v>33</v>
      </c>
      <c r="O1175" s="1" t="s">
        <v>55</v>
      </c>
      <c r="P1175" s="2">
        <v>41837</v>
      </c>
      <c r="Q1175" s="2" t="b">
        <f t="shared" si="56"/>
        <v>0</v>
      </c>
      <c r="V1175" s="2"/>
      <c r="W1175" s="2"/>
      <c r="X1175" s="2"/>
      <c r="Y1175" s="2"/>
      <c r="Z1175" s="2"/>
      <c r="AA1175" s="2"/>
      <c r="AB1175" s="2"/>
      <c r="AC1175" s="2"/>
      <c r="AD1175" s="2"/>
      <c r="AE1175" s="2"/>
      <c r="AF1175" s="2"/>
      <c r="AG1175" s="2"/>
      <c r="AH1175" s="2"/>
      <c r="AI1175" s="2"/>
    </row>
    <row r="1176" spans="1:35" ht="14.25" customHeight="1" x14ac:dyDescent="0.2">
      <c r="A1176" s="1">
        <v>13380</v>
      </c>
      <c r="B1176" s="1" t="s">
        <v>1228</v>
      </c>
      <c r="C1176" s="1" t="s">
        <v>30</v>
      </c>
      <c r="D1176" s="2">
        <v>41835</v>
      </c>
      <c r="E1176" s="1" t="s">
        <v>38</v>
      </c>
      <c r="F1176" s="1" t="s">
        <v>1229</v>
      </c>
      <c r="G1176" s="1">
        <v>24</v>
      </c>
      <c r="H1176" s="1">
        <v>2.88</v>
      </c>
      <c r="I1176" s="1">
        <f t="shared" si="54"/>
        <v>69.12</v>
      </c>
      <c r="J1176" t="str">
        <f t="shared" si="55"/>
        <v>Low</v>
      </c>
      <c r="K1176" s="1"/>
      <c r="L1176" s="1">
        <v>0.09</v>
      </c>
      <c r="M1176" s="1">
        <v>0.7</v>
      </c>
      <c r="N1176" s="1" t="s">
        <v>33</v>
      </c>
      <c r="O1176" s="1" t="s">
        <v>55</v>
      </c>
      <c r="P1176" s="2">
        <v>41835</v>
      </c>
      <c r="Q1176" s="2" t="b">
        <f t="shared" si="56"/>
        <v>0</v>
      </c>
      <c r="V1176" s="2"/>
      <c r="W1176" s="2"/>
      <c r="X1176" s="2"/>
      <c r="Y1176" s="2"/>
      <c r="Z1176" s="2"/>
      <c r="AA1176" s="2"/>
      <c r="AB1176" s="2"/>
      <c r="AC1176" s="2"/>
      <c r="AD1176" s="2"/>
      <c r="AE1176" s="2"/>
      <c r="AF1176" s="2"/>
      <c r="AG1176" s="2"/>
      <c r="AH1176" s="2"/>
      <c r="AI1176" s="2"/>
    </row>
    <row r="1177" spans="1:35" ht="14.25" customHeight="1" x14ac:dyDescent="0.2">
      <c r="A1177" s="1">
        <v>31043</v>
      </c>
      <c r="B1177" s="1" t="s">
        <v>1230</v>
      </c>
      <c r="C1177" s="1" t="s">
        <v>21</v>
      </c>
      <c r="D1177" s="2">
        <v>41835</v>
      </c>
      <c r="E1177" s="1" t="s">
        <v>31</v>
      </c>
      <c r="F1177" s="1" t="s">
        <v>724</v>
      </c>
      <c r="G1177" s="1">
        <v>49</v>
      </c>
      <c r="H1177" s="1">
        <v>15.28</v>
      </c>
      <c r="I1177" s="1">
        <f t="shared" si="54"/>
        <v>748.71999999999991</v>
      </c>
      <c r="J1177" t="str">
        <f t="shared" si="55"/>
        <v>Low</v>
      </c>
      <c r="K1177" s="1"/>
      <c r="L1177" s="1">
        <v>0.02</v>
      </c>
      <c r="M1177" s="1">
        <v>1.99</v>
      </c>
      <c r="N1177" s="1" t="s">
        <v>33</v>
      </c>
      <c r="O1177" s="1" t="s">
        <v>84</v>
      </c>
      <c r="P1177" s="2">
        <v>41836</v>
      </c>
      <c r="Q1177" s="2" t="b">
        <f t="shared" si="56"/>
        <v>0</v>
      </c>
      <c r="V1177" s="2"/>
      <c r="W1177" s="2"/>
      <c r="X1177" s="2"/>
      <c r="Y1177" s="2"/>
      <c r="Z1177" s="2"/>
      <c r="AA1177" s="2"/>
      <c r="AB1177" s="2"/>
      <c r="AC1177" s="2"/>
      <c r="AD1177" s="2"/>
      <c r="AE1177" s="2"/>
      <c r="AF1177" s="2"/>
      <c r="AG1177" s="2"/>
      <c r="AH1177" s="2"/>
      <c r="AI1177" s="2"/>
    </row>
    <row r="1178" spans="1:35" ht="14.25" customHeight="1" x14ac:dyDescent="0.2">
      <c r="A1178" s="1">
        <v>31043</v>
      </c>
      <c r="B1178" s="1" t="s">
        <v>1230</v>
      </c>
      <c r="C1178" s="1" t="s">
        <v>21</v>
      </c>
      <c r="D1178" s="2">
        <v>41835</v>
      </c>
      <c r="E1178" s="1" t="s">
        <v>31</v>
      </c>
      <c r="F1178" s="1" t="s">
        <v>1231</v>
      </c>
      <c r="G1178" s="1">
        <v>3</v>
      </c>
      <c r="H1178" s="1">
        <v>85.99</v>
      </c>
      <c r="I1178" s="1">
        <f t="shared" si="54"/>
        <v>257.96999999999997</v>
      </c>
      <c r="J1178" t="str">
        <f t="shared" si="55"/>
        <v>Low</v>
      </c>
      <c r="K1178" s="1"/>
      <c r="L1178" s="1">
        <v>0</v>
      </c>
      <c r="M1178" s="1">
        <v>3.3</v>
      </c>
      <c r="N1178" s="1" t="s">
        <v>33</v>
      </c>
      <c r="O1178" s="1" t="s">
        <v>84</v>
      </c>
      <c r="P1178" s="2">
        <v>41836</v>
      </c>
      <c r="Q1178" s="2" t="b">
        <f t="shared" si="56"/>
        <v>0</v>
      </c>
      <c r="V1178" s="2"/>
      <c r="W1178" s="2"/>
      <c r="X1178" s="2"/>
      <c r="Y1178" s="2"/>
      <c r="Z1178" s="2"/>
      <c r="AA1178" s="2"/>
      <c r="AB1178" s="2"/>
      <c r="AC1178" s="2"/>
      <c r="AD1178" s="2"/>
      <c r="AE1178" s="2"/>
      <c r="AF1178" s="2"/>
      <c r="AG1178" s="2"/>
      <c r="AH1178" s="2"/>
      <c r="AI1178" s="2"/>
    </row>
    <row r="1179" spans="1:35" ht="14.25" customHeight="1" x14ac:dyDescent="0.2">
      <c r="A1179" s="1">
        <v>13313</v>
      </c>
      <c r="B1179" s="1" t="s">
        <v>218</v>
      </c>
      <c r="C1179" s="1" t="s">
        <v>21</v>
      </c>
      <c r="D1179" s="2">
        <v>41836</v>
      </c>
      <c r="E1179" s="1" t="s">
        <v>22</v>
      </c>
      <c r="F1179" s="1" t="s">
        <v>1232</v>
      </c>
      <c r="G1179" s="1">
        <v>47</v>
      </c>
      <c r="H1179" s="1">
        <v>21.66</v>
      </c>
      <c r="I1179" s="1">
        <f t="shared" si="54"/>
        <v>1018.02</v>
      </c>
      <c r="J1179" t="str">
        <f t="shared" si="55"/>
        <v>High</v>
      </c>
      <c r="K1179" s="1"/>
      <c r="L1179" s="1">
        <v>0.04</v>
      </c>
      <c r="M1179" s="1">
        <v>13.99</v>
      </c>
      <c r="N1179" s="1" t="s">
        <v>33</v>
      </c>
      <c r="O1179" s="1" t="s">
        <v>72</v>
      </c>
      <c r="P1179" s="2">
        <v>41837</v>
      </c>
      <c r="Q1179" s="2" t="b">
        <f t="shared" si="56"/>
        <v>0</v>
      </c>
      <c r="V1179" s="2"/>
      <c r="W1179" s="2"/>
      <c r="X1179" s="2"/>
      <c r="Y1179" s="2"/>
      <c r="Z1179" s="2"/>
      <c r="AA1179" s="2"/>
      <c r="AB1179" s="2"/>
      <c r="AC1179" s="2"/>
      <c r="AD1179" s="2"/>
      <c r="AE1179" s="2"/>
      <c r="AF1179" s="2"/>
      <c r="AG1179" s="2"/>
      <c r="AH1179" s="2"/>
      <c r="AI1179" s="2"/>
    </row>
    <row r="1180" spans="1:35" ht="14.25" customHeight="1" x14ac:dyDescent="0.2">
      <c r="A1180" s="1">
        <v>54560</v>
      </c>
      <c r="B1180" s="1" t="s">
        <v>1119</v>
      </c>
      <c r="C1180" s="1" t="s">
        <v>21</v>
      </c>
      <c r="D1180" s="2">
        <v>41836</v>
      </c>
      <c r="E1180" s="1" t="s">
        <v>38</v>
      </c>
      <c r="F1180" s="1" t="s">
        <v>83</v>
      </c>
      <c r="G1180" s="1">
        <v>22</v>
      </c>
      <c r="H1180" s="1">
        <v>28.48</v>
      </c>
      <c r="I1180" s="1">
        <f t="shared" si="54"/>
        <v>626.56000000000006</v>
      </c>
      <c r="J1180" t="str">
        <f t="shared" si="55"/>
        <v>Low</v>
      </c>
      <c r="K1180" s="1"/>
      <c r="L1180" s="1">
        <v>0.09</v>
      </c>
      <c r="M1180" s="1">
        <v>1.99</v>
      </c>
      <c r="N1180" s="1" t="s">
        <v>33</v>
      </c>
      <c r="O1180" s="1" t="s">
        <v>84</v>
      </c>
      <c r="P1180" s="2">
        <v>41839</v>
      </c>
      <c r="Q1180" s="2" t="b">
        <f t="shared" si="56"/>
        <v>0</v>
      </c>
      <c r="V1180" s="2"/>
      <c r="W1180" s="2"/>
      <c r="X1180" s="2"/>
      <c r="Y1180" s="2"/>
      <c r="Z1180" s="2"/>
      <c r="AA1180" s="2"/>
      <c r="AB1180" s="2"/>
      <c r="AC1180" s="2"/>
      <c r="AD1180" s="2"/>
      <c r="AE1180" s="2"/>
      <c r="AF1180" s="2"/>
      <c r="AG1180" s="2"/>
      <c r="AH1180" s="2"/>
      <c r="AI1180" s="2"/>
    </row>
    <row r="1181" spans="1:35" ht="14.25" customHeight="1" x14ac:dyDescent="0.2">
      <c r="A1181" s="1">
        <v>54560</v>
      </c>
      <c r="B1181" s="1" t="s">
        <v>1119</v>
      </c>
      <c r="C1181" s="1" t="s">
        <v>21</v>
      </c>
      <c r="D1181" s="2">
        <v>41836</v>
      </c>
      <c r="E1181" s="1" t="s">
        <v>38</v>
      </c>
      <c r="F1181" s="1" t="s">
        <v>1233</v>
      </c>
      <c r="G1181" s="1">
        <v>45</v>
      </c>
      <c r="H1181" s="1">
        <v>65.989999999999995</v>
      </c>
      <c r="I1181" s="1">
        <f t="shared" si="54"/>
        <v>2969.5499999999997</v>
      </c>
      <c r="J1181" t="str">
        <f t="shared" si="55"/>
        <v>High</v>
      </c>
      <c r="K1181" s="1"/>
      <c r="L1181" s="1">
        <v>0.08</v>
      </c>
      <c r="M1181" s="1">
        <v>4.99</v>
      </c>
      <c r="N1181" s="1" t="s">
        <v>25</v>
      </c>
      <c r="O1181" s="1" t="s">
        <v>34</v>
      </c>
      <c r="P1181" s="2">
        <v>41838</v>
      </c>
      <c r="Q1181" s="2" t="b">
        <f t="shared" si="56"/>
        <v>0</v>
      </c>
      <c r="V1181" s="2"/>
      <c r="W1181" s="2"/>
      <c r="X1181" s="2"/>
      <c r="Y1181" s="2"/>
      <c r="Z1181" s="2"/>
      <c r="AA1181" s="2"/>
      <c r="AB1181" s="2"/>
      <c r="AC1181" s="2"/>
      <c r="AD1181" s="2"/>
      <c r="AE1181" s="2"/>
      <c r="AF1181" s="2"/>
      <c r="AG1181" s="2"/>
      <c r="AH1181" s="2"/>
      <c r="AI1181" s="2"/>
    </row>
    <row r="1182" spans="1:35" ht="14.25" customHeight="1" x14ac:dyDescent="0.2">
      <c r="A1182" s="1">
        <v>13313</v>
      </c>
      <c r="B1182" s="1" t="s">
        <v>218</v>
      </c>
      <c r="C1182" s="1" t="s">
        <v>21</v>
      </c>
      <c r="D1182" s="2">
        <v>41836</v>
      </c>
      <c r="E1182" s="1" t="s">
        <v>22</v>
      </c>
      <c r="F1182" s="1" t="s">
        <v>180</v>
      </c>
      <c r="G1182" s="1">
        <v>18</v>
      </c>
      <c r="H1182" s="1">
        <v>12.99</v>
      </c>
      <c r="I1182" s="1">
        <f t="shared" si="54"/>
        <v>233.82</v>
      </c>
      <c r="J1182" t="str">
        <f t="shared" si="55"/>
        <v>Low</v>
      </c>
      <c r="K1182" s="1"/>
      <c r="L1182" s="1">
        <v>0.02</v>
      </c>
      <c r="M1182" s="1">
        <v>14.37</v>
      </c>
      <c r="N1182" s="1" t="s">
        <v>33</v>
      </c>
      <c r="O1182" s="1" t="s">
        <v>26</v>
      </c>
      <c r="P1182" s="2">
        <v>41838</v>
      </c>
      <c r="Q1182" s="2" t="b">
        <f t="shared" si="56"/>
        <v>0</v>
      </c>
      <c r="V1182" s="2"/>
      <c r="W1182" s="2"/>
      <c r="X1182" s="2"/>
      <c r="Y1182" s="2"/>
      <c r="Z1182" s="2"/>
      <c r="AA1182" s="2"/>
      <c r="AB1182" s="2"/>
      <c r="AC1182" s="2"/>
      <c r="AD1182" s="2"/>
      <c r="AE1182" s="2"/>
      <c r="AF1182" s="2"/>
      <c r="AG1182" s="2"/>
      <c r="AH1182" s="2"/>
      <c r="AI1182" s="2"/>
    </row>
    <row r="1183" spans="1:35" ht="14.25" customHeight="1" x14ac:dyDescent="0.2">
      <c r="A1183" s="1">
        <v>13313</v>
      </c>
      <c r="B1183" s="1" t="s">
        <v>218</v>
      </c>
      <c r="C1183" s="1" t="s">
        <v>21</v>
      </c>
      <c r="D1183" s="2">
        <v>41836</v>
      </c>
      <c r="E1183" s="1" t="s">
        <v>22</v>
      </c>
      <c r="F1183" s="1" t="s">
        <v>1099</v>
      </c>
      <c r="G1183" s="1">
        <v>22</v>
      </c>
      <c r="H1183" s="1">
        <v>35.44</v>
      </c>
      <c r="I1183" s="1">
        <f t="shared" si="54"/>
        <v>779.68</v>
      </c>
      <c r="J1183" t="str">
        <f t="shared" si="55"/>
        <v>Low</v>
      </c>
      <c r="K1183" s="1"/>
      <c r="L1183" s="1">
        <v>0.05</v>
      </c>
      <c r="M1183" s="1">
        <v>7.5</v>
      </c>
      <c r="N1183" s="1" t="s">
        <v>33</v>
      </c>
      <c r="O1183" s="1" t="s">
        <v>34</v>
      </c>
      <c r="P1183" s="2">
        <v>41838</v>
      </c>
      <c r="Q1183" s="2" t="b">
        <f t="shared" si="56"/>
        <v>0</v>
      </c>
      <c r="V1183" s="2"/>
      <c r="W1183" s="2"/>
      <c r="X1183" s="2"/>
      <c r="Y1183" s="2"/>
      <c r="Z1183" s="2"/>
      <c r="AA1183" s="2"/>
      <c r="AB1183" s="2"/>
      <c r="AC1183" s="2"/>
      <c r="AD1183" s="2"/>
      <c r="AE1183" s="2"/>
      <c r="AF1183" s="2"/>
      <c r="AG1183" s="2"/>
      <c r="AH1183" s="2"/>
      <c r="AI1183" s="2"/>
    </row>
    <row r="1184" spans="1:35" ht="14.25" customHeight="1" x14ac:dyDescent="0.2">
      <c r="A1184" s="1">
        <v>13313</v>
      </c>
      <c r="B1184" s="1" t="s">
        <v>218</v>
      </c>
      <c r="C1184" s="1" t="s">
        <v>30</v>
      </c>
      <c r="D1184" s="2">
        <v>41836</v>
      </c>
      <c r="E1184" s="1" t="s">
        <v>22</v>
      </c>
      <c r="F1184" s="1" t="s">
        <v>1234</v>
      </c>
      <c r="G1184" s="1">
        <v>45</v>
      </c>
      <c r="H1184" s="1">
        <v>12.98</v>
      </c>
      <c r="I1184" s="1">
        <f t="shared" si="54"/>
        <v>584.1</v>
      </c>
      <c r="J1184" t="str">
        <f t="shared" si="55"/>
        <v>Low</v>
      </c>
      <c r="K1184" s="1"/>
      <c r="L1184" s="1">
        <v>0.02</v>
      </c>
      <c r="M1184" s="1">
        <v>3.14</v>
      </c>
      <c r="N1184" s="1" t="s">
        <v>33</v>
      </c>
      <c r="O1184" s="1" t="s">
        <v>84</v>
      </c>
      <c r="P1184" s="2">
        <v>41839</v>
      </c>
      <c r="Q1184" s="2" t="b">
        <f t="shared" si="56"/>
        <v>0</v>
      </c>
      <c r="V1184" s="2"/>
      <c r="W1184" s="2"/>
      <c r="X1184" s="2"/>
      <c r="Y1184" s="2"/>
      <c r="Z1184" s="2"/>
      <c r="AA1184" s="2"/>
      <c r="AB1184" s="2"/>
      <c r="AC1184" s="2"/>
      <c r="AD1184" s="2"/>
      <c r="AE1184" s="2"/>
      <c r="AF1184" s="2"/>
      <c r="AG1184" s="2"/>
      <c r="AH1184" s="2"/>
      <c r="AI1184" s="2"/>
    </row>
    <row r="1185" spans="1:35" ht="14.25" customHeight="1" x14ac:dyDescent="0.2">
      <c r="A1185" s="1">
        <v>5572</v>
      </c>
      <c r="B1185" s="1" t="s">
        <v>897</v>
      </c>
      <c r="C1185" s="1" t="s">
        <v>21</v>
      </c>
      <c r="D1185" s="2">
        <v>41836</v>
      </c>
      <c r="E1185" s="1" t="s">
        <v>31</v>
      </c>
      <c r="F1185" s="1" t="s">
        <v>1235</v>
      </c>
      <c r="G1185" s="1">
        <v>37</v>
      </c>
      <c r="H1185" s="1">
        <v>7.37</v>
      </c>
      <c r="I1185" s="1">
        <f t="shared" si="54"/>
        <v>272.69</v>
      </c>
      <c r="J1185" t="str">
        <f t="shared" si="55"/>
        <v>Low</v>
      </c>
      <c r="K1185" s="1"/>
      <c r="L1185" s="1">
        <v>0.03</v>
      </c>
      <c r="M1185" s="1">
        <v>5.53</v>
      </c>
      <c r="N1185" s="1" t="s">
        <v>33</v>
      </c>
      <c r="O1185" s="1" t="s">
        <v>84</v>
      </c>
      <c r="P1185" s="2">
        <v>41838</v>
      </c>
      <c r="Q1185" s="2" t="b">
        <f t="shared" si="56"/>
        <v>0</v>
      </c>
      <c r="V1185" s="2"/>
      <c r="W1185" s="2"/>
      <c r="X1185" s="2"/>
      <c r="Y1185" s="2"/>
      <c r="Z1185" s="2"/>
      <c r="AA1185" s="2"/>
      <c r="AB1185" s="2"/>
      <c r="AC1185" s="2"/>
      <c r="AD1185" s="2"/>
      <c r="AE1185" s="2"/>
      <c r="AF1185" s="2"/>
      <c r="AG1185" s="2"/>
      <c r="AH1185" s="2"/>
      <c r="AI1185" s="2"/>
    </row>
    <row r="1186" spans="1:35" ht="14.25" customHeight="1" x14ac:dyDescent="0.2">
      <c r="A1186" s="1">
        <v>46656</v>
      </c>
      <c r="B1186" s="1" t="s">
        <v>792</v>
      </c>
      <c r="C1186" s="1" t="s">
        <v>51</v>
      </c>
      <c r="D1186" s="2">
        <v>41836</v>
      </c>
      <c r="E1186" s="1" t="s">
        <v>31</v>
      </c>
      <c r="F1186" s="1" t="s">
        <v>659</v>
      </c>
      <c r="G1186" s="1">
        <v>27</v>
      </c>
      <c r="H1186" s="1">
        <v>24.92</v>
      </c>
      <c r="I1186" s="1">
        <f t="shared" si="54"/>
        <v>672.84</v>
      </c>
      <c r="J1186" t="str">
        <f t="shared" si="55"/>
        <v>Low</v>
      </c>
      <c r="K1186" s="1"/>
      <c r="L1186" s="1">
        <v>0.1</v>
      </c>
      <c r="M1186" s="1">
        <v>12.98</v>
      </c>
      <c r="N1186" s="1" t="s">
        <v>33</v>
      </c>
      <c r="O1186" s="1" t="s">
        <v>34</v>
      </c>
      <c r="P1186" s="2">
        <v>41837</v>
      </c>
      <c r="Q1186" s="2" t="b">
        <f t="shared" si="56"/>
        <v>0</v>
      </c>
      <c r="V1186" s="2"/>
      <c r="W1186" s="2"/>
      <c r="X1186" s="2"/>
      <c r="Y1186" s="2"/>
      <c r="Z1186" s="2"/>
      <c r="AA1186" s="2"/>
      <c r="AB1186" s="2"/>
      <c r="AC1186" s="2"/>
      <c r="AD1186" s="2"/>
      <c r="AE1186" s="2"/>
      <c r="AF1186" s="2"/>
      <c r="AG1186" s="2"/>
      <c r="AH1186" s="2"/>
      <c r="AI1186" s="2"/>
    </row>
    <row r="1187" spans="1:35" ht="14.25" customHeight="1" x14ac:dyDescent="0.2">
      <c r="A1187" s="1">
        <v>4321</v>
      </c>
      <c r="B1187" s="1" t="s">
        <v>88</v>
      </c>
      <c r="C1187" s="1" t="s">
        <v>21</v>
      </c>
      <c r="D1187" s="2">
        <v>41837</v>
      </c>
      <c r="E1187" s="1" t="s">
        <v>101</v>
      </c>
      <c r="F1187" s="1" t="s">
        <v>244</v>
      </c>
      <c r="G1187" s="1">
        <v>47</v>
      </c>
      <c r="H1187" s="1">
        <v>30.53</v>
      </c>
      <c r="I1187" s="1">
        <f t="shared" si="54"/>
        <v>1434.91</v>
      </c>
      <c r="J1187" t="str">
        <f t="shared" si="55"/>
        <v>High</v>
      </c>
      <c r="K1187" s="1"/>
      <c r="L1187" s="1">
        <v>0.02</v>
      </c>
      <c r="M1187" s="1">
        <v>19.989999999999998</v>
      </c>
      <c r="N1187" s="1" t="s">
        <v>25</v>
      </c>
      <c r="O1187" s="1" t="s">
        <v>34</v>
      </c>
      <c r="P1187" s="2">
        <v>41839</v>
      </c>
      <c r="Q1187" s="2" t="b">
        <f t="shared" si="56"/>
        <v>0</v>
      </c>
      <c r="V1187" s="2"/>
      <c r="W1187" s="2"/>
      <c r="X1187" s="2"/>
      <c r="Y1187" s="2"/>
      <c r="Z1187" s="2"/>
      <c r="AA1187" s="2"/>
      <c r="AB1187" s="2"/>
      <c r="AC1187" s="2"/>
      <c r="AD1187" s="2"/>
      <c r="AE1187" s="2"/>
      <c r="AF1187" s="2"/>
      <c r="AG1187" s="2"/>
      <c r="AH1187" s="2"/>
      <c r="AI1187" s="2"/>
    </row>
    <row r="1188" spans="1:35" ht="14.25" customHeight="1" x14ac:dyDescent="0.2">
      <c r="A1188" s="1">
        <v>24228</v>
      </c>
      <c r="B1188" s="1" t="s">
        <v>1203</v>
      </c>
      <c r="C1188" s="1" t="s">
        <v>21</v>
      </c>
      <c r="D1188" s="2">
        <v>41837</v>
      </c>
      <c r="E1188" s="1" t="s">
        <v>43</v>
      </c>
      <c r="F1188" s="1" t="s">
        <v>1236</v>
      </c>
      <c r="G1188" s="1">
        <v>31</v>
      </c>
      <c r="H1188" s="1">
        <v>1.86</v>
      </c>
      <c r="I1188" s="1">
        <f t="shared" si="54"/>
        <v>57.660000000000004</v>
      </c>
      <c r="J1188" t="str">
        <f t="shared" si="55"/>
        <v>Low</v>
      </c>
      <c r="K1188" s="1"/>
      <c r="L1188" s="1">
        <v>0.05</v>
      </c>
      <c r="M1188" s="1">
        <v>2.58</v>
      </c>
      <c r="N1188" s="1" t="s">
        <v>33</v>
      </c>
      <c r="O1188" s="1" t="s">
        <v>55</v>
      </c>
      <c r="P1188" s="2">
        <v>41841</v>
      </c>
      <c r="Q1188" s="2" t="b">
        <f t="shared" si="56"/>
        <v>0</v>
      </c>
      <c r="V1188" s="2"/>
      <c r="W1188" s="2"/>
      <c r="X1188" s="2"/>
      <c r="Y1188" s="2"/>
      <c r="Z1188" s="2"/>
      <c r="AA1188" s="2"/>
      <c r="AB1188" s="2"/>
      <c r="AC1188" s="2"/>
      <c r="AD1188" s="2"/>
      <c r="AE1188" s="2"/>
      <c r="AF1188" s="2"/>
      <c r="AG1188" s="2"/>
      <c r="AH1188" s="2"/>
      <c r="AI1188" s="2"/>
    </row>
    <row r="1189" spans="1:35" ht="14.25" customHeight="1" x14ac:dyDescent="0.2">
      <c r="A1189" s="1">
        <v>55553</v>
      </c>
      <c r="B1189" s="1" t="s">
        <v>1237</v>
      </c>
      <c r="C1189" s="1" t="s">
        <v>51</v>
      </c>
      <c r="D1189" s="2">
        <v>41837</v>
      </c>
      <c r="E1189" s="1" t="s">
        <v>101</v>
      </c>
      <c r="F1189" s="1" t="s">
        <v>483</v>
      </c>
      <c r="G1189" s="1">
        <v>32</v>
      </c>
      <c r="H1189" s="1">
        <v>5.68</v>
      </c>
      <c r="I1189" s="1">
        <f t="shared" si="54"/>
        <v>181.76</v>
      </c>
      <c r="J1189" t="str">
        <f t="shared" si="55"/>
        <v>Low</v>
      </c>
      <c r="K1189" s="1"/>
      <c r="L1189" s="1">
        <v>0.05</v>
      </c>
      <c r="M1189" s="1">
        <v>1.39</v>
      </c>
      <c r="N1189" s="1" t="s">
        <v>33</v>
      </c>
      <c r="O1189" s="1" t="s">
        <v>34</v>
      </c>
      <c r="P1189" s="2">
        <v>41838</v>
      </c>
      <c r="Q1189" s="2" t="b">
        <f t="shared" si="56"/>
        <v>0</v>
      </c>
      <c r="V1189" s="2"/>
      <c r="W1189" s="2"/>
      <c r="X1189" s="2"/>
      <c r="Y1189" s="2"/>
      <c r="Z1189" s="2"/>
      <c r="AA1189" s="2"/>
      <c r="AB1189" s="2"/>
      <c r="AC1189" s="2"/>
      <c r="AD1189" s="2"/>
      <c r="AE1189" s="2"/>
      <c r="AF1189" s="2"/>
      <c r="AG1189" s="2"/>
      <c r="AH1189" s="2"/>
      <c r="AI1189" s="2"/>
    </row>
    <row r="1190" spans="1:35" ht="14.25" customHeight="1" x14ac:dyDescent="0.2">
      <c r="A1190" s="1">
        <v>32070</v>
      </c>
      <c r="B1190" s="1" t="s">
        <v>60</v>
      </c>
      <c r="C1190" s="1" t="s">
        <v>30</v>
      </c>
      <c r="D1190" s="2">
        <v>41837</v>
      </c>
      <c r="E1190" s="1" t="s">
        <v>101</v>
      </c>
      <c r="F1190" s="1" t="s">
        <v>824</v>
      </c>
      <c r="G1190" s="1">
        <v>50</v>
      </c>
      <c r="H1190" s="1">
        <v>1.76</v>
      </c>
      <c r="I1190" s="1">
        <f t="shared" si="54"/>
        <v>88</v>
      </c>
      <c r="J1190" t="str">
        <f t="shared" si="55"/>
        <v>Low</v>
      </c>
      <c r="K1190" s="1"/>
      <c r="L1190" s="1">
        <v>7.0000000000000007E-2</v>
      </c>
      <c r="M1190" s="1">
        <v>4.8600000000000003</v>
      </c>
      <c r="N1190" s="1" t="s">
        <v>33</v>
      </c>
      <c r="O1190" s="1" t="s">
        <v>34</v>
      </c>
      <c r="P1190" s="2">
        <v>41837</v>
      </c>
      <c r="Q1190" s="2" t="b">
        <f t="shared" si="56"/>
        <v>0</v>
      </c>
      <c r="V1190" s="2"/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  <c r="AG1190" s="2"/>
      <c r="AH1190" s="2"/>
      <c r="AI1190" s="2"/>
    </row>
    <row r="1191" spans="1:35" ht="14.25" customHeight="1" x14ac:dyDescent="0.2">
      <c r="A1191" s="1">
        <v>22919</v>
      </c>
      <c r="B1191" s="1" t="s">
        <v>1238</v>
      </c>
      <c r="C1191" s="1" t="s">
        <v>30</v>
      </c>
      <c r="D1191" s="2">
        <v>41837</v>
      </c>
      <c r="E1191" s="1" t="s">
        <v>38</v>
      </c>
      <c r="F1191" s="1" t="s">
        <v>287</v>
      </c>
      <c r="G1191" s="1">
        <v>21</v>
      </c>
      <c r="H1191" s="1">
        <v>4.91</v>
      </c>
      <c r="I1191" s="1">
        <f t="shared" si="54"/>
        <v>103.11</v>
      </c>
      <c r="J1191" t="str">
        <f t="shared" si="55"/>
        <v>Low</v>
      </c>
      <c r="K1191" s="1"/>
      <c r="L1191" s="1">
        <v>7.0000000000000007E-2</v>
      </c>
      <c r="M1191" s="1">
        <v>0.5</v>
      </c>
      <c r="N1191" s="1" t="s">
        <v>33</v>
      </c>
      <c r="O1191" s="1" t="s">
        <v>34</v>
      </c>
      <c r="P1191" s="2">
        <v>41838</v>
      </c>
      <c r="Q1191" s="2" t="b">
        <f t="shared" si="56"/>
        <v>0</v>
      </c>
      <c r="V1191" s="2"/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  <c r="AG1191" s="2"/>
      <c r="AH1191" s="2"/>
      <c r="AI1191" s="2"/>
    </row>
    <row r="1192" spans="1:35" ht="14.25" customHeight="1" x14ac:dyDescent="0.2">
      <c r="A1192" s="1">
        <v>38982</v>
      </c>
      <c r="B1192" s="1" t="s">
        <v>1239</v>
      </c>
      <c r="C1192" s="1" t="s">
        <v>21</v>
      </c>
      <c r="D1192" s="2">
        <v>41837</v>
      </c>
      <c r="E1192" s="1" t="s">
        <v>22</v>
      </c>
      <c r="F1192" s="1" t="s">
        <v>83</v>
      </c>
      <c r="G1192" s="1">
        <v>43</v>
      </c>
      <c r="H1192" s="1">
        <v>28.48</v>
      </c>
      <c r="I1192" s="1">
        <f t="shared" si="54"/>
        <v>1224.6400000000001</v>
      </c>
      <c r="J1192" t="str">
        <f t="shared" si="55"/>
        <v>High</v>
      </c>
      <c r="K1192" s="1"/>
      <c r="L1192" s="1">
        <v>0.09</v>
      </c>
      <c r="M1192" s="1">
        <v>1.99</v>
      </c>
      <c r="N1192" s="1" t="s">
        <v>33</v>
      </c>
      <c r="O1192" s="1" t="s">
        <v>84</v>
      </c>
      <c r="P1192" s="2">
        <v>41838</v>
      </c>
      <c r="Q1192" s="2" t="b">
        <f t="shared" si="56"/>
        <v>0</v>
      </c>
      <c r="V1192" s="2"/>
      <c r="W1192" s="2"/>
      <c r="X1192" s="2"/>
      <c r="Y1192" s="2"/>
      <c r="Z1192" s="2"/>
      <c r="AA1192" s="2"/>
      <c r="AB1192" s="2"/>
      <c r="AC1192" s="2"/>
      <c r="AD1192" s="2"/>
      <c r="AE1192" s="2"/>
      <c r="AF1192" s="2"/>
      <c r="AG1192" s="2"/>
      <c r="AH1192" s="2"/>
      <c r="AI1192" s="2"/>
    </row>
    <row r="1193" spans="1:35" ht="14.25" customHeight="1" x14ac:dyDescent="0.2">
      <c r="A1193" s="1">
        <v>11843</v>
      </c>
      <c r="B1193" s="1" t="s">
        <v>339</v>
      </c>
      <c r="C1193" s="1" t="s">
        <v>51</v>
      </c>
      <c r="D1193" s="2">
        <v>41837</v>
      </c>
      <c r="E1193" s="1" t="s">
        <v>101</v>
      </c>
      <c r="F1193" s="1" t="s">
        <v>272</v>
      </c>
      <c r="G1193" s="1">
        <v>42</v>
      </c>
      <c r="H1193" s="1">
        <v>119.99</v>
      </c>
      <c r="I1193" s="1">
        <f t="shared" si="54"/>
        <v>5039.58</v>
      </c>
      <c r="J1193" t="str">
        <f t="shared" si="55"/>
        <v>High</v>
      </c>
      <c r="K1193" s="1"/>
      <c r="L1193" s="1">
        <v>0.03</v>
      </c>
      <c r="M1193" s="1">
        <v>56.14</v>
      </c>
      <c r="N1193" s="1" t="s">
        <v>45</v>
      </c>
      <c r="O1193" s="1" t="s">
        <v>63</v>
      </c>
      <c r="P1193" s="2">
        <v>41839</v>
      </c>
      <c r="Q1193" s="2" t="b">
        <f t="shared" si="56"/>
        <v>0</v>
      </c>
      <c r="V1193" s="2"/>
      <c r="W1193" s="2"/>
      <c r="X1193" s="2"/>
      <c r="Y1193" s="2"/>
      <c r="Z1193" s="2"/>
      <c r="AA1193" s="2"/>
      <c r="AB1193" s="2"/>
      <c r="AC1193" s="2"/>
      <c r="AD1193" s="2"/>
      <c r="AE1193" s="2"/>
      <c r="AF1193" s="2"/>
      <c r="AG1193" s="2"/>
      <c r="AH1193" s="2"/>
      <c r="AI1193" s="2"/>
    </row>
    <row r="1194" spans="1:35" ht="14.25" customHeight="1" x14ac:dyDescent="0.2">
      <c r="A1194" s="1">
        <v>11843</v>
      </c>
      <c r="B1194" s="1" t="s">
        <v>339</v>
      </c>
      <c r="C1194" s="1" t="s">
        <v>30</v>
      </c>
      <c r="D1194" s="2">
        <v>41837</v>
      </c>
      <c r="E1194" s="1" t="s">
        <v>101</v>
      </c>
      <c r="F1194" s="1" t="s">
        <v>1240</v>
      </c>
      <c r="G1194" s="1">
        <v>9</v>
      </c>
      <c r="H1194" s="1">
        <v>115.79</v>
      </c>
      <c r="I1194" s="1">
        <f t="shared" si="54"/>
        <v>1042.1100000000001</v>
      </c>
      <c r="J1194" t="str">
        <f t="shared" si="55"/>
        <v>High</v>
      </c>
      <c r="K1194" s="1"/>
      <c r="L1194" s="1">
        <v>0.05</v>
      </c>
      <c r="M1194" s="1">
        <v>1.99</v>
      </c>
      <c r="N1194" s="1" t="s">
        <v>33</v>
      </c>
      <c r="O1194" s="1" t="s">
        <v>84</v>
      </c>
      <c r="P1194" s="2">
        <v>41839</v>
      </c>
      <c r="Q1194" s="2" t="b">
        <f t="shared" si="56"/>
        <v>0</v>
      </c>
      <c r="V1194" s="2"/>
      <c r="W1194" s="2"/>
      <c r="X1194" s="2"/>
      <c r="Y1194" s="2"/>
      <c r="Z1194" s="2"/>
      <c r="AA1194" s="2"/>
      <c r="AB1194" s="2"/>
      <c r="AC1194" s="2"/>
      <c r="AD1194" s="2"/>
      <c r="AE1194" s="2"/>
      <c r="AF1194" s="2"/>
      <c r="AG1194" s="2"/>
      <c r="AH1194" s="2"/>
      <c r="AI1194" s="2"/>
    </row>
    <row r="1195" spans="1:35" ht="14.25" customHeight="1" x14ac:dyDescent="0.2">
      <c r="A1195" s="1">
        <v>18147</v>
      </c>
      <c r="B1195" s="1" t="s">
        <v>1032</v>
      </c>
      <c r="C1195" s="1" t="s">
        <v>21</v>
      </c>
      <c r="D1195" s="2">
        <v>41837</v>
      </c>
      <c r="E1195" s="1" t="s">
        <v>22</v>
      </c>
      <c r="F1195" s="1" t="s">
        <v>836</v>
      </c>
      <c r="G1195" s="1">
        <v>42</v>
      </c>
      <c r="H1195" s="1">
        <v>1.88</v>
      </c>
      <c r="I1195" s="1">
        <f t="shared" si="54"/>
        <v>78.959999999999994</v>
      </c>
      <c r="J1195" t="str">
        <f t="shared" si="55"/>
        <v>Low</v>
      </c>
      <c r="K1195" s="1"/>
      <c r="L1195" s="1">
        <v>0</v>
      </c>
      <c r="M1195" s="1">
        <v>1.49</v>
      </c>
      <c r="N1195" s="1" t="s">
        <v>33</v>
      </c>
      <c r="O1195" s="1" t="s">
        <v>34</v>
      </c>
      <c r="P1195" s="2">
        <v>41838</v>
      </c>
      <c r="Q1195" s="2" t="b">
        <f t="shared" si="56"/>
        <v>0</v>
      </c>
      <c r="V1195" s="2"/>
      <c r="W1195" s="2"/>
      <c r="X1195" s="2"/>
      <c r="Y1195" s="2"/>
      <c r="Z1195" s="2"/>
      <c r="AA1195" s="2"/>
      <c r="AB1195" s="2"/>
      <c r="AC1195" s="2"/>
      <c r="AD1195" s="2"/>
      <c r="AE1195" s="2"/>
      <c r="AF1195" s="2"/>
      <c r="AG1195" s="2"/>
      <c r="AH1195" s="2"/>
      <c r="AI1195" s="2"/>
    </row>
    <row r="1196" spans="1:35" ht="14.25" customHeight="1" x14ac:dyDescent="0.2">
      <c r="A1196" s="1">
        <v>18147</v>
      </c>
      <c r="B1196" s="1" t="s">
        <v>1032</v>
      </c>
      <c r="C1196" s="1" t="s">
        <v>30</v>
      </c>
      <c r="D1196" s="2">
        <v>41837</v>
      </c>
      <c r="E1196" s="1" t="s">
        <v>22</v>
      </c>
      <c r="F1196" s="1" t="s">
        <v>1241</v>
      </c>
      <c r="G1196" s="1">
        <v>50</v>
      </c>
      <c r="H1196" s="1">
        <v>5.78</v>
      </c>
      <c r="I1196" s="1">
        <f t="shared" si="54"/>
        <v>289</v>
      </c>
      <c r="J1196" t="str">
        <f t="shared" si="55"/>
        <v>Low</v>
      </c>
      <c r="K1196" s="1"/>
      <c r="L1196" s="1">
        <v>0.06</v>
      </c>
      <c r="M1196" s="1">
        <v>5.67</v>
      </c>
      <c r="N1196" s="1" t="s">
        <v>33</v>
      </c>
      <c r="O1196" s="1" t="s">
        <v>34</v>
      </c>
      <c r="P1196" s="2">
        <v>41838</v>
      </c>
      <c r="Q1196" s="2" t="b">
        <f t="shared" si="56"/>
        <v>0</v>
      </c>
      <c r="V1196" s="2"/>
      <c r="W1196" s="2"/>
      <c r="X1196" s="2"/>
      <c r="Y1196" s="2"/>
      <c r="Z1196" s="2"/>
      <c r="AA1196" s="2"/>
      <c r="AB1196" s="2"/>
      <c r="AC1196" s="2"/>
      <c r="AD1196" s="2"/>
      <c r="AE1196" s="2"/>
      <c r="AF1196" s="2"/>
      <c r="AG1196" s="2"/>
      <c r="AH1196" s="2"/>
      <c r="AI1196" s="2"/>
    </row>
    <row r="1197" spans="1:35" ht="14.25" customHeight="1" x14ac:dyDescent="0.2">
      <c r="A1197" s="1">
        <v>55847</v>
      </c>
      <c r="B1197" s="1" t="s">
        <v>949</v>
      </c>
      <c r="C1197" s="1" t="s">
        <v>30</v>
      </c>
      <c r="D1197" s="2">
        <v>41840</v>
      </c>
      <c r="E1197" s="1" t="s">
        <v>22</v>
      </c>
      <c r="F1197" s="1" t="s">
        <v>1242</v>
      </c>
      <c r="G1197" s="1">
        <v>21</v>
      </c>
      <c r="H1197" s="1">
        <v>6.28</v>
      </c>
      <c r="I1197" s="1">
        <f t="shared" si="54"/>
        <v>131.88</v>
      </c>
      <c r="J1197" t="str">
        <f t="shared" si="55"/>
        <v>Low</v>
      </c>
      <c r="K1197" s="1"/>
      <c r="L1197" s="1">
        <v>0.05</v>
      </c>
      <c r="M1197" s="1">
        <v>5.36</v>
      </c>
      <c r="N1197" s="1" t="s">
        <v>33</v>
      </c>
      <c r="O1197" s="1" t="s">
        <v>34</v>
      </c>
      <c r="P1197" s="2">
        <v>41843</v>
      </c>
      <c r="Q1197" s="2" t="b">
        <f t="shared" si="56"/>
        <v>0</v>
      </c>
      <c r="V1197" s="2"/>
      <c r="W1197" s="2"/>
      <c r="X1197" s="2"/>
      <c r="Y1197" s="2"/>
      <c r="Z1197" s="2"/>
      <c r="AA1197" s="2"/>
      <c r="AB1197" s="2"/>
      <c r="AC1197" s="2"/>
      <c r="AD1197" s="2"/>
      <c r="AE1197" s="2"/>
      <c r="AF1197" s="2"/>
      <c r="AG1197" s="2"/>
      <c r="AH1197" s="2"/>
      <c r="AI1197" s="2"/>
    </row>
    <row r="1198" spans="1:35" ht="14.25" customHeight="1" x14ac:dyDescent="0.2">
      <c r="A1198" s="1">
        <v>55847</v>
      </c>
      <c r="B1198" s="1" t="s">
        <v>949</v>
      </c>
      <c r="C1198" s="1" t="s">
        <v>21</v>
      </c>
      <c r="D1198" s="2">
        <v>41840</v>
      </c>
      <c r="E1198" s="1" t="s">
        <v>22</v>
      </c>
      <c r="F1198" s="1" t="s">
        <v>1134</v>
      </c>
      <c r="G1198" s="1">
        <v>45</v>
      </c>
      <c r="H1198" s="1">
        <v>3.08</v>
      </c>
      <c r="I1198" s="1">
        <f t="shared" si="54"/>
        <v>138.6</v>
      </c>
      <c r="J1198" t="str">
        <f t="shared" si="55"/>
        <v>Low</v>
      </c>
      <c r="K1198" s="1"/>
      <c r="L1198" s="1">
        <v>0.04</v>
      </c>
      <c r="M1198" s="1">
        <v>0.99</v>
      </c>
      <c r="N1198" s="1" t="s">
        <v>33</v>
      </c>
      <c r="O1198" s="1" t="s">
        <v>34</v>
      </c>
      <c r="P1198" s="2">
        <v>41841</v>
      </c>
      <c r="Q1198" s="2" t="b">
        <f t="shared" si="56"/>
        <v>0</v>
      </c>
      <c r="V1198" s="2"/>
      <c r="W1198" s="2"/>
      <c r="X1198" s="2"/>
      <c r="Y1198" s="2"/>
      <c r="Z1198" s="2"/>
      <c r="AA1198" s="2"/>
      <c r="AB1198" s="2"/>
      <c r="AC1198" s="2"/>
      <c r="AD1198" s="2"/>
      <c r="AE1198" s="2"/>
      <c r="AF1198" s="2"/>
      <c r="AG1198" s="2"/>
      <c r="AH1198" s="2"/>
      <c r="AI1198" s="2"/>
    </row>
    <row r="1199" spans="1:35" ht="14.25" customHeight="1" x14ac:dyDescent="0.2">
      <c r="A1199" s="1">
        <v>25060</v>
      </c>
      <c r="B1199" s="1" t="s">
        <v>1243</v>
      </c>
      <c r="C1199" s="1" t="s">
        <v>51</v>
      </c>
      <c r="D1199" s="2">
        <v>41840</v>
      </c>
      <c r="E1199" s="1" t="s">
        <v>22</v>
      </c>
      <c r="F1199" s="1" t="s">
        <v>1081</v>
      </c>
      <c r="G1199" s="1">
        <v>6</v>
      </c>
      <c r="H1199" s="1">
        <v>1270.99</v>
      </c>
      <c r="I1199" s="1">
        <f t="shared" si="54"/>
        <v>7625.9400000000005</v>
      </c>
      <c r="J1199" t="str">
        <f t="shared" si="55"/>
        <v>High</v>
      </c>
      <c r="K1199" s="1"/>
      <c r="L1199" s="1">
        <v>0.03</v>
      </c>
      <c r="M1199" s="1">
        <v>19.989999999999998</v>
      </c>
      <c r="N1199" s="1" t="s">
        <v>33</v>
      </c>
      <c r="O1199" s="1" t="s">
        <v>34</v>
      </c>
      <c r="P1199" s="2">
        <v>41842</v>
      </c>
      <c r="Q1199" s="2" t="b">
        <f t="shared" si="56"/>
        <v>0</v>
      </c>
      <c r="V1199" s="2"/>
      <c r="W1199" s="2"/>
      <c r="X1199" s="2"/>
      <c r="Y1199" s="2"/>
      <c r="Z1199" s="2"/>
      <c r="AA1199" s="2"/>
      <c r="AB1199" s="2"/>
      <c r="AC1199" s="2"/>
      <c r="AD1199" s="2"/>
      <c r="AE1199" s="2"/>
      <c r="AF1199" s="2"/>
      <c r="AG1199" s="2"/>
      <c r="AH1199" s="2"/>
      <c r="AI1199" s="2"/>
    </row>
    <row r="1200" spans="1:35" ht="14.25" customHeight="1" x14ac:dyDescent="0.2">
      <c r="A1200" s="1">
        <v>25060</v>
      </c>
      <c r="B1200" s="1" t="s">
        <v>1243</v>
      </c>
      <c r="C1200" s="1" t="s">
        <v>51</v>
      </c>
      <c r="D1200" s="2">
        <v>41840</v>
      </c>
      <c r="E1200" s="1" t="s">
        <v>22</v>
      </c>
      <c r="F1200" s="1" t="s">
        <v>443</v>
      </c>
      <c r="G1200" s="1">
        <v>1</v>
      </c>
      <c r="H1200" s="1">
        <v>2036.48</v>
      </c>
      <c r="I1200" s="1">
        <f t="shared" si="54"/>
        <v>2036.48</v>
      </c>
      <c r="J1200" t="str">
        <f t="shared" si="55"/>
        <v>High</v>
      </c>
      <c r="K1200" s="1"/>
      <c r="L1200" s="1">
        <v>7.0000000000000007E-2</v>
      </c>
      <c r="M1200" s="1">
        <v>14.7</v>
      </c>
      <c r="N1200" s="1" t="s">
        <v>45</v>
      </c>
      <c r="O1200" s="1" t="s">
        <v>46</v>
      </c>
      <c r="P1200" s="2">
        <v>41842</v>
      </c>
      <c r="Q1200" s="2" t="b">
        <f t="shared" si="56"/>
        <v>0</v>
      </c>
      <c r="V1200" s="2"/>
      <c r="W1200" s="2"/>
      <c r="X1200" s="2"/>
      <c r="Y1200" s="2"/>
      <c r="Z1200" s="2"/>
      <c r="AA1200" s="2"/>
      <c r="AB1200" s="2"/>
      <c r="AC1200" s="2"/>
      <c r="AD1200" s="2"/>
      <c r="AE1200" s="2"/>
      <c r="AF1200" s="2"/>
      <c r="AG1200" s="2"/>
      <c r="AH1200" s="2"/>
      <c r="AI1200" s="2"/>
    </row>
    <row r="1201" spans="1:35" ht="14.25" customHeight="1" x14ac:dyDescent="0.2">
      <c r="A1201" s="1">
        <v>55846</v>
      </c>
      <c r="B1201" s="1" t="s">
        <v>1244</v>
      </c>
      <c r="C1201" s="1" t="s">
        <v>21</v>
      </c>
      <c r="D1201" s="2">
        <v>41840</v>
      </c>
      <c r="E1201" s="1" t="s">
        <v>22</v>
      </c>
      <c r="F1201" s="1" t="s">
        <v>456</v>
      </c>
      <c r="G1201" s="1">
        <v>30</v>
      </c>
      <c r="H1201" s="1">
        <v>7.1</v>
      </c>
      <c r="I1201" s="1">
        <f t="shared" si="54"/>
        <v>213</v>
      </c>
      <c r="J1201" t="str">
        <f t="shared" si="55"/>
        <v>Low</v>
      </c>
      <c r="K1201" s="1"/>
      <c r="L1201" s="1">
        <v>0.02</v>
      </c>
      <c r="M1201" s="1">
        <v>6.05</v>
      </c>
      <c r="N1201" s="1" t="s">
        <v>33</v>
      </c>
      <c r="O1201" s="1" t="s">
        <v>34</v>
      </c>
      <c r="P1201" s="2">
        <v>41840</v>
      </c>
      <c r="Q1201" s="2" t="b">
        <f t="shared" si="56"/>
        <v>0</v>
      </c>
      <c r="V1201" s="2"/>
      <c r="W1201" s="2"/>
      <c r="X1201" s="2"/>
      <c r="Y1201" s="2"/>
      <c r="Z1201" s="2"/>
      <c r="AA1201" s="2"/>
      <c r="AB1201" s="2"/>
      <c r="AC1201" s="2"/>
      <c r="AD1201" s="2"/>
      <c r="AE1201" s="2"/>
      <c r="AF1201" s="2"/>
      <c r="AG1201" s="2"/>
      <c r="AH1201" s="2"/>
      <c r="AI1201" s="2"/>
    </row>
    <row r="1202" spans="1:35" ht="14.25" customHeight="1" x14ac:dyDescent="0.2">
      <c r="A1202" s="1">
        <v>37542</v>
      </c>
      <c r="B1202" s="1" t="s">
        <v>513</v>
      </c>
      <c r="C1202" s="1" t="s">
        <v>51</v>
      </c>
      <c r="D1202" s="2">
        <v>41840</v>
      </c>
      <c r="E1202" s="1" t="s">
        <v>101</v>
      </c>
      <c r="F1202" s="1" t="s">
        <v>815</v>
      </c>
      <c r="G1202" s="1">
        <v>26</v>
      </c>
      <c r="H1202" s="1">
        <v>125.99</v>
      </c>
      <c r="I1202" s="1">
        <f t="shared" si="54"/>
        <v>3275.74</v>
      </c>
      <c r="J1202" t="str">
        <f t="shared" si="55"/>
        <v>High</v>
      </c>
      <c r="K1202" s="1"/>
      <c r="L1202" s="1">
        <v>0.09</v>
      </c>
      <c r="M1202" s="1">
        <v>7.69</v>
      </c>
      <c r="N1202" s="1" t="s">
        <v>25</v>
      </c>
      <c r="O1202" s="1" t="s">
        <v>34</v>
      </c>
      <c r="P1202" s="2">
        <v>41842</v>
      </c>
      <c r="Q1202" s="2" t="b">
        <f t="shared" si="56"/>
        <v>0</v>
      </c>
      <c r="V1202" s="2"/>
      <c r="W1202" s="2"/>
      <c r="X1202" s="2"/>
      <c r="Y1202" s="2"/>
      <c r="Z1202" s="2"/>
      <c r="AA1202" s="2"/>
      <c r="AB1202" s="2"/>
      <c r="AC1202" s="2"/>
      <c r="AD1202" s="2"/>
      <c r="AE1202" s="2"/>
      <c r="AF1202" s="2"/>
      <c r="AG1202" s="2"/>
      <c r="AH1202" s="2"/>
      <c r="AI1202" s="2"/>
    </row>
    <row r="1203" spans="1:35" ht="14.25" customHeight="1" x14ac:dyDescent="0.2">
      <c r="A1203" s="1">
        <v>5441</v>
      </c>
      <c r="B1203" s="1" t="s">
        <v>977</v>
      </c>
      <c r="C1203" s="1" t="s">
        <v>21</v>
      </c>
      <c r="D1203" s="2">
        <v>41840</v>
      </c>
      <c r="E1203" s="1" t="s">
        <v>22</v>
      </c>
      <c r="F1203" s="1" t="s">
        <v>386</v>
      </c>
      <c r="G1203" s="1">
        <v>34</v>
      </c>
      <c r="H1203" s="1">
        <v>6.48</v>
      </c>
      <c r="I1203" s="1">
        <f t="shared" si="54"/>
        <v>220.32000000000002</v>
      </c>
      <c r="J1203" t="str">
        <f t="shared" si="55"/>
        <v>Low</v>
      </c>
      <c r="K1203" s="1"/>
      <c r="L1203" s="1">
        <v>0.02</v>
      </c>
      <c r="M1203" s="1">
        <v>6.6</v>
      </c>
      <c r="N1203" s="1" t="s">
        <v>33</v>
      </c>
      <c r="O1203" s="1" t="s">
        <v>34</v>
      </c>
      <c r="P1203" s="2">
        <v>41842</v>
      </c>
      <c r="Q1203" s="2" t="b">
        <f t="shared" si="56"/>
        <v>0</v>
      </c>
      <c r="V1203" s="2"/>
      <c r="W1203" s="2"/>
      <c r="X1203" s="2"/>
      <c r="Y1203" s="2"/>
      <c r="Z1203" s="2"/>
      <c r="AA1203" s="2"/>
      <c r="AB1203" s="2"/>
      <c r="AC1203" s="2"/>
      <c r="AD1203" s="2"/>
      <c r="AE1203" s="2"/>
      <c r="AF1203" s="2"/>
      <c r="AG1203" s="2"/>
      <c r="AH1203" s="2"/>
      <c r="AI1203" s="2"/>
    </row>
    <row r="1204" spans="1:35" ht="14.25" customHeight="1" x14ac:dyDescent="0.2">
      <c r="A1204" s="1">
        <v>5441</v>
      </c>
      <c r="B1204" s="1" t="s">
        <v>977</v>
      </c>
      <c r="C1204" s="1" t="s">
        <v>51</v>
      </c>
      <c r="D1204" s="2">
        <v>41840</v>
      </c>
      <c r="E1204" s="1" t="s">
        <v>22</v>
      </c>
      <c r="F1204" s="1" t="s">
        <v>1110</v>
      </c>
      <c r="G1204" s="1">
        <v>16</v>
      </c>
      <c r="H1204" s="1">
        <v>17.149999999999999</v>
      </c>
      <c r="I1204" s="1">
        <f t="shared" si="54"/>
        <v>274.39999999999998</v>
      </c>
      <c r="J1204" t="str">
        <f t="shared" si="55"/>
        <v>Low</v>
      </c>
      <c r="K1204" s="1"/>
      <c r="L1204" s="1">
        <v>0.04</v>
      </c>
      <c r="M1204" s="1">
        <v>4.96</v>
      </c>
      <c r="N1204" s="1" t="s">
        <v>33</v>
      </c>
      <c r="O1204" s="1" t="s">
        <v>34</v>
      </c>
      <c r="P1204" s="2">
        <v>41841</v>
      </c>
      <c r="Q1204" s="2" t="b">
        <f t="shared" si="56"/>
        <v>0</v>
      </c>
      <c r="V1204" s="2"/>
      <c r="W1204" s="2"/>
      <c r="X1204" s="2"/>
      <c r="Y1204" s="2"/>
      <c r="Z1204" s="2"/>
      <c r="AA1204" s="2"/>
      <c r="AB1204" s="2"/>
      <c r="AC1204" s="2"/>
      <c r="AD1204" s="2"/>
      <c r="AE1204" s="2"/>
      <c r="AF1204" s="2"/>
      <c r="AG1204" s="2"/>
      <c r="AH1204" s="2"/>
      <c r="AI1204" s="2"/>
    </row>
    <row r="1205" spans="1:35" ht="14.25" customHeight="1" x14ac:dyDescent="0.2">
      <c r="A1205" s="1">
        <v>43079</v>
      </c>
      <c r="B1205" s="1" t="s">
        <v>221</v>
      </c>
      <c r="C1205" s="1" t="s">
        <v>51</v>
      </c>
      <c r="D1205" s="2">
        <v>41841</v>
      </c>
      <c r="E1205" s="1" t="s">
        <v>101</v>
      </c>
      <c r="F1205" s="1" t="s">
        <v>562</v>
      </c>
      <c r="G1205" s="1">
        <v>40</v>
      </c>
      <c r="H1205" s="1">
        <v>30.73</v>
      </c>
      <c r="I1205" s="1">
        <f t="shared" si="54"/>
        <v>1229.2</v>
      </c>
      <c r="J1205" t="str">
        <f t="shared" si="55"/>
        <v>High</v>
      </c>
      <c r="K1205" s="1"/>
      <c r="L1205" s="1">
        <v>0.04</v>
      </c>
      <c r="M1205" s="1">
        <v>4</v>
      </c>
      <c r="N1205" s="1" t="s">
        <v>33</v>
      </c>
      <c r="O1205" s="1" t="s">
        <v>34</v>
      </c>
      <c r="P1205" s="2">
        <v>41842</v>
      </c>
      <c r="Q1205" s="2" t="b">
        <f t="shared" si="56"/>
        <v>0</v>
      </c>
      <c r="V1205" s="2"/>
      <c r="W1205" s="2"/>
      <c r="X1205" s="2"/>
      <c r="Y1205" s="2"/>
      <c r="Z1205" s="2"/>
      <c r="AA1205" s="2"/>
      <c r="AB1205" s="2"/>
      <c r="AC1205" s="2"/>
      <c r="AD1205" s="2"/>
      <c r="AE1205" s="2"/>
      <c r="AF1205" s="2"/>
      <c r="AG1205" s="2"/>
      <c r="AH1205" s="2"/>
      <c r="AI1205" s="2"/>
    </row>
    <row r="1206" spans="1:35" ht="14.25" customHeight="1" x14ac:dyDescent="0.2">
      <c r="A1206" s="1">
        <v>50823</v>
      </c>
      <c r="B1206" s="1" t="s">
        <v>1024</v>
      </c>
      <c r="C1206" s="1" t="s">
        <v>51</v>
      </c>
      <c r="D1206" s="2">
        <v>41841</v>
      </c>
      <c r="E1206" s="1" t="s">
        <v>43</v>
      </c>
      <c r="F1206" s="1" t="s">
        <v>878</v>
      </c>
      <c r="G1206" s="1">
        <v>12</v>
      </c>
      <c r="H1206" s="1">
        <v>100.98</v>
      </c>
      <c r="I1206" s="1">
        <f t="shared" si="54"/>
        <v>1211.76</v>
      </c>
      <c r="J1206" t="str">
        <f t="shared" si="55"/>
        <v>High</v>
      </c>
      <c r="K1206" s="1"/>
      <c r="L1206" s="1">
        <v>0.04</v>
      </c>
      <c r="M1206" s="1">
        <v>7.18</v>
      </c>
      <c r="N1206" s="1" t="s">
        <v>33</v>
      </c>
      <c r="O1206" s="1" t="s">
        <v>34</v>
      </c>
      <c r="P1206" s="2">
        <v>41846</v>
      </c>
      <c r="Q1206" s="2" t="b">
        <f t="shared" si="56"/>
        <v>0</v>
      </c>
      <c r="V1206" s="2"/>
      <c r="W1206" s="2"/>
      <c r="X1206" s="2"/>
      <c r="Y1206" s="2"/>
      <c r="Z1206" s="2"/>
      <c r="AA1206" s="2"/>
      <c r="AB1206" s="2"/>
      <c r="AC1206" s="2"/>
      <c r="AD1206" s="2"/>
      <c r="AE1206" s="2"/>
      <c r="AF1206" s="2"/>
      <c r="AG1206" s="2"/>
      <c r="AH1206" s="2"/>
      <c r="AI1206" s="2"/>
    </row>
    <row r="1207" spans="1:35" ht="14.25" customHeight="1" x14ac:dyDescent="0.2">
      <c r="A1207" s="1">
        <v>6823</v>
      </c>
      <c r="B1207" s="1" t="s">
        <v>1245</v>
      </c>
      <c r="C1207" s="1" t="s">
        <v>30</v>
      </c>
      <c r="D1207" s="2">
        <v>41841</v>
      </c>
      <c r="E1207" s="1" t="s">
        <v>22</v>
      </c>
      <c r="F1207" s="1" t="s">
        <v>1246</v>
      </c>
      <c r="G1207" s="1">
        <v>50</v>
      </c>
      <c r="H1207" s="1">
        <v>24.95</v>
      </c>
      <c r="I1207" s="1">
        <f t="shared" si="54"/>
        <v>1247.5</v>
      </c>
      <c r="J1207" t="str">
        <f t="shared" si="55"/>
        <v>High</v>
      </c>
      <c r="K1207" s="1"/>
      <c r="L1207" s="1">
        <v>0.01</v>
      </c>
      <c r="M1207" s="1">
        <v>2.99</v>
      </c>
      <c r="N1207" s="1" t="s">
        <v>33</v>
      </c>
      <c r="O1207" s="1" t="s">
        <v>34</v>
      </c>
      <c r="P1207" s="2">
        <v>41842</v>
      </c>
      <c r="Q1207" s="2" t="b">
        <f t="shared" si="56"/>
        <v>0</v>
      </c>
      <c r="V1207" s="2"/>
      <c r="W1207" s="2"/>
      <c r="X1207" s="2"/>
      <c r="Y1207" s="2"/>
      <c r="Z1207" s="2"/>
      <c r="AA1207" s="2"/>
      <c r="AB1207" s="2"/>
      <c r="AC1207" s="2"/>
      <c r="AD1207" s="2"/>
      <c r="AE1207" s="2"/>
      <c r="AF1207" s="2"/>
      <c r="AG1207" s="2"/>
      <c r="AH1207" s="2"/>
      <c r="AI1207" s="2"/>
    </row>
    <row r="1208" spans="1:35" ht="14.25" customHeight="1" x14ac:dyDescent="0.2">
      <c r="A1208" s="1">
        <v>6823</v>
      </c>
      <c r="B1208" s="1" t="s">
        <v>1245</v>
      </c>
      <c r="C1208" s="1" t="s">
        <v>30</v>
      </c>
      <c r="D1208" s="2">
        <v>41841</v>
      </c>
      <c r="E1208" s="1" t="s">
        <v>22</v>
      </c>
      <c r="F1208" s="1" t="s">
        <v>353</v>
      </c>
      <c r="G1208" s="1">
        <v>31</v>
      </c>
      <c r="H1208" s="1">
        <v>15.98</v>
      </c>
      <c r="I1208" s="1">
        <f t="shared" si="54"/>
        <v>495.38</v>
      </c>
      <c r="J1208" t="str">
        <f t="shared" si="55"/>
        <v>Low</v>
      </c>
      <c r="K1208" s="1"/>
      <c r="L1208" s="1">
        <v>0</v>
      </c>
      <c r="M1208" s="1">
        <v>8.99</v>
      </c>
      <c r="N1208" s="1" t="s">
        <v>33</v>
      </c>
      <c r="O1208" s="1" t="s">
        <v>84</v>
      </c>
      <c r="P1208" s="2">
        <v>41843</v>
      </c>
      <c r="Q1208" s="2" t="b">
        <f t="shared" si="56"/>
        <v>0</v>
      </c>
      <c r="V1208" s="2"/>
      <c r="W1208" s="2"/>
      <c r="X1208" s="2"/>
      <c r="Y1208" s="2"/>
      <c r="Z1208" s="2"/>
      <c r="AA1208" s="2"/>
      <c r="AB1208" s="2"/>
      <c r="AC1208" s="2"/>
      <c r="AD1208" s="2"/>
      <c r="AE1208" s="2"/>
      <c r="AF1208" s="2"/>
      <c r="AG1208" s="2"/>
      <c r="AH1208" s="2"/>
      <c r="AI1208" s="2"/>
    </row>
    <row r="1209" spans="1:35" ht="14.25" customHeight="1" x14ac:dyDescent="0.2">
      <c r="A1209" s="1">
        <v>43813</v>
      </c>
      <c r="B1209" s="1" t="s">
        <v>959</v>
      </c>
      <c r="C1209" s="1" t="s">
        <v>30</v>
      </c>
      <c r="D1209" s="2">
        <v>41841</v>
      </c>
      <c r="E1209" s="1" t="s">
        <v>22</v>
      </c>
      <c r="F1209" s="1" t="s">
        <v>267</v>
      </c>
      <c r="G1209" s="1">
        <v>23</v>
      </c>
      <c r="H1209" s="1">
        <v>15.51</v>
      </c>
      <c r="I1209" s="1">
        <f t="shared" si="54"/>
        <v>356.73</v>
      </c>
      <c r="J1209" t="str">
        <f t="shared" si="55"/>
        <v>Low</v>
      </c>
      <c r="K1209" s="1"/>
      <c r="L1209" s="1">
        <v>0.04</v>
      </c>
      <c r="M1209" s="1">
        <v>17.78</v>
      </c>
      <c r="N1209" s="1" t="s">
        <v>33</v>
      </c>
      <c r="O1209" s="1" t="s">
        <v>34</v>
      </c>
      <c r="P1209" s="2">
        <v>41843</v>
      </c>
      <c r="Q1209" s="2" t="b">
        <f t="shared" si="56"/>
        <v>0</v>
      </c>
      <c r="V1209" s="2"/>
      <c r="W1209" s="2"/>
      <c r="X1209" s="2"/>
      <c r="Y1209" s="2"/>
      <c r="Z1209" s="2"/>
      <c r="AA1209" s="2"/>
      <c r="AB1209" s="2"/>
      <c r="AC1209" s="2"/>
      <c r="AD1209" s="2"/>
      <c r="AE1209" s="2"/>
      <c r="AF1209" s="2"/>
      <c r="AG1209" s="2"/>
      <c r="AH1209" s="2"/>
      <c r="AI1209" s="2"/>
    </row>
    <row r="1210" spans="1:35" ht="14.25" customHeight="1" x14ac:dyDescent="0.2">
      <c r="A1210" s="1">
        <v>48961</v>
      </c>
      <c r="B1210" s="1" t="s">
        <v>935</v>
      </c>
      <c r="C1210" s="1" t="s">
        <v>51</v>
      </c>
      <c r="D1210" s="2">
        <v>41841</v>
      </c>
      <c r="E1210" s="1" t="s">
        <v>22</v>
      </c>
      <c r="F1210" s="1" t="s">
        <v>1247</v>
      </c>
      <c r="G1210" s="1">
        <v>24</v>
      </c>
      <c r="H1210" s="1">
        <v>22.84</v>
      </c>
      <c r="I1210" s="1">
        <f t="shared" si="54"/>
        <v>548.16</v>
      </c>
      <c r="J1210" t="str">
        <f t="shared" si="55"/>
        <v>Low</v>
      </c>
      <c r="K1210" s="1"/>
      <c r="L1210" s="1">
        <v>0.09</v>
      </c>
      <c r="M1210" s="1">
        <v>16.87</v>
      </c>
      <c r="N1210" s="1" t="s">
        <v>33</v>
      </c>
      <c r="O1210" s="1" t="s">
        <v>34</v>
      </c>
      <c r="P1210" s="2">
        <v>41843</v>
      </c>
      <c r="Q1210" s="2" t="b">
        <f t="shared" si="56"/>
        <v>0</v>
      </c>
      <c r="V1210" s="2"/>
      <c r="W1210" s="2"/>
      <c r="X1210" s="2"/>
      <c r="Y1210" s="2"/>
      <c r="Z1210" s="2"/>
      <c r="AA1210" s="2"/>
      <c r="AB1210" s="2"/>
      <c r="AC1210" s="2"/>
      <c r="AD1210" s="2"/>
      <c r="AE1210" s="2"/>
      <c r="AF1210" s="2"/>
      <c r="AG1210" s="2"/>
      <c r="AH1210" s="2"/>
      <c r="AI1210" s="2"/>
    </row>
    <row r="1211" spans="1:35" ht="14.25" customHeight="1" x14ac:dyDescent="0.2">
      <c r="A1211" s="1">
        <v>48961</v>
      </c>
      <c r="B1211" s="1" t="s">
        <v>935</v>
      </c>
      <c r="C1211" s="1" t="s">
        <v>30</v>
      </c>
      <c r="D1211" s="2">
        <v>41841</v>
      </c>
      <c r="E1211" s="1" t="s">
        <v>22</v>
      </c>
      <c r="F1211" s="1" t="s">
        <v>691</v>
      </c>
      <c r="G1211" s="1">
        <v>25</v>
      </c>
      <c r="H1211" s="1">
        <v>14.98</v>
      </c>
      <c r="I1211" s="1">
        <f t="shared" si="54"/>
        <v>374.5</v>
      </c>
      <c r="J1211" t="str">
        <f t="shared" si="55"/>
        <v>Low</v>
      </c>
      <c r="K1211" s="1"/>
      <c r="L1211" s="1">
        <v>0.1</v>
      </c>
      <c r="M1211" s="1">
        <v>7.69</v>
      </c>
      <c r="N1211" s="1" t="s">
        <v>25</v>
      </c>
      <c r="O1211" s="1" t="s">
        <v>34</v>
      </c>
      <c r="P1211" s="2">
        <v>41843</v>
      </c>
      <c r="Q1211" s="2" t="b">
        <f t="shared" si="56"/>
        <v>0</v>
      </c>
      <c r="V1211" s="2"/>
      <c r="W1211" s="2"/>
      <c r="X1211" s="2"/>
      <c r="Y1211" s="2"/>
      <c r="Z1211" s="2"/>
      <c r="AA1211" s="2"/>
      <c r="AB1211" s="2"/>
      <c r="AC1211" s="2"/>
      <c r="AD1211" s="2"/>
      <c r="AE1211" s="2"/>
      <c r="AF1211" s="2"/>
      <c r="AG1211" s="2"/>
      <c r="AH1211" s="2"/>
      <c r="AI1211" s="2"/>
    </row>
    <row r="1212" spans="1:35" ht="14.25" customHeight="1" x14ac:dyDescent="0.2">
      <c r="A1212" s="1">
        <v>50917</v>
      </c>
      <c r="B1212" s="1" t="s">
        <v>501</v>
      </c>
      <c r="C1212" s="1" t="s">
        <v>30</v>
      </c>
      <c r="D1212" s="2">
        <v>41841</v>
      </c>
      <c r="E1212" s="1" t="s">
        <v>43</v>
      </c>
      <c r="F1212" s="1" t="s">
        <v>1248</v>
      </c>
      <c r="G1212" s="1">
        <v>33</v>
      </c>
      <c r="H1212" s="1">
        <v>43.98</v>
      </c>
      <c r="I1212" s="1">
        <f t="shared" si="54"/>
        <v>1451.34</v>
      </c>
      <c r="J1212" t="str">
        <f t="shared" si="55"/>
        <v>High</v>
      </c>
      <c r="K1212" s="1"/>
      <c r="L1212" s="1">
        <v>0.02</v>
      </c>
      <c r="M1212" s="1">
        <v>1.99</v>
      </c>
      <c r="N1212" s="1" t="s">
        <v>33</v>
      </c>
      <c r="O1212" s="1" t="s">
        <v>84</v>
      </c>
      <c r="P1212" s="2">
        <v>41845</v>
      </c>
      <c r="Q1212" s="2" t="b">
        <f t="shared" si="56"/>
        <v>0</v>
      </c>
      <c r="V1212" s="2"/>
      <c r="W1212" s="2"/>
      <c r="X1212" s="2"/>
      <c r="Y1212" s="2"/>
      <c r="Z1212" s="2"/>
      <c r="AA1212" s="2"/>
      <c r="AB1212" s="2"/>
      <c r="AC1212" s="2"/>
      <c r="AD1212" s="2"/>
      <c r="AE1212" s="2"/>
      <c r="AF1212" s="2"/>
      <c r="AG1212" s="2"/>
      <c r="AH1212" s="2"/>
      <c r="AI1212" s="2"/>
    </row>
    <row r="1213" spans="1:35" ht="14.25" customHeight="1" x14ac:dyDescent="0.2">
      <c r="A1213" s="1">
        <v>41316</v>
      </c>
      <c r="B1213" s="1" t="s">
        <v>1237</v>
      </c>
      <c r="C1213" s="1" t="s">
        <v>30</v>
      </c>
      <c r="D1213" s="2">
        <v>41841</v>
      </c>
      <c r="E1213" s="1" t="s">
        <v>22</v>
      </c>
      <c r="F1213" s="1" t="s">
        <v>697</v>
      </c>
      <c r="G1213" s="1">
        <v>8</v>
      </c>
      <c r="H1213" s="1">
        <v>14.28</v>
      </c>
      <c r="I1213" s="1">
        <f t="shared" si="54"/>
        <v>114.24</v>
      </c>
      <c r="J1213" t="str">
        <f t="shared" si="55"/>
        <v>Low</v>
      </c>
      <c r="K1213" s="1"/>
      <c r="L1213" s="1">
        <v>0.01</v>
      </c>
      <c r="M1213" s="1">
        <v>2.99</v>
      </c>
      <c r="N1213" s="1" t="s">
        <v>33</v>
      </c>
      <c r="O1213" s="1" t="s">
        <v>34</v>
      </c>
      <c r="P1213" s="2">
        <v>41842</v>
      </c>
      <c r="Q1213" s="2" t="b">
        <f t="shared" si="56"/>
        <v>0</v>
      </c>
      <c r="V1213" s="2"/>
      <c r="W1213" s="2"/>
      <c r="X1213" s="2"/>
      <c r="Y1213" s="2"/>
      <c r="Z1213" s="2"/>
      <c r="AA1213" s="2"/>
      <c r="AB1213" s="2"/>
      <c r="AC1213" s="2"/>
      <c r="AD1213" s="2"/>
      <c r="AE1213" s="2"/>
      <c r="AF1213" s="2"/>
      <c r="AG1213" s="2"/>
      <c r="AH1213" s="2"/>
      <c r="AI1213" s="2"/>
    </row>
    <row r="1214" spans="1:35" ht="14.25" customHeight="1" x14ac:dyDescent="0.2">
      <c r="A1214" s="1">
        <v>41316</v>
      </c>
      <c r="B1214" s="1" t="s">
        <v>1237</v>
      </c>
      <c r="C1214" s="1" t="s">
        <v>51</v>
      </c>
      <c r="D1214" s="2">
        <v>41841</v>
      </c>
      <c r="E1214" s="1" t="s">
        <v>22</v>
      </c>
      <c r="F1214" s="1" t="s">
        <v>85</v>
      </c>
      <c r="G1214" s="1">
        <v>4</v>
      </c>
      <c r="H1214" s="1">
        <v>205.99</v>
      </c>
      <c r="I1214" s="1">
        <f t="shared" si="54"/>
        <v>823.96</v>
      </c>
      <c r="J1214" t="str">
        <f t="shared" si="55"/>
        <v>Low</v>
      </c>
      <c r="K1214" s="1"/>
      <c r="L1214" s="1">
        <v>0</v>
      </c>
      <c r="M1214" s="1">
        <v>5.99</v>
      </c>
      <c r="N1214" s="1" t="s">
        <v>33</v>
      </c>
      <c r="O1214" s="1" t="s">
        <v>34</v>
      </c>
      <c r="P1214" s="2">
        <v>41844</v>
      </c>
      <c r="Q1214" s="2" t="b">
        <f t="shared" si="56"/>
        <v>0</v>
      </c>
      <c r="V1214" s="2"/>
      <c r="W1214" s="2"/>
      <c r="X1214" s="2"/>
      <c r="Y1214" s="2"/>
      <c r="Z1214" s="2"/>
      <c r="AA1214" s="2"/>
      <c r="AB1214" s="2"/>
      <c r="AC1214" s="2"/>
      <c r="AD1214" s="2"/>
      <c r="AE1214" s="2"/>
      <c r="AF1214" s="2"/>
      <c r="AG1214" s="2"/>
      <c r="AH1214" s="2"/>
      <c r="AI1214" s="2"/>
    </row>
    <row r="1215" spans="1:35" ht="14.25" customHeight="1" x14ac:dyDescent="0.2">
      <c r="A1215" s="1">
        <v>42310</v>
      </c>
      <c r="B1215" s="1" t="s">
        <v>1249</v>
      </c>
      <c r="C1215" s="1" t="s">
        <v>21</v>
      </c>
      <c r="D1215" s="2">
        <v>41841</v>
      </c>
      <c r="E1215" s="1" t="s">
        <v>38</v>
      </c>
      <c r="F1215" s="1" t="s">
        <v>441</v>
      </c>
      <c r="G1215" s="1">
        <v>20</v>
      </c>
      <c r="H1215" s="1">
        <v>205.99</v>
      </c>
      <c r="I1215" s="1">
        <f t="shared" si="54"/>
        <v>4119.8</v>
      </c>
      <c r="J1215" t="str">
        <f t="shared" si="55"/>
        <v>High</v>
      </c>
      <c r="K1215" s="1"/>
      <c r="L1215" s="1">
        <v>0.04</v>
      </c>
      <c r="M1215" s="1">
        <v>8.99</v>
      </c>
      <c r="N1215" s="1" t="s">
        <v>33</v>
      </c>
      <c r="O1215" s="1" t="s">
        <v>34</v>
      </c>
      <c r="P1215" s="2">
        <v>41842</v>
      </c>
      <c r="Q1215" s="2" t="b">
        <f t="shared" si="56"/>
        <v>0</v>
      </c>
      <c r="V1215" s="2"/>
      <c r="W1215" s="2"/>
      <c r="X1215" s="2"/>
      <c r="Y1215" s="2"/>
      <c r="Z1215" s="2"/>
      <c r="AA1215" s="2"/>
      <c r="AB1215" s="2"/>
      <c r="AC1215" s="2"/>
      <c r="AD1215" s="2"/>
      <c r="AE1215" s="2"/>
      <c r="AF1215" s="2"/>
      <c r="AG1215" s="2"/>
      <c r="AH1215" s="2"/>
      <c r="AI1215" s="2"/>
    </row>
    <row r="1216" spans="1:35" ht="14.25" customHeight="1" x14ac:dyDescent="0.2">
      <c r="A1216" s="1">
        <v>33350</v>
      </c>
      <c r="B1216" s="1" t="s">
        <v>414</v>
      </c>
      <c r="C1216" s="1" t="s">
        <v>51</v>
      </c>
      <c r="D1216" s="2">
        <v>41841</v>
      </c>
      <c r="E1216" s="1" t="s">
        <v>22</v>
      </c>
      <c r="F1216" s="1" t="s">
        <v>1250</v>
      </c>
      <c r="G1216" s="1">
        <v>1</v>
      </c>
      <c r="H1216" s="1">
        <v>1889.99</v>
      </c>
      <c r="I1216" s="1">
        <f t="shared" si="54"/>
        <v>1889.99</v>
      </c>
      <c r="J1216" t="str">
        <f t="shared" si="55"/>
        <v>High</v>
      </c>
      <c r="K1216" s="1"/>
      <c r="L1216" s="1">
        <v>0.1</v>
      </c>
      <c r="M1216" s="1">
        <v>19.989999999999998</v>
      </c>
      <c r="N1216" s="1" t="s">
        <v>33</v>
      </c>
      <c r="O1216" s="1" t="s">
        <v>34</v>
      </c>
      <c r="P1216" s="2">
        <v>41841</v>
      </c>
      <c r="Q1216" s="2" t="b">
        <f t="shared" si="56"/>
        <v>0</v>
      </c>
      <c r="V1216" s="2"/>
      <c r="W1216" s="2"/>
      <c r="X1216" s="2"/>
      <c r="Y1216" s="2"/>
      <c r="Z1216" s="2"/>
      <c r="AA1216" s="2"/>
      <c r="AB1216" s="2"/>
      <c r="AC1216" s="2"/>
      <c r="AD1216" s="2"/>
      <c r="AE1216" s="2"/>
      <c r="AF1216" s="2"/>
      <c r="AG1216" s="2"/>
      <c r="AH1216" s="2"/>
      <c r="AI1216" s="2"/>
    </row>
    <row r="1217" spans="1:35" ht="14.25" customHeight="1" x14ac:dyDescent="0.2">
      <c r="A1217" s="1">
        <v>16451</v>
      </c>
      <c r="B1217" s="1" t="s">
        <v>1251</v>
      </c>
      <c r="C1217" s="1" t="s">
        <v>51</v>
      </c>
      <c r="D1217" s="2">
        <v>41842</v>
      </c>
      <c r="E1217" s="1" t="s">
        <v>22</v>
      </c>
      <c r="F1217" s="1" t="s">
        <v>419</v>
      </c>
      <c r="G1217" s="1">
        <v>9</v>
      </c>
      <c r="H1217" s="1">
        <v>30.56</v>
      </c>
      <c r="I1217" s="1">
        <f t="shared" si="54"/>
        <v>275.03999999999996</v>
      </c>
      <c r="J1217" t="str">
        <f t="shared" si="55"/>
        <v>Low</v>
      </c>
      <c r="K1217" s="1"/>
      <c r="L1217" s="1">
        <v>0.09</v>
      </c>
      <c r="M1217" s="1">
        <v>2.99</v>
      </c>
      <c r="N1217" s="1" t="s">
        <v>33</v>
      </c>
      <c r="O1217" s="1" t="s">
        <v>34</v>
      </c>
      <c r="P1217" s="2">
        <v>41843</v>
      </c>
      <c r="Q1217" s="2" t="b">
        <f t="shared" si="56"/>
        <v>0</v>
      </c>
      <c r="V1217" s="2"/>
      <c r="W1217" s="2"/>
      <c r="X1217" s="2"/>
      <c r="Y1217" s="2"/>
      <c r="Z1217" s="2"/>
      <c r="AA1217" s="2"/>
      <c r="AB1217" s="2"/>
      <c r="AC1217" s="2"/>
      <c r="AD1217" s="2"/>
      <c r="AE1217" s="2"/>
      <c r="AF1217" s="2"/>
      <c r="AG1217" s="2"/>
      <c r="AH1217" s="2"/>
      <c r="AI1217" s="2"/>
    </row>
    <row r="1218" spans="1:35" ht="14.25" customHeight="1" x14ac:dyDescent="0.2">
      <c r="A1218" s="1">
        <v>13030</v>
      </c>
      <c r="B1218" s="1" t="s">
        <v>1024</v>
      </c>
      <c r="C1218" s="1" t="s">
        <v>51</v>
      </c>
      <c r="D1218" s="2">
        <v>41842</v>
      </c>
      <c r="E1218" s="1" t="s">
        <v>101</v>
      </c>
      <c r="F1218" s="1" t="s">
        <v>1252</v>
      </c>
      <c r="G1218" s="1">
        <v>32</v>
      </c>
      <c r="H1218" s="1">
        <v>3.89</v>
      </c>
      <c r="I1218" s="1">
        <f t="shared" ref="I1218:I1281" si="57">G1218*H1218</f>
        <v>124.48</v>
      </c>
      <c r="J1218" t="str">
        <f t="shared" ref="J1218:J1281" si="58">IF(I1218&lt;1000,"Low","High")</f>
        <v>Low</v>
      </c>
      <c r="K1218" s="1"/>
      <c r="L1218" s="1">
        <v>0.09</v>
      </c>
      <c r="M1218" s="1">
        <v>7.01</v>
      </c>
      <c r="N1218" s="1" t="s">
        <v>25</v>
      </c>
      <c r="O1218" s="1" t="s">
        <v>34</v>
      </c>
      <c r="P1218" s="2">
        <v>41844</v>
      </c>
      <c r="Q1218" s="2" t="b">
        <f t="shared" ref="Q1218:Q1281" si="59">AND(N1218="Express Air",O1218="Large Box")</f>
        <v>0</v>
      </c>
      <c r="V1218" s="2"/>
      <c r="W1218" s="2"/>
      <c r="X1218" s="2"/>
      <c r="Y1218" s="2"/>
      <c r="Z1218" s="2"/>
      <c r="AA1218" s="2"/>
      <c r="AB1218" s="2"/>
      <c r="AC1218" s="2"/>
      <c r="AD1218" s="2"/>
      <c r="AE1218" s="2"/>
      <c r="AF1218" s="2"/>
      <c r="AG1218" s="2"/>
      <c r="AH1218" s="2"/>
      <c r="AI1218" s="2"/>
    </row>
    <row r="1219" spans="1:35" ht="14.25" customHeight="1" x14ac:dyDescent="0.2">
      <c r="A1219" s="1">
        <v>56612</v>
      </c>
      <c r="B1219" s="1" t="s">
        <v>1253</v>
      </c>
      <c r="C1219" s="1" t="s">
        <v>21</v>
      </c>
      <c r="D1219" s="2">
        <v>41842</v>
      </c>
      <c r="E1219" s="1" t="s">
        <v>31</v>
      </c>
      <c r="F1219" s="1" t="s">
        <v>303</v>
      </c>
      <c r="G1219" s="1">
        <v>38</v>
      </c>
      <c r="H1219" s="1">
        <v>115.99</v>
      </c>
      <c r="I1219" s="1">
        <f t="shared" si="57"/>
        <v>4407.62</v>
      </c>
      <c r="J1219" t="str">
        <f t="shared" si="58"/>
        <v>High</v>
      </c>
      <c r="K1219" s="1"/>
      <c r="L1219" s="1">
        <v>0</v>
      </c>
      <c r="M1219" s="1">
        <v>5.92</v>
      </c>
      <c r="N1219" s="1" t="s">
        <v>33</v>
      </c>
      <c r="O1219" s="1" t="s">
        <v>34</v>
      </c>
      <c r="P1219" s="2">
        <v>41842</v>
      </c>
      <c r="Q1219" s="2" t="b">
        <f t="shared" si="59"/>
        <v>0</v>
      </c>
      <c r="V1219" s="2"/>
      <c r="W1219" s="2"/>
      <c r="X1219" s="2"/>
      <c r="Y1219" s="2"/>
      <c r="Z1219" s="2"/>
      <c r="AA1219" s="2"/>
      <c r="AB1219" s="2"/>
      <c r="AC1219" s="2"/>
      <c r="AD1219" s="2"/>
      <c r="AE1219" s="2"/>
      <c r="AF1219" s="2"/>
      <c r="AG1219" s="2"/>
      <c r="AH1219" s="2"/>
      <c r="AI1219" s="2"/>
    </row>
    <row r="1220" spans="1:35" ht="14.25" customHeight="1" x14ac:dyDescent="0.2">
      <c r="A1220" s="1">
        <v>37825</v>
      </c>
      <c r="B1220" s="1" t="s">
        <v>20</v>
      </c>
      <c r="C1220" s="1" t="s">
        <v>21</v>
      </c>
      <c r="D1220" s="2">
        <v>41842</v>
      </c>
      <c r="E1220" s="1" t="s">
        <v>43</v>
      </c>
      <c r="F1220" s="1" t="s">
        <v>722</v>
      </c>
      <c r="G1220" s="1">
        <v>44</v>
      </c>
      <c r="H1220" s="1">
        <v>11.97</v>
      </c>
      <c r="I1220" s="1">
        <f t="shared" si="57"/>
        <v>526.68000000000006</v>
      </c>
      <c r="J1220" t="str">
        <f t="shared" si="58"/>
        <v>Low</v>
      </c>
      <c r="K1220" s="1"/>
      <c r="L1220" s="1">
        <v>0.06</v>
      </c>
      <c r="M1220" s="1">
        <v>4.9800000000000004</v>
      </c>
      <c r="N1220" s="1" t="s">
        <v>33</v>
      </c>
      <c r="O1220" s="1" t="s">
        <v>34</v>
      </c>
      <c r="P1220" s="2">
        <v>41844</v>
      </c>
      <c r="Q1220" s="2" t="b">
        <f t="shared" si="59"/>
        <v>0</v>
      </c>
      <c r="V1220" s="2"/>
      <c r="W1220" s="2"/>
      <c r="X1220" s="2"/>
      <c r="Y1220" s="2"/>
      <c r="Z1220" s="2"/>
      <c r="AA1220" s="2"/>
      <c r="AB1220" s="2"/>
      <c r="AC1220" s="2"/>
      <c r="AD1220" s="2"/>
      <c r="AE1220" s="2"/>
      <c r="AF1220" s="2"/>
      <c r="AG1220" s="2"/>
      <c r="AH1220" s="2"/>
      <c r="AI1220" s="2"/>
    </row>
    <row r="1221" spans="1:35" ht="14.25" customHeight="1" x14ac:dyDescent="0.2">
      <c r="A1221" s="1">
        <v>37825</v>
      </c>
      <c r="B1221" s="1" t="s">
        <v>20</v>
      </c>
      <c r="C1221" s="1" t="s">
        <v>30</v>
      </c>
      <c r="D1221" s="2">
        <v>41842</v>
      </c>
      <c r="E1221" s="1" t="s">
        <v>43</v>
      </c>
      <c r="F1221" s="1" t="s">
        <v>365</v>
      </c>
      <c r="G1221" s="1">
        <v>41</v>
      </c>
      <c r="H1221" s="1">
        <v>6.98</v>
      </c>
      <c r="I1221" s="1">
        <f t="shared" si="57"/>
        <v>286.18</v>
      </c>
      <c r="J1221" t="str">
        <f t="shared" si="58"/>
        <v>Low</v>
      </c>
      <c r="K1221" s="1"/>
      <c r="L1221" s="1">
        <v>0.06</v>
      </c>
      <c r="M1221" s="1">
        <v>1.6</v>
      </c>
      <c r="N1221" s="1" t="s">
        <v>33</v>
      </c>
      <c r="O1221" s="1" t="s">
        <v>55</v>
      </c>
      <c r="P1221" s="2">
        <v>41849</v>
      </c>
      <c r="Q1221" s="2" t="b">
        <f t="shared" si="59"/>
        <v>0</v>
      </c>
      <c r="V1221" s="2"/>
      <c r="W1221" s="2"/>
      <c r="X1221" s="2"/>
      <c r="Y1221" s="2"/>
      <c r="Z1221" s="2"/>
      <c r="AA1221" s="2"/>
      <c r="AB1221" s="2"/>
      <c r="AC1221" s="2"/>
      <c r="AD1221" s="2"/>
      <c r="AE1221" s="2"/>
      <c r="AF1221" s="2"/>
      <c r="AG1221" s="2"/>
      <c r="AH1221" s="2"/>
      <c r="AI1221" s="2"/>
    </row>
    <row r="1222" spans="1:35" ht="14.25" customHeight="1" x14ac:dyDescent="0.2">
      <c r="A1222" s="1">
        <v>22119</v>
      </c>
      <c r="B1222" s="1" t="s">
        <v>1254</v>
      </c>
      <c r="C1222" s="1" t="s">
        <v>21</v>
      </c>
      <c r="D1222" s="2">
        <v>41844</v>
      </c>
      <c r="E1222" s="1" t="s">
        <v>43</v>
      </c>
      <c r="F1222" s="1" t="s">
        <v>1255</v>
      </c>
      <c r="G1222" s="1">
        <v>20</v>
      </c>
      <c r="H1222" s="1">
        <v>49.43</v>
      </c>
      <c r="I1222" s="1">
        <f t="shared" si="57"/>
        <v>988.6</v>
      </c>
      <c r="J1222" t="str">
        <f t="shared" si="58"/>
        <v>Low</v>
      </c>
      <c r="K1222" s="1"/>
      <c r="L1222" s="1">
        <v>7.0000000000000007E-2</v>
      </c>
      <c r="M1222" s="1">
        <v>19.989999999999998</v>
      </c>
      <c r="N1222" s="1" t="s">
        <v>33</v>
      </c>
      <c r="O1222" s="1" t="s">
        <v>34</v>
      </c>
      <c r="P1222" s="2">
        <v>41849</v>
      </c>
      <c r="Q1222" s="2" t="b">
        <f t="shared" si="59"/>
        <v>0</v>
      </c>
      <c r="V1222" s="2"/>
      <c r="W1222" s="2"/>
      <c r="X1222" s="2"/>
      <c r="Y1222" s="2"/>
      <c r="Z1222" s="2"/>
      <c r="AA1222" s="2"/>
      <c r="AB1222" s="2"/>
      <c r="AC1222" s="2"/>
      <c r="AD1222" s="2"/>
      <c r="AE1222" s="2"/>
      <c r="AF1222" s="2"/>
      <c r="AG1222" s="2"/>
      <c r="AH1222" s="2"/>
      <c r="AI1222" s="2"/>
    </row>
    <row r="1223" spans="1:35" ht="14.25" customHeight="1" x14ac:dyDescent="0.2">
      <c r="A1223" s="1">
        <v>29667</v>
      </c>
      <c r="B1223" s="1" t="s">
        <v>1002</v>
      </c>
      <c r="C1223" s="1" t="s">
        <v>21</v>
      </c>
      <c r="D1223" s="2">
        <v>41844</v>
      </c>
      <c r="E1223" s="1" t="s">
        <v>22</v>
      </c>
      <c r="F1223" s="1" t="s">
        <v>1256</v>
      </c>
      <c r="G1223" s="1">
        <v>14</v>
      </c>
      <c r="H1223" s="1">
        <v>15.28</v>
      </c>
      <c r="I1223" s="1">
        <f t="shared" si="57"/>
        <v>213.92</v>
      </c>
      <c r="J1223" t="str">
        <f t="shared" si="58"/>
        <v>Low</v>
      </c>
      <c r="K1223" s="1"/>
      <c r="L1223" s="1">
        <v>0.09</v>
      </c>
      <c r="M1223" s="1">
        <v>10.91</v>
      </c>
      <c r="N1223" s="1" t="s">
        <v>33</v>
      </c>
      <c r="O1223" s="1" t="s">
        <v>34</v>
      </c>
      <c r="P1223" s="2">
        <v>41845</v>
      </c>
      <c r="Q1223" s="2" t="b">
        <f t="shared" si="59"/>
        <v>0</v>
      </c>
      <c r="V1223" s="2"/>
      <c r="W1223" s="2"/>
      <c r="X1223" s="2"/>
      <c r="Y1223" s="2"/>
      <c r="Z1223" s="2"/>
      <c r="AA1223" s="2"/>
      <c r="AB1223" s="2"/>
      <c r="AC1223" s="2"/>
      <c r="AD1223" s="2"/>
      <c r="AE1223" s="2"/>
      <c r="AF1223" s="2"/>
      <c r="AG1223" s="2"/>
      <c r="AH1223" s="2"/>
      <c r="AI1223" s="2"/>
    </row>
    <row r="1224" spans="1:35" ht="14.25" customHeight="1" x14ac:dyDescent="0.2">
      <c r="A1224" s="1">
        <v>14112</v>
      </c>
      <c r="B1224" s="1" t="s">
        <v>979</v>
      </c>
      <c r="C1224" s="1" t="s">
        <v>51</v>
      </c>
      <c r="D1224" s="2">
        <v>41844</v>
      </c>
      <c r="E1224" s="1" t="s">
        <v>43</v>
      </c>
      <c r="F1224" s="1" t="s">
        <v>1257</v>
      </c>
      <c r="G1224" s="1">
        <v>1</v>
      </c>
      <c r="H1224" s="1">
        <v>50.98</v>
      </c>
      <c r="I1224" s="1">
        <f t="shared" si="57"/>
        <v>50.98</v>
      </c>
      <c r="J1224" t="str">
        <f t="shared" si="58"/>
        <v>Low</v>
      </c>
      <c r="K1224" s="1"/>
      <c r="L1224" s="1">
        <v>0.02</v>
      </c>
      <c r="M1224" s="1">
        <v>13.66</v>
      </c>
      <c r="N1224" s="1" t="s">
        <v>25</v>
      </c>
      <c r="O1224" s="1" t="s">
        <v>34</v>
      </c>
      <c r="P1224" s="2">
        <v>41844</v>
      </c>
      <c r="Q1224" s="2" t="b">
        <f t="shared" si="59"/>
        <v>0</v>
      </c>
      <c r="V1224" s="2"/>
      <c r="W1224" s="2"/>
      <c r="X1224" s="2"/>
      <c r="Y1224" s="2"/>
      <c r="Z1224" s="2"/>
      <c r="AA1224" s="2"/>
      <c r="AB1224" s="2"/>
      <c r="AC1224" s="2"/>
      <c r="AD1224" s="2"/>
      <c r="AE1224" s="2"/>
      <c r="AF1224" s="2"/>
      <c r="AG1224" s="2"/>
      <c r="AH1224" s="2"/>
      <c r="AI1224" s="2"/>
    </row>
    <row r="1225" spans="1:35" ht="14.25" customHeight="1" x14ac:dyDescent="0.2">
      <c r="A1225" s="1">
        <v>34882</v>
      </c>
      <c r="B1225" s="1" t="s">
        <v>624</v>
      </c>
      <c r="C1225" s="1" t="s">
        <v>30</v>
      </c>
      <c r="D1225" s="2">
        <v>41844</v>
      </c>
      <c r="E1225" s="1" t="s">
        <v>38</v>
      </c>
      <c r="F1225" s="1" t="s">
        <v>836</v>
      </c>
      <c r="G1225" s="1">
        <v>43</v>
      </c>
      <c r="H1225" s="1">
        <v>1.88</v>
      </c>
      <c r="I1225" s="1">
        <f t="shared" si="57"/>
        <v>80.839999999999989</v>
      </c>
      <c r="J1225" t="str">
        <f t="shared" si="58"/>
        <v>Low</v>
      </c>
      <c r="K1225" s="1"/>
      <c r="L1225" s="1">
        <v>0.03</v>
      </c>
      <c r="M1225" s="1">
        <v>1.49</v>
      </c>
      <c r="N1225" s="1" t="s">
        <v>33</v>
      </c>
      <c r="O1225" s="1" t="s">
        <v>34</v>
      </c>
      <c r="P1225" s="2">
        <v>41845</v>
      </c>
      <c r="Q1225" s="2" t="b">
        <f t="shared" si="59"/>
        <v>0</v>
      </c>
      <c r="V1225" s="2"/>
      <c r="W1225" s="2"/>
      <c r="X1225" s="2"/>
      <c r="Y1225" s="2"/>
      <c r="Z1225" s="2"/>
      <c r="AA1225" s="2"/>
      <c r="AB1225" s="2"/>
      <c r="AC1225" s="2"/>
      <c r="AD1225" s="2"/>
      <c r="AE1225" s="2"/>
      <c r="AF1225" s="2"/>
      <c r="AG1225" s="2"/>
      <c r="AH1225" s="2"/>
      <c r="AI1225" s="2"/>
    </row>
    <row r="1226" spans="1:35" ht="14.25" customHeight="1" x14ac:dyDescent="0.2">
      <c r="A1226" s="1">
        <v>34087</v>
      </c>
      <c r="B1226" s="1" t="s">
        <v>1258</v>
      </c>
      <c r="C1226" s="1" t="s">
        <v>21</v>
      </c>
      <c r="D1226" s="2">
        <v>41844</v>
      </c>
      <c r="E1226" s="1" t="s">
        <v>43</v>
      </c>
      <c r="F1226" s="1" t="s">
        <v>1259</v>
      </c>
      <c r="G1226" s="1">
        <v>31</v>
      </c>
      <c r="H1226" s="1">
        <v>115.99</v>
      </c>
      <c r="I1226" s="1">
        <f t="shared" si="57"/>
        <v>3595.69</v>
      </c>
      <c r="J1226" t="str">
        <f t="shared" si="58"/>
        <v>High</v>
      </c>
      <c r="K1226" s="1"/>
      <c r="L1226" s="1">
        <v>0.05</v>
      </c>
      <c r="M1226" s="1">
        <v>5.26</v>
      </c>
      <c r="N1226" s="1" t="s">
        <v>33</v>
      </c>
      <c r="O1226" s="1" t="s">
        <v>34</v>
      </c>
      <c r="P1226" s="2">
        <v>41848</v>
      </c>
      <c r="Q1226" s="2" t="b">
        <f t="shared" si="59"/>
        <v>0</v>
      </c>
      <c r="V1226" s="2"/>
      <c r="W1226" s="2"/>
      <c r="X1226" s="2"/>
      <c r="Y1226" s="2"/>
      <c r="Z1226" s="2"/>
      <c r="AA1226" s="2"/>
      <c r="AB1226" s="2"/>
      <c r="AC1226" s="2"/>
      <c r="AD1226" s="2"/>
      <c r="AE1226" s="2"/>
      <c r="AF1226" s="2"/>
      <c r="AG1226" s="2"/>
      <c r="AH1226" s="2"/>
      <c r="AI1226" s="2"/>
    </row>
    <row r="1227" spans="1:35" ht="14.25" customHeight="1" x14ac:dyDescent="0.2">
      <c r="A1227" s="1">
        <v>9092</v>
      </c>
      <c r="B1227" s="1" t="s">
        <v>1260</v>
      </c>
      <c r="C1227" s="1" t="s">
        <v>30</v>
      </c>
      <c r="D1227" s="2">
        <v>41844</v>
      </c>
      <c r="E1227" s="1" t="s">
        <v>22</v>
      </c>
      <c r="F1227" s="1" t="s">
        <v>1261</v>
      </c>
      <c r="G1227" s="1">
        <v>33</v>
      </c>
      <c r="H1227" s="1">
        <v>101.41</v>
      </c>
      <c r="I1227" s="1">
        <f t="shared" si="57"/>
        <v>3346.5299999999997</v>
      </c>
      <c r="J1227" t="str">
        <f t="shared" si="58"/>
        <v>High</v>
      </c>
      <c r="K1227" s="1"/>
      <c r="L1227" s="1">
        <v>0</v>
      </c>
      <c r="M1227" s="1">
        <v>35</v>
      </c>
      <c r="N1227" s="1" t="s">
        <v>25</v>
      </c>
      <c r="O1227" s="1" t="s">
        <v>26</v>
      </c>
      <c r="P1227" s="2">
        <v>41845</v>
      </c>
      <c r="Q1227" s="2" t="b">
        <f t="shared" si="59"/>
        <v>1</v>
      </c>
      <c r="V1227" s="2"/>
      <c r="W1227" s="2"/>
      <c r="X1227" s="2"/>
      <c r="Y1227" s="2"/>
      <c r="Z1227" s="2"/>
      <c r="AA1227" s="2"/>
      <c r="AB1227" s="2"/>
      <c r="AC1227" s="2"/>
      <c r="AD1227" s="2"/>
      <c r="AE1227" s="2"/>
      <c r="AF1227" s="2"/>
      <c r="AG1227" s="2"/>
      <c r="AH1227" s="2"/>
      <c r="AI1227" s="2"/>
    </row>
    <row r="1228" spans="1:35" ht="14.25" customHeight="1" x14ac:dyDescent="0.2">
      <c r="A1228" s="1">
        <v>9092</v>
      </c>
      <c r="B1228" s="1" t="s">
        <v>1260</v>
      </c>
      <c r="C1228" s="1" t="s">
        <v>51</v>
      </c>
      <c r="D1228" s="2">
        <v>41844</v>
      </c>
      <c r="E1228" s="1" t="s">
        <v>22</v>
      </c>
      <c r="F1228" s="1" t="s">
        <v>349</v>
      </c>
      <c r="G1228" s="1">
        <v>8</v>
      </c>
      <c r="H1228" s="1">
        <v>95.99</v>
      </c>
      <c r="I1228" s="1">
        <f t="shared" si="57"/>
        <v>767.92</v>
      </c>
      <c r="J1228" t="str">
        <f t="shared" si="58"/>
        <v>Low</v>
      </c>
      <c r="K1228" s="1"/>
      <c r="L1228" s="1">
        <v>0.1</v>
      </c>
      <c r="M1228" s="1">
        <v>4.9000000000000004</v>
      </c>
      <c r="N1228" s="1" t="s">
        <v>33</v>
      </c>
      <c r="O1228" s="1" t="s">
        <v>34</v>
      </c>
      <c r="P1228" s="2">
        <v>41845</v>
      </c>
      <c r="Q1228" s="2" t="b">
        <f t="shared" si="59"/>
        <v>0</v>
      </c>
      <c r="V1228" s="2"/>
      <c r="W1228" s="2"/>
      <c r="X1228" s="2"/>
      <c r="Y1228" s="2"/>
      <c r="Z1228" s="2"/>
      <c r="AA1228" s="2"/>
      <c r="AB1228" s="2"/>
      <c r="AC1228" s="2"/>
      <c r="AD1228" s="2"/>
      <c r="AE1228" s="2"/>
      <c r="AF1228" s="2"/>
      <c r="AG1228" s="2"/>
      <c r="AH1228" s="2"/>
      <c r="AI1228" s="2"/>
    </row>
    <row r="1229" spans="1:35" ht="14.25" customHeight="1" x14ac:dyDescent="0.2">
      <c r="A1229" s="1">
        <v>16768</v>
      </c>
      <c r="B1229" s="1" t="s">
        <v>290</v>
      </c>
      <c r="C1229" s="1" t="s">
        <v>21</v>
      </c>
      <c r="D1229" s="2">
        <v>41845</v>
      </c>
      <c r="E1229" s="1" t="s">
        <v>31</v>
      </c>
      <c r="F1229" s="1" t="s">
        <v>1127</v>
      </c>
      <c r="G1229" s="1">
        <v>9</v>
      </c>
      <c r="H1229" s="1">
        <v>10.89</v>
      </c>
      <c r="I1229" s="1">
        <f t="shared" si="57"/>
        <v>98.01</v>
      </c>
      <c r="J1229" t="str">
        <f t="shared" si="58"/>
        <v>Low</v>
      </c>
      <c r="K1229" s="1"/>
      <c r="L1229" s="1">
        <v>0.03</v>
      </c>
      <c r="M1229" s="1">
        <v>4.5</v>
      </c>
      <c r="N1229" s="1" t="s">
        <v>33</v>
      </c>
      <c r="O1229" s="1" t="s">
        <v>34</v>
      </c>
      <c r="P1229" s="2">
        <v>41846</v>
      </c>
      <c r="Q1229" s="2" t="b">
        <f t="shared" si="59"/>
        <v>0</v>
      </c>
      <c r="V1229" s="2"/>
      <c r="W1229" s="2"/>
      <c r="X1229" s="2"/>
      <c r="Y1229" s="2"/>
      <c r="Z1229" s="2"/>
      <c r="AA1229" s="2"/>
      <c r="AB1229" s="2"/>
      <c r="AC1229" s="2"/>
      <c r="AD1229" s="2"/>
      <c r="AE1229" s="2"/>
      <c r="AF1229" s="2"/>
      <c r="AG1229" s="2"/>
      <c r="AH1229" s="2"/>
      <c r="AI1229" s="2"/>
    </row>
    <row r="1230" spans="1:35" ht="14.25" customHeight="1" x14ac:dyDescent="0.2">
      <c r="A1230" s="1">
        <v>10692</v>
      </c>
      <c r="B1230" s="1" t="s">
        <v>169</v>
      </c>
      <c r="C1230" s="1" t="s">
        <v>21</v>
      </c>
      <c r="D1230" s="2">
        <v>41846</v>
      </c>
      <c r="E1230" s="1" t="s">
        <v>43</v>
      </c>
      <c r="F1230" s="1" t="s">
        <v>1168</v>
      </c>
      <c r="G1230" s="1">
        <v>26</v>
      </c>
      <c r="H1230" s="1">
        <v>3.57</v>
      </c>
      <c r="I1230" s="1">
        <f t="shared" si="57"/>
        <v>92.82</v>
      </c>
      <c r="J1230" t="str">
        <f t="shared" si="58"/>
        <v>Low</v>
      </c>
      <c r="K1230" s="1"/>
      <c r="L1230" s="1">
        <v>0.04</v>
      </c>
      <c r="M1230" s="1">
        <v>4.17</v>
      </c>
      <c r="N1230" s="1" t="s">
        <v>33</v>
      </c>
      <c r="O1230" s="1" t="s">
        <v>84</v>
      </c>
      <c r="P1230" s="2">
        <v>41848</v>
      </c>
      <c r="Q1230" s="2" t="b">
        <f t="shared" si="59"/>
        <v>0</v>
      </c>
      <c r="V1230" s="2"/>
      <c r="W1230" s="2"/>
      <c r="X1230" s="2"/>
      <c r="Y1230" s="2"/>
      <c r="Z1230" s="2"/>
      <c r="AA1230" s="2"/>
      <c r="AB1230" s="2"/>
      <c r="AC1230" s="2"/>
      <c r="AD1230" s="2"/>
      <c r="AE1230" s="2"/>
      <c r="AF1230" s="2"/>
      <c r="AG1230" s="2"/>
      <c r="AH1230" s="2"/>
      <c r="AI1230" s="2"/>
    </row>
    <row r="1231" spans="1:35" ht="14.25" customHeight="1" x14ac:dyDescent="0.2">
      <c r="A1231" s="1">
        <v>10692</v>
      </c>
      <c r="B1231" s="1" t="s">
        <v>169</v>
      </c>
      <c r="C1231" s="1" t="s">
        <v>21</v>
      </c>
      <c r="D1231" s="2">
        <v>41846</v>
      </c>
      <c r="E1231" s="1" t="s">
        <v>43</v>
      </c>
      <c r="F1231" s="1" t="s">
        <v>1157</v>
      </c>
      <c r="G1231" s="1">
        <v>48</v>
      </c>
      <c r="H1231" s="1">
        <v>200.99</v>
      </c>
      <c r="I1231" s="1">
        <f t="shared" si="57"/>
        <v>9647.52</v>
      </c>
      <c r="J1231" t="str">
        <f t="shared" si="58"/>
        <v>High</v>
      </c>
      <c r="K1231" s="1"/>
      <c r="L1231" s="1">
        <v>0.05</v>
      </c>
      <c r="M1231" s="1">
        <v>4.2</v>
      </c>
      <c r="N1231" s="1" t="s">
        <v>33</v>
      </c>
      <c r="O1231" s="1" t="s">
        <v>34</v>
      </c>
      <c r="P1231" s="2">
        <v>41850</v>
      </c>
      <c r="Q1231" s="2" t="b">
        <f t="shared" si="59"/>
        <v>0</v>
      </c>
      <c r="V1231" s="2"/>
      <c r="W1231" s="2"/>
      <c r="X1231" s="2"/>
      <c r="Y1231" s="2"/>
      <c r="Z1231" s="2"/>
      <c r="AA1231" s="2"/>
      <c r="AB1231" s="2"/>
      <c r="AC1231" s="2"/>
      <c r="AD1231" s="2"/>
      <c r="AE1231" s="2"/>
      <c r="AF1231" s="2"/>
      <c r="AG1231" s="2"/>
      <c r="AH1231" s="2"/>
      <c r="AI1231" s="2"/>
    </row>
    <row r="1232" spans="1:35" ht="14.25" customHeight="1" x14ac:dyDescent="0.2">
      <c r="A1232" s="1">
        <v>10692</v>
      </c>
      <c r="B1232" s="1" t="s">
        <v>169</v>
      </c>
      <c r="C1232" s="1" t="s">
        <v>51</v>
      </c>
      <c r="D1232" s="2">
        <v>41846</v>
      </c>
      <c r="E1232" s="1" t="s">
        <v>43</v>
      </c>
      <c r="F1232" s="1" t="s">
        <v>1262</v>
      </c>
      <c r="G1232" s="1">
        <v>8</v>
      </c>
      <c r="H1232" s="1">
        <v>195.99</v>
      </c>
      <c r="I1232" s="1">
        <f t="shared" si="57"/>
        <v>1567.92</v>
      </c>
      <c r="J1232" t="str">
        <f t="shared" si="58"/>
        <v>High</v>
      </c>
      <c r="K1232" s="1"/>
      <c r="L1232" s="1">
        <v>7.0000000000000007E-2</v>
      </c>
      <c r="M1232" s="1">
        <v>8.99</v>
      </c>
      <c r="N1232" s="1" t="s">
        <v>33</v>
      </c>
      <c r="O1232" s="1" t="s">
        <v>34</v>
      </c>
      <c r="P1232" s="2">
        <v>41846</v>
      </c>
      <c r="Q1232" s="2" t="b">
        <f t="shared" si="59"/>
        <v>0</v>
      </c>
      <c r="V1232" s="2"/>
      <c r="W1232" s="2"/>
      <c r="X1232" s="2"/>
      <c r="Y1232" s="2"/>
      <c r="Z1232" s="2"/>
      <c r="AA1232" s="2"/>
      <c r="AB1232" s="2"/>
      <c r="AC1232" s="2"/>
      <c r="AD1232" s="2"/>
      <c r="AE1232" s="2"/>
      <c r="AF1232" s="2"/>
      <c r="AG1232" s="2"/>
      <c r="AH1232" s="2"/>
      <c r="AI1232" s="2"/>
    </row>
    <row r="1233" spans="1:35" ht="14.25" customHeight="1" x14ac:dyDescent="0.2">
      <c r="A1233" s="1">
        <v>24933</v>
      </c>
      <c r="B1233" s="1" t="s">
        <v>818</v>
      </c>
      <c r="C1233" s="1" t="s">
        <v>30</v>
      </c>
      <c r="D1233" s="2">
        <v>41846</v>
      </c>
      <c r="E1233" s="1" t="s">
        <v>43</v>
      </c>
      <c r="F1233" s="1" t="s">
        <v>614</v>
      </c>
      <c r="G1233" s="1">
        <v>32</v>
      </c>
      <c r="H1233" s="1">
        <v>100.98</v>
      </c>
      <c r="I1233" s="1">
        <f t="shared" si="57"/>
        <v>3231.36</v>
      </c>
      <c r="J1233" t="str">
        <f t="shared" si="58"/>
        <v>High</v>
      </c>
      <c r="K1233" s="1"/>
      <c r="L1233" s="1">
        <v>0.01</v>
      </c>
      <c r="M1233" s="1">
        <v>57.38</v>
      </c>
      <c r="N1233" s="1" t="s">
        <v>45</v>
      </c>
      <c r="O1233" s="1" t="s">
        <v>63</v>
      </c>
      <c r="P1233" s="2">
        <v>41848</v>
      </c>
      <c r="Q1233" s="2" t="b">
        <f t="shared" si="59"/>
        <v>0</v>
      </c>
      <c r="V1233" s="2"/>
      <c r="W1233" s="2"/>
      <c r="X1233" s="2"/>
      <c r="Y1233" s="2"/>
      <c r="Z1233" s="2"/>
      <c r="AA1233" s="2"/>
      <c r="AB1233" s="2"/>
      <c r="AC1233" s="2"/>
      <c r="AD1233" s="2"/>
      <c r="AE1233" s="2"/>
      <c r="AF1233" s="2"/>
      <c r="AG1233" s="2"/>
      <c r="AH1233" s="2"/>
      <c r="AI1233" s="2"/>
    </row>
    <row r="1234" spans="1:35" ht="14.25" customHeight="1" x14ac:dyDescent="0.2">
      <c r="A1234" s="1">
        <v>24933</v>
      </c>
      <c r="B1234" s="1" t="s">
        <v>818</v>
      </c>
      <c r="C1234" s="1" t="s">
        <v>51</v>
      </c>
      <c r="D1234" s="2">
        <v>41846</v>
      </c>
      <c r="E1234" s="1" t="s">
        <v>43</v>
      </c>
      <c r="F1234" s="1" t="s">
        <v>67</v>
      </c>
      <c r="G1234" s="1">
        <v>14</v>
      </c>
      <c r="H1234" s="1">
        <v>10.14</v>
      </c>
      <c r="I1234" s="1">
        <f t="shared" si="57"/>
        <v>141.96</v>
      </c>
      <c r="J1234" t="str">
        <f t="shared" si="58"/>
        <v>Low</v>
      </c>
      <c r="K1234" s="1"/>
      <c r="L1234" s="1">
        <v>0.01</v>
      </c>
      <c r="M1234" s="1">
        <v>2.27</v>
      </c>
      <c r="N1234" s="1" t="s">
        <v>33</v>
      </c>
      <c r="O1234" s="1" t="s">
        <v>55</v>
      </c>
      <c r="P1234" s="2">
        <v>41848</v>
      </c>
      <c r="Q1234" s="2" t="b">
        <f t="shared" si="59"/>
        <v>0</v>
      </c>
      <c r="V1234" s="2"/>
      <c r="W1234" s="2"/>
      <c r="X1234" s="2"/>
      <c r="Y1234" s="2"/>
      <c r="Z1234" s="2"/>
      <c r="AA1234" s="2"/>
      <c r="AB1234" s="2"/>
      <c r="AC1234" s="2"/>
      <c r="AD1234" s="2"/>
      <c r="AE1234" s="2"/>
      <c r="AF1234" s="2"/>
      <c r="AG1234" s="2"/>
      <c r="AH1234" s="2"/>
      <c r="AI1234" s="2"/>
    </row>
    <row r="1235" spans="1:35" ht="14.25" customHeight="1" x14ac:dyDescent="0.2">
      <c r="A1235" s="1">
        <v>902</v>
      </c>
      <c r="B1235" s="1" t="s">
        <v>1039</v>
      </c>
      <c r="C1235" s="1" t="s">
        <v>21</v>
      </c>
      <c r="D1235" s="2">
        <v>41846</v>
      </c>
      <c r="E1235" s="1" t="s">
        <v>22</v>
      </c>
      <c r="F1235" s="1" t="s">
        <v>271</v>
      </c>
      <c r="G1235" s="1">
        <v>10</v>
      </c>
      <c r="H1235" s="1">
        <v>207.48</v>
      </c>
      <c r="I1235" s="1">
        <f t="shared" si="57"/>
        <v>2074.7999999999997</v>
      </c>
      <c r="J1235" t="str">
        <f t="shared" si="58"/>
        <v>High</v>
      </c>
      <c r="K1235" s="1"/>
      <c r="L1235" s="1">
        <v>0.09</v>
      </c>
      <c r="M1235" s="1">
        <v>0.99</v>
      </c>
      <c r="N1235" s="1" t="s">
        <v>33</v>
      </c>
      <c r="O1235" s="1" t="s">
        <v>34</v>
      </c>
      <c r="P1235" s="2">
        <v>41849</v>
      </c>
      <c r="Q1235" s="2" t="b">
        <f t="shared" si="59"/>
        <v>0</v>
      </c>
      <c r="V1235" s="2"/>
      <c r="W1235" s="2"/>
      <c r="X1235" s="2"/>
      <c r="Y1235" s="2"/>
      <c r="Z1235" s="2"/>
      <c r="AA1235" s="2"/>
      <c r="AB1235" s="2"/>
      <c r="AC1235" s="2"/>
      <c r="AD1235" s="2"/>
      <c r="AE1235" s="2"/>
      <c r="AF1235" s="2"/>
      <c r="AG1235" s="2"/>
      <c r="AH1235" s="2"/>
      <c r="AI1235" s="2"/>
    </row>
    <row r="1236" spans="1:35" ht="14.25" customHeight="1" x14ac:dyDescent="0.2">
      <c r="A1236" s="1">
        <v>57794</v>
      </c>
      <c r="B1236" s="1" t="s">
        <v>429</v>
      </c>
      <c r="C1236" s="1" t="s">
        <v>51</v>
      </c>
      <c r="D1236" s="2">
        <v>41846</v>
      </c>
      <c r="E1236" s="1" t="s">
        <v>43</v>
      </c>
      <c r="F1236" s="1" t="s">
        <v>985</v>
      </c>
      <c r="G1236" s="1">
        <v>16</v>
      </c>
      <c r="H1236" s="1">
        <v>4.9800000000000004</v>
      </c>
      <c r="I1236" s="1">
        <f t="shared" si="57"/>
        <v>79.680000000000007</v>
      </c>
      <c r="J1236" t="str">
        <f t="shared" si="58"/>
        <v>Low</v>
      </c>
      <c r="K1236" s="1"/>
      <c r="L1236" s="1">
        <v>0.02</v>
      </c>
      <c r="M1236" s="1">
        <v>6.07</v>
      </c>
      <c r="N1236" s="1" t="s">
        <v>33</v>
      </c>
      <c r="O1236" s="1" t="s">
        <v>34</v>
      </c>
      <c r="P1236" s="2">
        <v>41848</v>
      </c>
      <c r="Q1236" s="2" t="b">
        <f t="shared" si="59"/>
        <v>0</v>
      </c>
      <c r="V1236" s="2"/>
      <c r="W1236" s="2"/>
      <c r="X1236" s="2"/>
      <c r="Y1236" s="2"/>
      <c r="Z1236" s="2"/>
      <c r="AA1236" s="2"/>
      <c r="AB1236" s="2"/>
      <c r="AC1236" s="2"/>
      <c r="AD1236" s="2"/>
      <c r="AE1236" s="2"/>
      <c r="AF1236" s="2"/>
      <c r="AG1236" s="2"/>
      <c r="AH1236" s="2"/>
      <c r="AI1236" s="2"/>
    </row>
    <row r="1237" spans="1:35" ht="14.25" customHeight="1" x14ac:dyDescent="0.2">
      <c r="A1237" s="1">
        <v>48453</v>
      </c>
      <c r="B1237" s="1" t="s">
        <v>669</v>
      </c>
      <c r="C1237" s="1" t="s">
        <v>21</v>
      </c>
      <c r="D1237" s="2">
        <v>41846</v>
      </c>
      <c r="E1237" s="1" t="s">
        <v>101</v>
      </c>
      <c r="F1237" s="1" t="s">
        <v>1128</v>
      </c>
      <c r="G1237" s="1">
        <v>50</v>
      </c>
      <c r="H1237" s="1">
        <v>7.96</v>
      </c>
      <c r="I1237" s="1">
        <f t="shared" si="57"/>
        <v>398</v>
      </c>
      <c r="J1237" t="str">
        <f t="shared" si="58"/>
        <v>Low</v>
      </c>
      <c r="K1237" s="1"/>
      <c r="L1237" s="1">
        <v>0.04</v>
      </c>
      <c r="M1237" s="1">
        <v>4.95</v>
      </c>
      <c r="N1237" s="1" t="s">
        <v>33</v>
      </c>
      <c r="O1237" s="1" t="s">
        <v>34</v>
      </c>
      <c r="P1237" s="2">
        <v>41846</v>
      </c>
      <c r="Q1237" s="2" t="b">
        <f t="shared" si="59"/>
        <v>0</v>
      </c>
      <c r="V1237" s="2"/>
      <c r="W1237" s="2"/>
      <c r="X1237" s="2"/>
      <c r="Y1237" s="2"/>
      <c r="Z1237" s="2"/>
      <c r="AA1237" s="2"/>
      <c r="AB1237" s="2"/>
      <c r="AC1237" s="2"/>
      <c r="AD1237" s="2"/>
      <c r="AE1237" s="2"/>
      <c r="AF1237" s="2"/>
      <c r="AG1237" s="2"/>
      <c r="AH1237" s="2"/>
      <c r="AI1237" s="2"/>
    </row>
    <row r="1238" spans="1:35" ht="14.25" customHeight="1" x14ac:dyDescent="0.2">
      <c r="A1238" s="1">
        <v>33699</v>
      </c>
      <c r="B1238" s="1" t="s">
        <v>700</v>
      </c>
      <c r="C1238" s="1" t="s">
        <v>21</v>
      </c>
      <c r="D1238" s="2">
        <v>41846</v>
      </c>
      <c r="E1238" s="1" t="s">
        <v>43</v>
      </c>
      <c r="F1238" s="1" t="s">
        <v>1263</v>
      </c>
      <c r="G1238" s="1">
        <v>18</v>
      </c>
      <c r="H1238" s="1">
        <v>16.739999999999998</v>
      </c>
      <c r="I1238" s="1">
        <f t="shared" si="57"/>
        <v>301.32</v>
      </c>
      <c r="J1238" t="str">
        <f t="shared" si="58"/>
        <v>Low</v>
      </c>
      <c r="K1238" s="1"/>
      <c r="L1238" s="1">
        <v>7.0000000000000007E-2</v>
      </c>
      <c r="M1238" s="1">
        <v>7.04</v>
      </c>
      <c r="N1238" s="1" t="s">
        <v>33</v>
      </c>
      <c r="O1238" s="1" t="s">
        <v>34</v>
      </c>
      <c r="P1238" s="2">
        <v>41853</v>
      </c>
      <c r="Q1238" s="2" t="b">
        <f t="shared" si="59"/>
        <v>0</v>
      </c>
      <c r="V1238" s="2"/>
      <c r="W1238" s="2"/>
      <c r="X1238" s="2"/>
      <c r="Y1238" s="2"/>
      <c r="Z1238" s="2"/>
      <c r="AA1238" s="2"/>
      <c r="AB1238" s="2"/>
      <c r="AC1238" s="2"/>
      <c r="AD1238" s="2"/>
      <c r="AE1238" s="2"/>
      <c r="AF1238" s="2"/>
      <c r="AG1238" s="2"/>
      <c r="AH1238" s="2"/>
      <c r="AI1238" s="2"/>
    </row>
    <row r="1239" spans="1:35" ht="14.25" customHeight="1" x14ac:dyDescent="0.2">
      <c r="A1239" s="1">
        <v>33699</v>
      </c>
      <c r="B1239" s="1" t="s">
        <v>700</v>
      </c>
      <c r="C1239" s="1" t="s">
        <v>51</v>
      </c>
      <c r="D1239" s="2">
        <v>41846</v>
      </c>
      <c r="E1239" s="1" t="s">
        <v>43</v>
      </c>
      <c r="F1239" s="1" t="s">
        <v>1226</v>
      </c>
      <c r="G1239" s="1">
        <v>31</v>
      </c>
      <c r="H1239" s="1">
        <v>6.45</v>
      </c>
      <c r="I1239" s="1">
        <f t="shared" si="57"/>
        <v>199.95000000000002</v>
      </c>
      <c r="J1239" t="str">
        <f t="shared" si="58"/>
        <v>Low</v>
      </c>
      <c r="K1239" s="1"/>
      <c r="L1239" s="1">
        <v>0.06</v>
      </c>
      <c r="M1239" s="1">
        <v>1.34</v>
      </c>
      <c r="N1239" s="1" t="s">
        <v>33</v>
      </c>
      <c r="O1239" s="1" t="s">
        <v>55</v>
      </c>
      <c r="P1239" s="2">
        <v>41851</v>
      </c>
      <c r="Q1239" s="2" t="b">
        <f t="shared" si="59"/>
        <v>0</v>
      </c>
      <c r="V1239" s="2"/>
      <c r="W1239" s="2"/>
      <c r="X1239" s="2"/>
      <c r="Y1239" s="2"/>
      <c r="Z1239" s="2"/>
      <c r="AA1239" s="2"/>
      <c r="AB1239" s="2"/>
      <c r="AC1239" s="2"/>
      <c r="AD1239" s="2"/>
      <c r="AE1239" s="2"/>
      <c r="AF1239" s="2"/>
      <c r="AG1239" s="2"/>
      <c r="AH1239" s="2"/>
      <c r="AI1239" s="2"/>
    </row>
    <row r="1240" spans="1:35" ht="14.25" customHeight="1" x14ac:dyDescent="0.2">
      <c r="A1240" s="1">
        <v>33699</v>
      </c>
      <c r="B1240" s="1" t="s">
        <v>700</v>
      </c>
      <c r="C1240" s="1" t="s">
        <v>30</v>
      </c>
      <c r="D1240" s="2">
        <v>41846</v>
      </c>
      <c r="E1240" s="1" t="s">
        <v>43</v>
      </c>
      <c r="F1240" s="1" t="s">
        <v>375</v>
      </c>
      <c r="G1240" s="1">
        <v>13</v>
      </c>
      <c r="H1240" s="1">
        <v>122.99</v>
      </c>
      <c r="I1240" s="1">
        <f t="shared" si="57"/>
        <v>1598.87</v>
      </c>
      <c r="J1240" t="str">
        <f t="shared" si="58"/>
        <v>High</v>
      </c>
      <c r="K1240" s="1"/>
      <c r="L1240" s="1">
        <v>0.05</v>
      </c>
      <c r="M1240" s="1">
        <v>70.2</v>
      </c>
      <c r="N1240" s="1" t="s">
        <v>45</v>
      </c>
      <c r="O1240" s="1" t="s">
        <v>46</v>
      </c>
      <c r="P1240" s="2">
        <v>41850</v>
      </c>
      <c r="Q1240" s="2" t="b">
        <f t="shared" si="59"/>
        <v>0</v>
      </c>
      <c r="V1240" s="2"/>
      <c r="W1240" s="2"/>
      <c r="X1240" s="2"/>
      <c r="Y1240" s="2"/>
      <c r="Z1240" s="2"/>
      <c r="AA1240" s="2"/>
      <c r="AB1240" s="2"/>
      <c r="AC1240" s="2"/>
      <c r="AD1240" s="2"/>
      <c r="AE1240" s="2"/>
      <c r="AF1240" s="2"/>
      <c r="AG1240" s="2"/>
      <c r="AH1240" s="2"/>
      <c r="AI1240" s="2"/>
    </row>
    <row r="1241" spans="1:35" ht="14.25" customHeight="1" x14ac:dyDescent="0.2">
      <c r="A1241" s="1">
        <v>44867</v>
      </c>
      <c r="B1241" s="1" t="s">
        <v>1264</v>
      </c>
      <c r="C1241" s="1" t="s">
        <v>51</v>
      </c>
      <c r="D1241" s="2">
        <v>41846</v>
      </c>
      <c r="E1241" s="1" t="s">
        <v>31</v>
      </c>
      <c r="F1241" s="1" t="s">
        <v>1265</v>
      </c>
      <c r="G1241" s="1">
        <v>40</v>
      </c>
      <c r="H1241" s="1">
        <v>500.98</v>
      </c>
      <c r="I1241" s="1">
        <f t="shared" si="57"/>
        <v>20039.2</v>
      </c>
      <c r="J1241" t="str">
        <f t="shared" si="58"/>
        <v>High</v>
      </c>
      <c r="K1241" s="1"/>
      <c r="L1241" s="1">
        <v>0.01</v>
      </c>
      <c r="M1241" s="1">
        <v>26</v>
      </c>
      <c r="N1241" s="1" t="s">
        <v>45</v>
      </c>
      <c r="O1241" s="1" t="s">
        <v>46</v>
      </c>
      <c r="P1241" s="2">
        <v>41848</v>
      </c>
      <c r="Q1241" s="2" t="b">
        <f t="shared" si="59"/>
        <v>0</v>
      </c>
      <c r="V1241" s="2"/>
      <c r="W1241" s="2"/>
      <c r="X1241" s="2"/>
      <c r="Y1241" s="2"/>
      <c r="Z1241" s="2"/>
      <c r="AA1241" s="2"/>
      <c r="AB1241" s="2"/>
      <c r="AC1241" s="2"/>
      <c r="AD1241" s="2"/>
      <c r="AE1241" s="2"/>
      <c r="AF1241" s="2"/>
      <c r="AG1241" s="2"/>
      <c r="AH1241" s="2"/>
      <c r="AI1241" s="2"/>
    </row>
    <row r="1242" spans="1:35" ht="14.25" customHeight="1" x14ac:dyDescent="0.2">
      <c r="A1242" s="1">
        <v>19078</v>
      </c>
      <c r="B1242" s="1" t="s">
        <v>1266</v>
      </c>
      <c r="C1242" s="1" t="s">
        <v>30</v>
      </c>
      <c r="D1242" s="2">
        <v>41847</v>
      </c>
      <c r="E1242" s="1" t="s">
        <v>38</v>
      </c>
      <c r="F1242" s="1" t="s">
        <v>722</v>
      </c>
      <c r="G1242" s="1">
        <v>21</v>
      </c>
      <c r="H1242" s="1">
        <v>11.97</v>
      </c>
      <c r="I1242" s="1">
        <f t="shared" si="57"/>
        <v>251.37</v>
      </c>
      <c r="J1242" t="str">
        <f t="shared" si="58"/>
        <v>Low</v>
      </c>
      <c r="K1242" s="1"/>
      <c r="L1242" s="1">
        <v>0.03</v>
      </c>
      <c r="M1242" s="1">
        <v>4.9800000000000004</v>
      </c>
      <c r="N1242" s="1" t="s">
        <v>33</v>
      </c>
      <c r="O1242" s="1" t="s">
        <v>34</v>
      </c>
      <c r="P1242" s="2">
        <v>41848</v>
      </c>
      <c r="Q1242" s="2" t="b">
        <f t="shared" si="59"/>
        <v>0</v>
      </c>
      <c r="V1242" s="2"/>
      <c r="W1242" s="2"/>
      <c r="X1242" s="2"/>
      <c r="Y1242" s="2"/>
      <c r="Z1242" s="2"/>
      <c r="AA1242" s="2"/>
      <c r="AB1242" s="2"/>
      <c r="AC1242" s="2"/>
      <c r="AD1242" s="2"/>
      <c r="AE1242" s="2"/>
      <c r="AF1242" s="2"/>
      <c r="AG1242" s="2"/>
      <c r="AH1242" s="2"/>
      <c r="AI1242" s="2"/>
    </row>
    <row r="1243" spans="1:35" ht="14.25" customHeight="1" x14ac:dyDescent="0.2">
      <c r="A1243" s="1">
        <v>44708</v>
      </c>
      <c r="B1243" s="1" t="s">
        <v>1267</v>
      </c>
      <c r="C1243" s="1" t="s">
        <v>51</v>
      </c>
      <c r="D1243" s="2">
        <v>41847</v>
      </c>
      <c r="E1243" s="1" t="s">
        <v>22</v>
      </c>
      <c r="F1243" s="1" t="s">
        <v>322</v>
      </c>
      <c r="G1243" s="1">
        <v>15</v>
      </c>
      <c r="H1243" s="1">
        <v>1.74</v>
      </c>
      <c r="I1243" s="1">
        <f t="shared" si="57"/>
        <v>26.1</v>
      </c>
      <c r="J1243" t="str">
        <f t="shared" si="58"/>
        <v>Low</v>
      </c>
      <c r="K1243" s="1"/>
      <c r="L1243" s="1">
        <v>0.02</v>
      </c>
      <c r="M1243" s="1">
        <v>4.08</v>
      </c>
      <c r="N1243" s="1" t="s">
        <v>33</v>
      </c>
      <c r="O1243" s="1" t="s">
        <v>84</v>
      </c>
      <c r="P1243" s="2">
        <v>41848</v>
      </c>
      <c r="Q1243" s="2" t="b">
        <f t="shared" si="59"/>
        <v>0</v>
      </c>
      <c r="V1243" s="2"/>
      <c r="W1243" s="2"/>
      <c r="X1243" s="2"/>
      <c r="Y1243" s="2"/>
      <c r="Z1243" s="2"/>
      <c r="AA1243" s="2"/>
      <c r="AB1243" s="2"/>
      <c r="AC1243" s="2"/>
      <c r="AD1243" s="2"/>
      <c r="AE1243" s="2"/>
      <c r="AF1243" s="2"/>
      <c r="AG1243" s="2"/>
      <c r="AH1243" s="2"/>
      <c r="AI1243" s="2"/>
    </row>
    <row r="1244" spans="1:35" ht="14.25" customHeight="1" x14ac:dyDescent="0.2">
      <c r="A1244" s="1">
        <v>21538</v>
      </c>
      <c r="B1244" s="1" t="s">
        <v>1268</v>
      </c>
      <c r="C1244" s="1" t="s">
        <v>30</v>
      </c>
      <c r="D1244" s="2">
        <v>41847</v>
      </c>
      <c r="E1244" s="1" t="s">
        <v>101</v>
      </c>
      <c r="F1244" s="1" t="s">
        <v>396</v>
      </c>
      <c r="G1244" s="1">
        <v>31</v>
      </c>
      <c r="H1244" s="1">
        <v>2.94</v>
      </c>
      <c r="I1244" s="1">
        <f t="shared" si="57"/>
        <v>91.14</v>
      </c>
      <c r="J1244" t="str">
        <f t="shared" si="58"/>
        <v>Low</v>
      </c>
      <c r="K1244" s="1"/>
      <c r="L1244" s="1">
        <v>0.08</v>
      </c>
      <c r="M1244" s="1">
        <v>0.96</v>
      </c>
      <c r="N1244" s="1" t="s">
        <v>33</v>
      </c>
      <c r="O1244" s="1" t="s">
        <v>55</v>
      </c>
      <c r="P1244" s="2">
        <v>41849</v>
      </c>
      <c r="Q1244" s="2" t="b">
        <f t="shared" si="59"/>
        <v>0</v>
      </c>
      <c r="V1244" s="2"/>
      <c r="W1244" s="2"/>
      <c r="X1244" s="2"/>
      <c r="Y1244" s="2"/>
      <c r="Z1244" s="2"/>
      <c r="AA1244" s="2"/>
      <c r="AB1244" s="2"/>
      <c r="AC1244" s="2"/>
      <c r="AD1244" s="2"/>
      <c r="AE1244" s="2"/>
      <c r="AF1244" s="2"/>
      <c r="AG1244" s="2"/>
      <c r="AH1244" s="2"/>
      <c r="AI1244" s="2"/>
    </row>
    <row r="1245" spans="1:35" ht="14.25" customHeight="1" x14ac:dyDescent="0.2">
      <c r="A1245" s="1">
        <v>9606</v>
      </c>
      <c r="B1245" s="1" t="s">
        <v>1215</v>
      </c>
      <c r="C1245" s="1" t="s">
        <v>51</v>
      </c>
      <c r="D1245" s="2">
        <v>41847</v>
      </c>
      <c r="E1245" s="1" t="s">
        <v>22</v>
      </c>
      <c r="F1245" s="1" t="s">
        <v>1188</v>
      </c>
      <c r="G1245" s="1">
        <v>39</v>
      </c>
      <c r="H1245" s="1">
        <v>12.53</v>
      </c>
      <c r="I1245" s="1">
        <f t="shared" si="57"/>
        <v>488.66999999999996</v>
      </c>
      <c r="J1245" t="str">
        <f t="shared" si="58"/>
        <v>Low</v>
      </c>
      <c r="K1245" s="1"/>
      <c r="L1245" s="1">
        <v>0.02</v>
      </c>
      <c r="M1245" s="1">
        <v>0.49</v>
      </c>
      <c r="N1245" s="1" t="s">
        <v>33</v>
      </c>
      <c r="O1245" s="1" t="s">
        <v>34</v>
      </c>
      <c r="P1245" s="2">
        <v>41847</v>
      </c>
      <c r="Q1245" s="2" t="b">
        <f t="shared" si="59"/>
        <v>0</v>
      </c>
      <c r="V1245" s="2"/>
      <c r="W1245" s="2"/>
      <c r="X1245" s="2"/>
      <c r="Y1245" s="2"/>
      <c r="Z1245" s="2"/>
      <c r="AA1245" s="2"/>
      <c r="AB1245" s="2"/>
      <c r="AC1245" s="2"/>
      <c r="AD1245" s="2"/>
      <c r="AE1245" s="2"/>
      <c r="AF1245" s="2"/>
      <c r="AG1245" s="2"/>
      <c r="AH1245" s="2"/>
      <c r="AI1245" s="2"/>
    </row>
    <row r="1246" spans="1:35" ht="14.25" customHeight="1" x14ac:dyDescent="0.2">
      <c r="A1246" s="1">
        <v>9606</v>
      </c>
      <c r="B1246" s="1" t="s">
        <v>1215</v>
      </c>
      <c r="C1246" s="1" t="s">
        <v>51</v>
      </c>
      <c r="D1246" s="2">
        <v>41847</v>
      </c>
      <c r="E1246" s="1" t="s">
        <v>22</v>
      </c>
      <c r="F1246" s="1" t="s">
        <v>1010</v>
      </c>
      <c r="G1246" s="1">
        <v>37</v>
      </c>
      <c r="H1246" s="1">
        <v>5.18</v>
      </c>
      <c r="I1246" s="1">
        <f t="shared" si="57"/>
        <v>191.66</v>
      </c>
      <c r="J1246" t="str">
        <f t="shared" si="58"/>
        <v>Low</v>
      </c>
      <c r="K1246" s="1"/>
      <c r="L1246" s="1">
        <v>7.0000000000000007E-2</v>
      </c>
      <c r="M1246" s="1">
        <v>2.04</v>
      </c>
      <c r="N1246" s="1" t="s">
        <v>25</v>
      </c>
      <c r="O1246" s="1" t="s">
        <v>55</v>
      </c>
      <c r="P1246" s="2">
        <v>41849</v>
      </c>
      <c r="Q1246" s="2" t="b">
        <f t="shared" si="59"/>
        <v>0</v>
      </c>
      <c r="V1246" s="2"/>
      <c r="W1246" s="2"/>
      <c r="X1246" s="2"/>
      <c r="Y1246" s="2"/>
      <c r="Z1246" s="2"/>
      <c r="AA1246" s="2"/>
      <c r="AB1246" s="2"/>
      <c r="AC1246" s="2"/>
      <c r="AD1246" s="2"/>
      <c r="AE1246" s="2"/>
      <c r="AF1246" s="2"/>
      <c r="AG1246" s="2"/>
      <c r="AH1246" s="2"/>
      <c r="AI1246" s="2"/>
    </row>
    <row r="1247" spans="1:35" ht="14.25" customHeight="1" x14ac:dyDescent="0.2">
      <c r="A1247" s="1">
        <v>3459</v>
      </c>
      <c r="B1247" s="1" t="s">
        <v>1269</v>
      </c>
      <c r="C1247" s="1" t="s">
        <v>30</v>
      </c>
      <c r="D1247" s="2">
        <v>41847</v>
      </c>
      <c r="E1247" s="1" t="s">
        <v>22</v>
      </c>
      <c r="F1247" s="1" t="s">
        <v>1270</v>
      </c>
      <c r="G1247" s="1">
        <v>24</v>
      </c>
      <c r="H1247" s="1">
        <v>110.99</v>
      </c>
      <c r="I1247" s="1">
        <f t="shared" si="57"/>
        <v>2663.7599999999998</v>
      </c>
      <c r="J1247" t="str">
        <f t="shared" si="58"/>
        <v>High</v>
      </c>
      <c r="K1247" s="1"/>
      <c r="L1247" s="1">
        <v>0.1</v>
      </c>
      <c r="M1247" s="1">
        <v>8.99</v>
      </c>
      <c r="N1247" s="1" t="s">
        <v>25</v>
      </c>
      <c r="O1247" s="1" t="s">
        <v>34</v>
      </c>
      <c r="P1247" s="2">
        <v>41849</v>
      </c>
      <c r="Q1247" s="2" t="b">
        <f t="shared" si="59"/>
        <v>0</v>
      </c>
      <c r="V1247" s="2"/>
      <c r="W1247" s="2"/>
      <c r="X1247" s="2"/>
      <c r="Y1247" s="2"/>
      <c r="Z1247" s="2"/>
      <c r="AA1247" s="2"/>
      <c r="AB1247" s="2"/>
      <c r="AC1247" s="2"/>
      <c r="AD1247" s="2"/>
      <c r="AE1247" s="2"/>
      <c r="AF1247" s="2"/>
      <c r="AG1247" s="2"/>
      <c r="AH1247" s="2"/>
      <c r="AI1247" s="2"/>
    </row>
    <row r="1248" spans="1:35" ht="14.25" customHeight="1" x14ac:dyDescent="0.2">
      <c r="A1248" s="1">
        <v>53029</v>
      </c>
      <c r="B1248" s="1" t="s">
        <v>1271</v>
      </c>
      <c r="C1248" s="1" t="s">
        <v>21</v>
      </c>
      <c r="D1248" s="2">
        <v>41847</v>
      </c>
      <c r="E1248" s="1" t="s">
        <v>43</v>
      </c>
      <c r="F1248" s="1" t="s">
        <v>850</v>
      </c>
      <c r="G1248" s="1">
        <v>39</v>
      </c>
      <c r="H1248" s="1">
        <v>6.3</v>
      </c>
      <c r="I1248" s="1">
        <f t="shared" si="57"/>
        <v>245.7</v>
      </c>
      <c r="J1248" t="str">
        <f t="shared" si="58"/>
        <v>Low</v>
      </c>
      <c r="K1248" s="1"/>
      <c r="L1248" s="1">
        <v>0.1</v>
      </c>
      <c r="M1248" s="1">
        <v>0.5</v>
      </c>
      <c r="N1248" s="1" t="s">
        <v>33</v>
      </c>
      <c r="O1248" s="1" t="s">
        <v>34</v>
      </c>
      <c r="P1248" s="2">
        <v>41852</v>
      </c>
      <c r="Q1248" s="2" t="b">
        <f t="shared" si="59"/>
        <v>0</v>
      </c>
      <c r="V1248" s="2"/>
      <c r="W1248" s="2"/>
      <c r="X1248" s="2"/>
      <c r="Y1248" s="2"/>
      <c r="Z1248" s="2"/>
      <c r="AA1248" s="2"/>
      <c r="AB1248" s="2"/>
      <c r="AC1248" s="2"/>
      <c r="AD1248" s="2"/>
      <c r="AE1248" s="2"/>
      <c r="AF1248" s="2"/>
      <c r="AG1248" s="2"/>
      <c r="AH1248" s="2"/>
      <c r="AI1248" s="2"/>
    </row>
    <row r="1249" spans="1:35" ht="14.25" customHeight="1" x14ac:dyDescent="0.2">
      <c r="A1249" s="1">
        <v>24644</v>
      </c>
      <c r="B1249" s="1" t="s">
        <v>993</v>
      </c>
      <c r="C1249" s="1" t="s">
        <v>21</v>
      </c>
      <c r="D1249" s="2">
        <v>41848</v>
      </c>
      <c r="E1249" s="1" t="s">
        <v>38</v>
      </c>
      <c r="F1249" s="1" t="s">
        <v>375</v>
      </c>
      <c r="G1249" s="1">
        <v>46</v>
      </c>
      <c r="H1249" s="1">
        <v>122.99</v>
      </c>
      <c r="I1249" s="1">
        <f t="shared" si="57"/>
        <v>5657.54</v>
      </c>
      <c r="J1249" t="str">
        <f t="shared" si="58"/>
        <v>High</v>
      </c>
      <c r="K1249" s="1"/>
      <c r="L1249" s="1">
        <v>0</v>
      </c>
      <c r="M1249" s="1">
        <v>70.2</v>
      </c>
      <c r="N1249" s="1" t="s">
        <v>45</v>
      </c>
      <c r="O1249" s="1" t="s">
        <v>46</v>
      </c>
      <c r="P1249" s="2">
        <v>41849</v>
      </c>
      <c r="Q1249" s="2" t="b">
        <f t="shared" si="59"/>
        <v>0</v>
      </c>
      <c r="V1249" s="2"/>
      <c r="W1249" s="2"/>
      <c r="X1249" s="2"/>
      <c r="Y1249" s="2"/>
      <c r="Z1249" s="2"/>
      <c r="AA1249" s="2"/>
      <c r="AB1249" s="2"/>
      <c r="AC1249" s="2"/>
      <c r="AD1249" s="2"/>
      <c r="AE1249" s="2"/>
      <c r="AF1249" s="2"/>
      <c r="AG1249" s="2"/>
      <c r="AH1249" s="2"/>
      <c r="AI1249" s="2"/>
    </row>
    <row r="1250" spans="1:35" ht="14.25" customHeight="1" x14ac:dyDescent="0.2">
      <c r="A1250" s="1">
        <v>24644</v>
      </c>
      <c r="B1250" s="1" t="s">
        <v>993</v>
      </c>
      <c r="C1250" s="1" t="s">
        <v>21</v>
      </c>
      <c r="D1250" s="2">
        <v>41848</v>
      </c>
      <c r="E1250" s="1" t="s">
        <v>38</v>
      </c>
      <c r="F1250" s="1" t="s">
        <v>1044</v>
      </c>
      <c r="G1250" s="1">
        <v>40</v>
      </c>
      <c r="H1250" s="1">
        <v>60.97</v>
      </c>
      <c r="I1250" s="1">
        <f t="shared" si="57"/>
        <v>2438.8000000000002</v>
      </c>
      <c r="J1250" t="str">
        <f t="shared" si="58"/>
        <v>High</v>
      </c>
      <c r="K1250" s="1"/>
      <c r="L1250" s="1">
        <v>0.01</v>
      </c>
      <c r="M1250" s="1">
        <v>4.5</v>
      </c>
      <c r="N1250" s="1" t="s">
        <v>25</v>
      </c>
      <c r="O1250" s="1" t="s">
        <v>34</v>
      </c>
      <c r="P1250" s="2">
        <v>41850</v>
      </c>
      <c r="Q1250" s="2" t="b">
        <f t="shared" si="59"/>
        <v>0</v>
      </c>
      <c r="V1250" s="2"/>
      <c r="W1250" s="2"/>
      <c r="X1250" s="2"/>
      <c r="Y1250" s="2"/>
      <c r="Z1250" s="2"/>
      <c r="AA1250" s="2"/>
      <c r="AB1250" s="2"/>
      <c r="AC1250" s="2"/>
      <c r="AD1250" s="2"/>
      <c r="AE1250" s="2"/>
      <c r="AF1250" s="2"/>
      <c r="AG1250" s="2"/>
      <c r="AH1250" s="2"/>
      <c r="AI1250" s="2"/>
    </row>
    <row r="1251" spans="1:35" ht="14.25" customHeight="1" x14ac:dyDescent="0.2">
      <c r="A1251" s="1">
        <v>29286</v>
      </c>
      <c r="B1251" s="1" t="s">
        <v>1272</v>
      </c>
      <c r="C1251" s="1" t="s">
        <v>51</v>
      </c>
      <c r="D1251" s="2">
        <v>41848</v>
      </c>
      <c r="E1251" s="1" t="s">
        <v>38</v>
      </c>
      <c r="F1251" s="1" t="s">
        <v>1273</v>
      </c>
      <c r="G1251" s="1">
        <v>4</v>
      </c>
      <c r="H1251" s="1">
        <v>3502.14</v>
      </c>
      <c r="I1251" s="1">
        <f t="shared" si="57"/>
        <v>14008.56</v>
      </c>
      <c r="J1251" t="str">
        <f t="shared" si="58"/>
        <v>High</v>
      </c>
      <c r="K1251" s="1"/>
      <c r="L1251" s="1">
        <v>7.0000000000000007E-2</v>
      </c>
      <c r="M1251" s="1">
        <v>8.73</v>
      </c>
      <c r="N1251" s="1" t="s">
        <v>45</v>
      </c>
      <c r="O1251" s="1" t="s">
        <v>63</v>
      </c>
      <c r="P1251" s="2">
        <v>41850</v>
      </c>
      <c r="Q1251" s="2" t="b">
        <f t="shared" si="59"/>
        <v>0</v>
      </c>
      <c r="V1251" s="2"/>
      <c r="W1251" s="2"/>
      <c r="X1251" s="2"/>
      <c r="Y1251" s="2"/>
      <c r="Z1251" s="2"/>
      <c r="AA1251" s="2"/>
      <c r="AB1251" s="2"/>
      <c r="AC1251" s="2"/>
      <c r="AD1251" s="2"/>
      <c r="AE1251" s="2"/>
      <c r="AF1251" s="2"/>
      <c r="AG1251" s="2"/>
      <c r="AH1251" s="2"/>
      <c r="AI1251" s="2"/>
    </row>
    <row r="1252" spans="1:35" ht="14.25" customHeight="1" x14ac:dyDescent="0.2">
      <c r="A1252" s="1">
        <v>8551</v>
      </c>
      <c r="B1252" s="1" t="s">
        <v>1039</v>
      </c>
      <c r="C1252" s="1" t="s">
        <v>21</v>
      </c>
      <c r="D1252" s="2">
        <v>41849</v>
      </c>
      <c r="E1252" s="1" t="s">
        <v>38</v>
      </c>
      <c r="F1252" s="1" t="s">
        <v>1274</v>
      </c>
      <c r="G1252" s="1">
        <v>25</v>
      </c>
      <c r="H1252" s="1">
        <v>7.45</v>
      </c>
      <c r="I1252" s="1">
        <f t="shared" si="57"/>
        <v>186.25</v>
      </c>
      <c r="J1252" t="str">
        <f t="shared" si="58"/>
        <v>Low</v>
      </c>
      <c r="K1252" s="1"/>
      <c r="L1252" s="1">
        <v>0.1</v>
      </c>
      <c r="M1252" s="1">
        <v>6.28</v>
      </c>
      <c r="N1252" s="1" t="s">
        <v>33</v>
      </c>
      <c r="O1252" s="1" t="s">
        <v>34</v>
      </c>
      <c r="P1252" s="2">
        <v>41852</v>
      </c>
      <c r="Q1252" s="2" t="b">
        <f t="shared" si="59"/>
        <v>0</v>
      </c>
      <c r="V1252" s="2"/>
      <c r="W1252" s="2"/>
      <c r="X1252" s="2"/>
      <c r="Y1252" s="2"/>
      <c r="Z1252" s="2"/>
      <c r="AA1252" s="2"/>
      <c r="AB1252" s="2"/>
      <c r="AC1252" s="2"/>
      <c r="AD1252" s="2"/>
      <c r="AE1252" s="2"/>
      <c r="AF1252" s="2"/>
      <c r="AG1252" s="2"/>
      <c r="AH1252" s="2"/>
      <c r="AI1252" s="2"/>
    </row>
    <row r="1253" spans="1:35" ht="14.25" customHeight="1" x14ac:dyDescent="0.2">
      <c r="A1253" s="1">
        <v>8551</v>
      </c>
      <c r="B1253" s="1" t="s">
        <v>1039</v>
      </c>
      <c r="C1253" s="1" t="s">
        <v>51</v>
      </c>
      <c r="D1253" s="2">
        <v>41849</v>
      </c>
      <c r="E1253" s="1" t="s">
        <v>38</v>
      </c>
      <c r="F1253" s="1" t="s">
        <v>954</v>
      </c>
      <c r="G1253" s="1">
        <v>34</v>
      </c>
      <c r="H1253" s="1">
        <v>6.48</v>
      </c>
      <c r="I1253" s="1">
        <f t="shared" si="57"/>
        <v>220.32000000000002</v>
      </c>
      <c r="J1253" t="str">
        <f t="shared" si="58"/>
        <v>Low</v>
      </c>
      <c r="K1253" s="1"/>
      <c r="L1253" s="1">
        <v>0.01</v>
      </c>
      <c r="M1253" s="1">
        <v>7.86</v>
      </c>
      <c r="N1253" s="1" t="s">
        <v>33</v>
      </c>
      <c r="O1253" s="1" t="s">
        <v>34</v>
      </c>
      <c r="P1253" s="2">
        <v>41851</v>
      </c>
      <c r="Q1253" s="2" t="b">
        <f t="shared" si="59"/>
        <v>0</v>
      </c>
      <c r="V1253" s="2"/>
      <c r="W1253" s="2"/>
      <c r="X1253" s="2"/>
      <c r="Y1253" s="2"/>
      <c r="Z1253" s="2"/>
      <c r="AA1253" s="2"/>
      <c r="AB1253" s="2"/>
      <c r="AC1253" s="2"/>
      <c r="AD1253" s="2"/>
      <c r="AE1253" s="2"/>
      <c r="AF1253" s="2"/>
      <c r="AG1253" s="2"/>
      <c r="AH1253" s="2"/>
      <c r="AI1253" s="2"/>
    </row>
    <row r="1254" spans="1:35" ht="14.25" customHeight="1" x14ac:dyDescent="0.2">
      <c r="A1254" s="1">
        <v>32420</v>
      </c>
      <c r="B1254" s="1" t="s">
        <v>885</v>
      </c>
      <c r="C1254" s="1" t="s">
        <v>51</v>
      </c>
      <c r="D1254" s="2">
        <v>41849</v>
      </c>
      <c r="E1254" s="1" t="s">
        <v>101</v>
      </c>
      <c r="F1254" s="1" t="s">
        <v>170</v>
      </c>
      <c r="G1254" s="1">
        <v>35</v>
      </c>
      <c r="H1254" s="1">
        <v>5.0199999999999996</v>
      </c>
      <c r="I1254" s="1">
        <f t="shared" si="57"/>
        <v>175.7</v>
      </c>
      <c r="J1254" t="str">
        <f t="shared" si="58"/>
        <v>Low</v>
      </c>
      <c r="K1254" s="1"/>
      <c r="L1254" s="1">
        <v>7.0000000000000007E-2</v>
      </c>
      <c r="M1254" s="1">
        <v>5.14</v>
      </c>
      <c r="N1254" s="1" t="s">
        <v>33</v>
      </c>
      <c r="O1254" s="1" t="s">
        <v>84</v>
      </c>
      <c r="P1254" s="2">
        <v>41851</v>
      </c>
      <c r="Q1254" s="2" t="b">
        <f t="shared" si="59"/>
        <v>0</v>
      </c>
      <c r="V1254" s="2"/>
      <c r="W1254" s="2"/>
      <c r="X1254" s="2"/>
      <c r="Y1254" s="2"/>
      <c r="Z1254" s="2"/>
      <c r="AA1254" s="2"/>
      <c r="AB1254" s="2"/>
      <c r="AC1254" s="2"/>
      <c r="AD1254" s="2"/>
      <c r="AE1254" s="2"/>
      <c r="AF1254" s="2"/>
      <c r="AG1254" s="2"/>
      <c r="AH1254" s="2"/>
      <c r="AI1254" s="2"/>
    </row>
    <row r="1255" spans="1:35" ht="14.25" customHeight="1" x14ac:dyDescent="0.2">
      <c r="A1255" s="1">
        <v>32420</v>
      </c>
      <c r="B1255" s="1" t="s">
        <v>885</v>
      </c>
      <c r="C1255" s="1" t="s">
        <v>51</v>
      </c>
      <c r="D1255" s="2">
        <v>41849</v>
      </c>
      <c r="E1255" s="1" t="s">
        <v>101</v>
      </c>
      <c r="F1255" s="1" t="s">
        <v>572</v>
      </c>
      <c r="G1255" s="1">
        <v>19</v>
      </c>
      <c r="H1255" s="1">
        <v>280.98</v>
      </c>
      <c r="I1255" s="1">
        <f t="shared" si="57"/>
        <v>5338.6200000000008</v>
      </c>
      <c r="J1255" t="str">
        <f t="shared" si="58"/>
        <v>High</v>
      </c>
      <c r="K1255" s="1"/>
      <c r="L1255" s="1">
        <v>7.0000000000000007E-2</v>
      </c>
      <c r="M1255" s="1">
        <v>57</v>
      </c>
      <c r="N1255" s="1" t="s">
        <v>45</v>
      </c>
      <c r="O1255" s="1" t="s">
        <v>46</v>
      </c>
      <c r="P1255" s="2">
        <v>41851</v>
      </c>
      <c r="Q1255" s="2" t="b">
        <f t="shared" si="59"/>
        <v>0</v>
      </c>
      <c r="V1255" s="2"/>
      <c r="W1255" s="2"/>
      <c r="X1255" s="2"/>
      <c r="Y1255" s="2"/>
      <c r="Z1255" s="2"/>
      <c r="AA1255" s="2"/>
      <c r="AB1255" s="2"/>
      <c r="AC1255" s="2"/>
      <c r="AD1255" s="2"/>
      <c r="AE1255" s="2"/>
      <c r="AF1255" s="2"/>
      <c r="AG1255" s="2"/>
      <c r="AH1255" s="2"/>
      <c r="AI1255" s="2"/>
    </row>
    <row r="1256" spans="1:35" ht="14.25" customHeight="1" x14ac:dyDescent="0.2">
      <c r="A1256" s="1">
        <v>28130</v>
      </c>
      <c r="B1256" s="1" t="s">
        <v>186</v>
      </c>
      <c r="C1256" s="1" t="s">
        <v>30</v>
      </c>
      <c r="D1256" s="2">
        <v>41850</v>
      </c>
      <c r="E1256" s="1" t="s">
        <v>43</v>
      </c>
      <c r="F1256" s="1" t="s">
        <v>137</v>
      </c>
      <c r="G1256" s="1">
        <v>23</v>
      </c>
      <c r="H1256" s="1">
        <v>15.99</v>
      </c>
      <c r="I1256" s="1">
        <f t="shared" si="57"/>
        <v>367.77</v>
      </c>
      <c r="J1256" t="str">
        <f t="shared" si="58"/>
        <v>Low</v>
      </c>
      <c r="K1256" s="1"/>
      <c r="L1256" s="1">
        <v>0.02</v>
      </c>
      <c r="M1256" s="1">
        <v>13.18</v>
      </c>
      <c r="N1256" s="1" t="s">
        <v>25</v>
      </c>
      <c r="O1256" s="1" t="s">
        <v>34</v>
      </c>
      <c r="P1256" s="2">
        <v>41854</v>
      </c>
      <c r="Q1256" s="2" t="b">
        <f t="shared" si="59"/>
        <v>0</v>
      </c>
      <c r="V1256" s="2"/>
      <c r="W1256" s="2"/>
      <c r="X1256" s="2"/>
      <c r="Y1256" s="2"/>
      <c r="Z1256" s="2"/>
      <c r="AA1256" s="2"/>
      <c r="AB1256" s="2"/>
      <c r="AC1256" s="2"/>
      <c r="AD1256" s="2"/>
      <c r="AE1256" s="2"/>
      <c r="AF1256" s="2"/>
      <c r="AG1256" s="2"/>
      <c r="AH1256" s="2"/>
      <c r="AI1256" s="2"/>
    </row>
    <row r="1257" spans="1:35" ht="14.25" customHeight="1" x14ac:dyDescent="0.2">
      <c r="A1257" s="1">
        <v>28130</v>
      </c>
      <c r="B1257" s="1" t="s">
        <v>186</v>
      </c>
      <c r="C1257" s="1" t="s">
        <v>51</v>
      </c>
      <c r="D1257" s="2">
        <v>41850</v>
      </c>
      <c r="E1257" s="1" t="s">
        <v>43</v>
      </c>
      <c r="F1257" s="1" t="s">
        <v>1275</v>
      </c>
      <c r="G1257" s="1">
        <v>32</v>
      </c>
      <c r="H1257" s="1">
        <v>46.94</v>
      </c>
      <c r="I1257" s="1">
        <f t="shared" si="57"/>
        <v>1502.08</v>
      </c>
      <c r="J1257" t="str">
        <f t="shared" si="58"/>
        <v>High</v>
      </c>
      <c r="K1257" s="1"/>
      <c r="L1257" s="1">
        <v>0.09</v>
      </c>
      <c r="M1257" s="1">
        <v>6.77</v>
      </c>
      <c r="N1257" s="1" t="s">
        <v>25</v>
      </c>
      <c r="O1257" s="1" t="s">
        <v>34</v>
      </c>
      <c r="P1257" s="2">
        <v>41850</v>
      </c>
      <c r="Q1257" s="2" t="b">
        <f t="shared" si="59"/>
        <v>0</v>
      </c>
      <c r="V1257" s="2"/>
      <c r="W1257" s="2"/>
      <c r="X1257" s="2"/>
      <c r="Y1257" s="2"/>
      <c r="Z1257" s="2"/>
      <c r="AA1257" s="2"/>
      <c r="AB1257" s="2"/>
      <c r="AC1257" s="2"/>
      <c r="AD1257" s="2"/>
      <c r="AE1257" s="2"/>
      <c r="AF1257" s="2"/>
      <c r="AG1257" s="2"/>
      <c r="AH1257" s="2"/>
      <c r="AI1257" s="2"/>
    </row>
    <row r="1258" spans="1:35" ht="14.25" customHeight="1" x14ac:dyDescent="0.2">
      <c r="A1258" s="1">
        <v>26279</v>
      </c>
      <c r="B1258" s="1" t="s">
        <v>1190</v>
      </c>
      <c r="C1258" s="1" t="s">
        <v>30</v>
      </c>
      <c r="D1258" s="2">
        <v>41850</v>
      </c>
      <c r="E1258" s="1" t="s">
        <v>22</v>
      </c>
      <c r="F1258" s="1" t="s">
        <v>1276</v>
      </c>
      <c r="G1258" s="1">
        <v>7</v>
      </c>
      <c r="H1258" s="1">
        <v>35.99</v>
      </c>
      <c r="I1258" s="1">
        <f t="shared" si="57"/>
        <v>251.93</v>
      </c>
      <c r="J1258" t="str">
        <f t="shared" si="58"/>
        <v>Low</v>
      </c>
      <c r="K1258" s="1"/>
      <c r="L1258" s="1">
        <v>0.04</v>
      </c>
      <c r="M1258" s="1">
        <v>1.25</v>
      </c>
      <c r="N1258" s="1" t="s">
        <v>33</v>
      </c>
      <c r="O1258" s="1" t="s">
        <v>84</v>
      </c>
      <c r="P1258" s="2">
        <v>41852</v>
      </c>
      <c r="Q1258" s="2" t="b">
        <f t="shared" si="59"/>
        <v>0</v>
      </c>
      <c r="V1258" s="2"/>
      <c r="W1258" s="2"/>
      <c r="X1258" s="2"/>
      <c r="Y1258" s="2"/>
      <c r="Z1258" s="2"/>
      <c r="AA1258" s="2"/>
      <c r="AB1258" s="2"/>
      <c r="AC1258" s="2"/>
      <c r="AD1258" s="2"/>
      <c r="AE1258" s="2"/>
      <c r="AF1258" s="2"/>
      <c r="AG1258" s="2"/>
      <c r="AH1258" s="2"/>
      <c r="AI1258" s="2"/>
    </row>
    <row r="1259" spans="1:35" ht="14.25" customHeight="1" x14ac:dyDescent="0.2">
      <c r="A1259" s="1">
        <v>43399</v>
      </c>
      <c r="B1259" s="1" t="s">
        <v>1244</v>
      </c>
      <c r="C1259" s="1" t="s">
        <v>21</v>
      </c>
      <c r="D1259" s="2">
        <v>41850</v>
      </c>
      <c r="E1259" s="1" t="s">
        <v>31</v>
      </c>
      <c r="F1259" s="1" t="s">
        <v>245</v>
      </c>
      <c r="G1259" s="1">
        <v>35</v>
      </c>
      <c r="H1259" s="1">
        <v>1.68</v>
      </c>
      <c r="I1259" s="1">
        <f t="shared" si="57"/>
        <v>58.8</v>
      </c>
      <c r="J1259" t="str">
        <f t="shared" si="58"/>
        <v>Low</v>
      </c>
      <c r="K1259" s="1"/>
      <c r="L1259" s="1">
        <v>0.05</v>
      </c>
      <c r="M1259" s="1">
        <v>1.57</v>
      </c>
      <c r="N1259" s="1" t="s">
        <v>33</v>
      </c>
      <c r="O1259" s="1" t="s">
        <v>55</v>
      </c>
      <c r="P1259" s="2">
        <v>41851</v>
      </c>
      <c r="Q1259" s="2" t="b">
        <f t="shared" si="59"/>
        <v>0</v>
      </c>
      <c r="V1259" s="2"/>
      <c r="W1259" s="2"/>
      <c r="X1259" s="2"/>
      <c r="Y1259" s="2"/>
      <c r="Z1259" s="2"/>
      <c r="AA1259" s="2"/>
      <c r="AB1259" s="2"/>
      <c r="AC1259" s="2"/>
      <c r="AD1259" s="2"/>
      <c r="AE1259" s="2"/>
      <c r="AF1259" s="2"/>
      <c r="AG1259" s="2"/>
      <c r="AH1259" s="2"/>
      <c r="AI1259" s="2"/>
    </row>
    <row r="1260" spans="1:35" ht="14.25" customHeight="1" x14ac:dyDescent="0.2">
      <c r="A1260" s="1">
        <v>43399</v>
      </c>
      <c r="B1260" s="1" t="s">
        <v>1244</v>
      </c>
      <c r="C1260" s="1" t="s">
        <v>21</v>
      </c>
      <c r="D1260" s="2">
        <v>41850</v>
      </c>
      <c r="E1260" s="1" t="s">
        <v>31</v>
      </c>
      <c r="F1260" s="1" t="s">
        <v>362</v>
      </c>
      <c r="G1260" s="1">
        <v>2</v>
      </c>
      <c r="H1260" s="1">
        <v>218.75</v>
      </c>
      <c r="I1260" s="1">
        <f t="shared" si="57"/>
        <v>437.5</v>
      </c>
      <c r="J1260" t="str">
        <f t="shared" si="58"/>
        <v>Low</v>
      </c>
      <c r="K1260" s="1"/>
      <c r="L1260" s="1">
        <v>0.1</v>
      </c>
      <c r="M1260" s="1">
        <v>69.64</v>
      </c>
      <c r="N1260" s="1" t="s">
        <v>45</v>
      </c>
      <c r="O1260" s="1" t="s">
        <v>63</v>
      </c>
      <c r="P1260" s="2">
        <v>41852</v>
      </c>
      <c r="Q1260" s="2" t="b">
        <f t="shared" si="59"/>
        <v>0</v>
      </c>
      <c r="V1260" s="2"/>
      <c r="W1260" s="2"/>
      <c r="X1260" s="2"/>
      <c r="Y1260" s="2"/>
      <c r="Z1260" s="2"/>
      <c r="AA1260" s="2"/>
      <c r="AB1260" s="2"/>
      <c r="AC1260" s="2"/>
      <c r="AD1260" s="2"/>
      <c r="AE1260" s="2"/>
      <c r="AF1260" s="2"/>
      <c r="AG1260" s="2"/>
      <c r="AH1260" s="2"/>
      <c r="AI1260" s="2"/>
    </row>
    <row r="1261" spans="1:35" ht="14.25" customHeight="1" x14ac:dyDescent="0.2">
      <c r="A1261" s="1">
        <v>43399</v>
      </c>
      <c r="B1261" s="1" t="s">
        <v>1244</v>
      </c>
      <c r="C1261" s="1" t="s">
        <v>21</v>
      </c>
      <c r="D1261" s="2">
        <v>41850</v>
      </c>
      <c r="E1261" s="1" t="s">
        <v>31</v>
      </c>
      <c r="F1261" s="1" t="s">
        <v>56</v>
      </c>
      <c r="G1261" s="1">
        <v>8</v>
      </c>
      <c r="H1261" s="1">
        <v>15.04</v>
      </c>
      <c r="I1261" s="1">
        <f t="shared" si="57"/>
        <v>120.32</v>
      </c>
      <c r="J1261" t="str">
        <f t="shared" si="58"/>
        <v>Low</v>
      </c>
      <c r="K1261" s="1"/>
      <c r="L1261" s="1">
        <v>0</v>
      </c>
      <c r="M1261" s="1">
        <v>1.97</v>
      </c>
      <c r="N1261" s="1" t="s">
        <v>33</v>
      </c>
      <c r="O1261" s="1" t="s">
        <v>55</v>
      </c>
      <c r="P1261" s="2">
        <v>41852</v>
      </c>
      <c r="Q1261" s="2" t="b">
        <f t="shared" si="59"/>
        <v>0</v>
      </c>
      <c r="V1261" s="2"/>
      <c r="W1261" s="2"/>
      <c r="X1261" s="2"/>
      <c r="Y1261" s="2"/>
      <c r="Z1261" s="2"/>
      <c r="AA1261" s="2"/>
      <c r="AB1261" s="2"/>
      <c r="AC1261" s="2"/>
      <c r="AD1261" s="2"/>
      <c r="AE1261" s="2"/>
      <c r="AF1261" s="2"/>
      <c r="AG1261" s="2"/>
      <c r="AH1261" s="2"/>
      <c r="AI1261" s="2"/>
    </row>
    <row r="1262" spans="1:35" ht="14.25" customHeight="1" x14ac:dyDescent="0.2">
      <c r="A1262" s="1">
        <v>18753</v>
      </c>
      <c r="B1262" s="1" t="s">
        <v>1277</v>
      </c>
      <c r="C1262" s="1" t="s">
        <v>30</v>
      </c>
      <c r="D1262" s="2">
        <v>41851</v>
      </c>
      <c r="E1262" s="1" t="s">
        <v>101</v>
      </c>
      <c r="F1262" s="1" t="s">
        <v>957</v>
      </c>
      <c r="G1262" s="1">
        <v>31</v>
      </c>
      <c r="H1262" s="1">
        <v>128.24</v>
      </c>
      <c r="I1262" s="1">
        <f t="shared" si="57"/>
        <v>3975.4400000000005</v>
      </c>
      <c r="J1262" t="str">
        <f t="shared" si="58"/>
        <v>High</v>
      </c>
      <c r="K1262" s="1"/>
      <c r="L1262" s="1">
        <v>0.03</v>
      </c>
      <c r="M1262" s="1">
        <v>12.65</v>
      </c>
      <c r="N1262" s="1" t="s">
        <v>33</v>
      </c>
      <c r="O1262" s="1" t="s">
        <v>72</v>
      </c>
      <c r="P1262" s="2">
        <v>41853</v>
      </c>
      <c r="Q1262" s="2" t="b">
        <f t="shared" si="59"/>
        <v>0</v>
      </c>
      <c r="V1262" s="2"/>
      <c r="W1262" s="2"/>
      <c r="X1262" s="2"/>
      <c r="Y1262" s="2"/>
      <c r="Z1262" s="2"/>
      <c r="AA1262" s="2"/>
      <c r="AB1262" s="2"/>
      <c r="AC1262" s="2"/>
      <c r="AD1262" s="2"/>
      <c r="AE1262" s="2"/>
      <c r="AF1262" s="2"/>
      <c r="AG1262" s="2"/>
      <c r="AH1262" s="2"/>
      <c r="AI1262" s="2"/>
    </row>
    <row r="1263" spans="1:35" ht="14.25" customHeight="1" x14ac:dyDescent="0.2">
      <c r="A1263" s="1">
        <v>18753</v>
      </c>
      <c r="B1263" s="1" t="s">
        <v>1277</v>
      </c>
      <c r="C1263" s="1" t="s">
        <v>51</v>
      </c>
      <c r="D1263" s="2">
        <v>41851</v>
      </c>
      <c r="E1263" s="1" t="s">
        <v>101</v>
      </c>
      <c r="F1263" s="1" t="s">
        <v>355</v>
      </c>
      <c r="G1263" s="1">
        <v>33</v>
      </c>
      <c r="H1263" s="1">
        <v>160.97999999999999</v>
      </c>
      <c r="I1263" s="1">
        <f t="shared" si="57"/>
        <v>5312.3399999999992</v>
      </c>
      <c r="J1263" t="str">
        <f t="shared" si="58"/>
        <v>High</v>
      </c>
      <c r="K1263" s="1"/>
      <c r="L1263" s="1">
        <v>0.01</v>
      </c>
      <c r="M1263" s="1">
        <v>30</v>
      </c>
      <c r="N1263" s="1" t="s">
        <v>45</v>
      </c>
      <c r="O1263" s="1" t="s">
        <v>46</v>
      </c>
      <c r="P1263" s="2">
        <v>41853</v>
      </c>
      <c r="Q1263" s="2" t="b">
        <f t="shared" si="59"/>
        <v>0</v>
      </c>
      <c r="V1263" s="2"/>
      <c r="W1263" s="2"/>
      <c r="X1263" s="2"/>
      <c r="Y1263" s="2"/>
      <c r="Z1263" s="2"/>
      <c r="AA1263" s="2"/>
      <c r="AB1263" s="2"/>
      <c r="AC1263" s="2"/>
      <c r="AD1263" s="2"/>
      <c r="AE1263" s="2"/>
      <c r="AF1263" s="2"/>
      <c r="AG1263" s="2"/>
      <c r="AH1263" s="2"/>
      <c r="AI1263" s="2"/>
    </row>
    <row r="1264" spans="1:35" ht="14.25" customHeight="1" x14ac:dyDescent="0.2">
      <c r="A1264" s="1">
        <v>33959</v>
      </c>
      <c r="B1264" s="1" t="s">
        <v>1278</v>
      </c>
      <c r="C1264" s="1" t="s">
        <v>51</v>
      </c>
      <c r="D1264" s="2">
        <v>41851</v>
      </c>
      <c r="E1264" s="1" t="s">
        <v>38</v>
      </c>
      <c r="F1264" s="1" t="s">
        <v>1279</v>
      </c>
      <c r="G1264" s="1">
        <v>23</v>
      </c>
      <c r="H1264" s="1">
        <v>15.23</v>
      </c>
      <c r="I1264" s="1">
        <f t="shared" si="57"/>
        <v>350.29</v>
      </c>
      <c r="J1264" t="str">
        <f t="shared" si="58"/>
        <v>Low</v>
      </c>
      <c r="K1264" s="1"/>
      <c r="L1264" s="1">
        <v>0.03</v>
      </c>
      <c r="M1264" s="1">
        <v>27.75</v>
      </c>
      <c r="N1264" s="1" t="s">
        <v>45</v>
      </c>
      <c r="O1264" s="1" t="s">
        <v>63</v>
      </c>
      <c r="P1264" s="2">
        <v>41852</v>
      </c>
      <c r="Q1264" s="2" t="b">
        <f t="shared" si="59"/>
        <v>0</v>
      </c>
      <c r="V1264" s="2"/>
      <c r="W1264" s="2"/>
      <c r="X1264" s="2"/>
      <c r="Y1264" s="2"/>
      <c r="Z1264" s="2"/>
      <c r="AA1264" s="2"/>
      <c r="AB1264" s="2"/>
      <c r="AC1264" s="2"/>
      <c r="AD1264" s="2"/>
      <c r="AE1264" s="2"/>
      <c r="AF1264" s="2"/>
      <c r="AG1264" s="2"/>
      <c r="AH1264" s="2"/>
      <c r="AI1264" s="2"/>
    </row>
    <row r="1265" spans="1:35" ht="14.25" customHeight="1" x14ac:dyDescent="0.2">
      <c r="A1265" s="1">
        <v>29187</v>
      </c>
      <c r="B1265" s="1" t="s">
        <v>439</v>
      </c>
      <c r="C1265" s="1" t="s">
        <v>21</v>
      </c>
      <c r="D1265" s="2">
        <v>41851</v>
      </c>
      <c r="E1265" s="1" t="s">
        <v>43</v>
      </c>
      <c r="F1265" s="1" t="s">
        <v>659</v>
      </c>
      <c r="G1265" s="1">
        <v>5</v>
      </c>
      <c r="H1265" s="1">
        <v>24.92</v>
      </c>
      <c r="I1265" s="1">
        <f t="shared" si="57"/>
        <v>124.60000000000001</v>
      </c>
      <c r="J1265" t="str">
        <f t="shared" si="58"/>
        <v>Low</v>
      </c>
      <c r="K1265" s="1"/>
      <c r="L1265" s="1">
        <v>0.03</v>
      </c>
      <c r="M1265" s="1">
        <v>12.98</v>
      </c>
      <c r="N1265" s="1" t="s">
        <v>33</v>
      </c>
      <c r="O1265" s="1" t="s">
        <v>34</v>
      </c>
      <c r="P1265" s="2">
        <v>41855</v>
      </c>
      <c r="Q1265" s="2" t="b">
        <f t="shared" si="59"/>
        <v>0</v>
      </c>
      <c r="V1265" s="2"/>
      <c r="W1265" s="2"/>
      <c r="X1265" s="2"/>
      <c r="Y1265" s="2"/>
      <c r="Z1265" s="2"/>
      <c r="AA1265" s="2"/>
      <c r="AB1265" s="2"/>
      <c r="AC1265" s="2"/>
      <c r="AD1265" s="2"/>
      <c r="AE1265" s="2"/>
      <c r="AF1265" s="2"/>
      <c r="AG1265" s="2"/>
      <c r="AH1265" s="2"/>
      <c r="AI1265" s="2"/>
    </row>
    <row r="1266" spans="1:35" ht="14.25" customHeight="1" x14ac:dyDescent="0.2">
      <c r="A1266" s="1">
        <v>29187</v>
      </c>
      <c r="B1266" s="1" t="s">
        <v>439</v>
      </c>
      <c r="C1266" s="1" t="s">
        <v>51</v>
      </c>
      <c r="D1266" s="2">
        <v>41851</v>
      </c>
      <c r="E1266" s="1" t="s">
        <v>43</v>
      </c>
      <c r="F1266" s="1" t="s">
        <v>385</v>
      </c>
      <c r="G1266" s="1">
        <v>8</v>
      </c>
      <c r="H1266" s="1">
        <v>2.16</v>
      </c>
      <c r="I1266" s="1">
        <f t="shared" si="57"/>
        <v>17.28</v>
      </c>
      <c r="J1266" t="str">
        <f t="shared" si="58"/>
        <v>Low</v>
      </c>
      <c r="K1266" s="1"/>
      <c r="L1266" s="1">
        <v>0.09</v>
      </c>
      <c r="M1266" s="1">
        <v>6.05</v>
      </c>
      <c r="N1266" s="1" t="s">
        <v>33</v>
      </c>
      <c r="O1266" s="1" t="s">
        <v>34</v>
      </c>
      <c r="P1266" s="2">
        <v>41855</v>
      </c>
      <c r="Q1266" s="2" t="b">
        <f t="shared" si="59"/>
        <v>0</v>
      </c>
      <c r="V1266" s="2"/>
      <c r="W1266" s="2"/>
      <c r="X1266" s="2"/>
      <c r="Y1266" s="2"/>
      <c r="Z1266" s="2"/>
      <c r="AA1266" s="2"/>
      <c r="AB1266" s="2"/>
      <c r="AC1266" s="2"/>
      <c r="AD1266" s="2"/>
      <c r="AE1266" s="2"/>
      <c r="AF1266" s="2"/>
      <c r="AG1266" s="2"/>
      <c r="AH1266" s="2"/>
      <c r="AI1266" s="2"/>
    </row>
    <row r="1267" spans="1:35" ht="14.25" customHeight="1" x14ac:dyDescent="0.2">
      <c r="A1267" s="1">
        <v>29187</v>
      </c>
      <c r="B1267" s="1" t="s">
        <v>439</v>
      </c>
      <c r="C1267" s="1" t="s">
        <v>30</v>
      </c>
      <c r="D1267" s="2">
        <v>41851</v>
      </c>
      <c r="E1267" s="1" t="s">
        <v>43</v>
      </c>
      <c r="F1267" s="1" t="s">
        <v>1280</v>
      </c>
      <c r="G1267" s="1">
        <v>35</v>
      </c>
      <c r="H1267" s="1">
        <v>808.49</v>
      </c>
      <c r="I1267" s="1">
        <f t="shared" si="57"/>
        <v>28297.15</v>
      </c>
      <c r="J1267" t="str">
        <f t="shared" si="58"/>
        <v>High</v>
      </c>
      <c r="K1267" s="1"/>
      <c r="L1267" s="1">
        <v>0.03</v>
      </c>
      <c r="M1267" s="1">
        <v>55.3</v>
      </c>
      <c r="N1267" s="1" t="s">
        <v>45</v>
      </c>
      <c r="O1267" s="1" t="s">
        <v>46</v>
      </c>
      <c r="P1267" s="2">
        <v>41858</v>
      </c>
      <c r="Q1267" s="2" t="b">
        <f t="shared" si="59"/>
        <v>0</v>
      </c>
      <c r="V1267" s="2"/>
      <c r="W1267" s="2"/>
      <c r="X1267" s="2"/>
      <c r="Y1267" s="2"/>
      <c r="Z1267" s="2"/>
      <c r="AA1267" s="2"/>
      <c r="AB1267" s="2"/>
      <c r="AC1267" s="2"/>
      <c r="AD1267" s="2"/>
      <c r="AE1267" s="2"/>
      <c r="AF1267" s="2"/>
      <c r="AG1267" s="2"/>
      <c r="AH1267" s="2"/>
      <c r="AI1267" s="2"/>
    </row>
    <row r="1268" spans="1:35" ht="14.25" customHeight="1" x14ac:dyDescent="0.2">
      <c r="A1268" s="1">
        <v>29187</v>
      </c>
      <c r="B1268" s="1" t="s">
        <v>439</v>
      </c>
      <c r="C1268" s="1" t="s">
        <v>51</v>
      </c>
      <c r="D1268" s="2">
        <v>41851</v>
      </c>
      <c r="E1268" s="1" t="s">
        <v>43</v>
      </c>
      <c r="F1268" s="1" t="s">
        <v>458</v>
      </c>
      <c r="G1268" s="1">
        <v>10</v>
      </c>
      <c r="H1268" s="1">
        <v>6.48</v>
      </c>
      <c r="I1268" s="1">
        <f t="shared" si="57"/>
        <v>64.800000000000011</v>
      </c>
      <c r="J1268" t="str">
        <f t="shared" si="58"/>
        <v>Low</v>
      </c>
      <c r="K1268" s="1"/>
      <c r="L1268" s="1">
        <v>0</v>
      </c>
      <c r="M1268" s="1">
        <v>8.19</v>
      </c>
      <c r="N1268" s="1" t="s">
        <v>33</v>
      </c>
      <c r="O1268" s="1" t="s">
        <v>34</v>
      </c>
      <c r="P1268" s="2">
        <v>41858</v>
      </c>
      <c r="Q1268" s="2" t="b">
        <f t="shared" si="59"/>
        <v>0</v>
      </c>
      <c r="V1268" s="2"/>
      <c r="W1268" s="2"/>
      <c r="X1268" s="2"/>
      <c r="Y1268" s="2"/>
      <c r="Z1268" s="2"/>
      <c r="AA1268" s="2"/>
      <c r="AB1268" s="2"/>
      <c r="AC1268" s="2"/>
      <c r="AD1268" s="2"/>
      <c r="AE1268" s="2"/>
      <c r="AF1268" s="2"/>
      <c r="AG1268" s="2"/>
      <c r="AH1268" s="2"/>
      <c r="AI1268" s="2"/>
    </row>
    <row r="1269" spans="1:35" ht="14.25" customHeight="1" x14ac:dyDescent="0.2">
      <c r="A1269" s="1">
        <v>29187</v>
      </c>
      <c r="B1269" s="1" t="s">
        <v>439</v>
      </c>
      <c r="C1269" s="1" t="s">
        <v>51</v>
      </c>
      <c r="D1269" s="2">
        <v>41851</v>
      </c>
      <c r="E1269" s="1" t="s">
        <v>43</v>
      </c>
      <c r="F1269" s="1" t="s">
        <v>819</v>
      </c>
      <c r="G1269" s="1">
        <v>42</v>
      </c>
      <c r="H1269" s="1">
        <v>10.98</v>
      </c>
      <c r="I1269" s="1">
        <f t="shared" si="57"/>
        <v>461.16</v>
      </c>
      <c r="J1269" t="str">
        <f t="shared" si="58"/>
        <v>Low</v>
      </c>
      <c r="K1269" s="1"/>
      <c r="L1269" s="1">
        <v>0.03</v>
      </c>
      <c r="M1269" s="1">
        <v>3.37</v>
      </c>
      <c r="N1269" s="1" t="s">
        <v>33</v>
      </c>
      <c r="O1269" s="1" t="s">
        <v>84</v>
      </c>
      <c r="P1269" s="2">
        <v>41855</v>
      </c>
      <c r="Q1269" s="2" t="b">
        <f t="shared" si="59"/>
        <v>0</v>
      </c>
      <c r="V1269" s="2"/>
      <c r="W1269" s="2"/>
      <c r="X1269" s="2"/>
      <c r="Y1269" s="2"/>
      <c r="Z1269" s="2"/>
      <c r="AA1269" s="2"/>
      <c r="AB1269" s="2"/>
      <c r="AC1269" s="2"/>
      <c r="AD1269" s="2"/>
      <c r="AE1269" s="2"/>
      <c r="AF1269" s="2"/>
      <c r="AG1269" s="2"/>
      <c r="AH1269" s="2"/>
      <c r="AI1269" s="2"/>
    </row>
    <row r="1270" spans="1:35" ht="14.25" customHeight="1" x14ac:dyDescent="0.2">
      <c r="A1270" s="1">
        <v>18179</v>
      </c>
      <c r="B1270" s="1" t="s">
        <v>192</v>
      </c>
      <c r="C1270" s="1" t="s">
        <v>30</v>
      </c>
      <c r="D1270" s="2">
        <v>41852</v>
      </c>
      <c r="E1270" s="1" t="s">
        <v>22</v>
      </c>
      <c r="F1270" s="1" t="s">
        <v>1281</v>
      </c>
      <c r="G1270" s="1">
        <v>50</v>
      </c>
      <c r="H1270" s="1">
        <v>60.98</v>
      </c>
      <c r="I1270" s="1">
        <f t="shared" si="57"/>
        <v>3049</v>
      </c>
      <c r="J1270" t="str">
        <f t="shared" si="58"/>
        <v>High</v>
      </c>
      <c r="K1270" s="1"/>
      <c r="L1270" s="1">
        <v>0.03</v>
      </c>
      <c r="M1270" s="1">
        <v>1.99</v>
      </c>
      <c r="N1270" s="1" t="s">
        <v>33</v>
      </c>
      <c r="O1270" s="1" t="s">
        <v>84</v>
      </c>
      <c r="P1270" s="2">
        <v>41852</v>
      </c>
      <c r="Q1270" s="2" t="b">
        <f t="shared" si="59"/>
        <v>0</v>
      </c>
      <c r="V1270" s="2"/>
      <c r="W1270" s="2"/>
      <c r="X1270" s="2"/>
      <c r="Y1270" s="2"/>
      <c r="Z1270" s="2"/>
      <c r="AA1270" s="2"/>
      <c r="AB1270" s="2"/>
      <c r="AC1270" s="2"/>
      <c r="AD1270" s="2"/>
      <c r="AE1270" s="2"/>
      <c r="AF1270" s="2"/>
      <c r="AG1270" s="2"/>
      <c r="AH1270" s="2"/>
      <c r="AI1270" s="2"/>
    </row>
    <row r="1271" spans="1:35" ht="14.25" customHeight="1" x14ac:dyDescent="0.2">
      <c r="A1271" s="1">
        <v>18179</v>
      </c>
      <c r="B1271" s="1" t="s">
        <v>192</v>
      </c>
      <c r="C1271" s="1" t="s">
        <v>21</v>
      </c>
      <c r="D1271" s="2">
        <v>41852</v>
      </c>
      <c r="E1271" s="1" t="s">
        <v>22</v>
      </c>
      <c r="F1271" s="1" t="s">
        <v>1134</v>
      </c>
      <c r="G1271" s="1">
        <v>24</v>
      </c>
      <c r="H1271" s="1">
        <v>3.08</v>
      </c>
      <c r="I1271" s="1">
        <f t="shared" si="57"/>
        <v>73.92</v>
      </c>
      <c r="J1271" t="str">
        <f t="shared" si="58"/>
        <v>Low</v>
      </c>
      <c r="K1271" s="1"/>
      <c r="L1271" s="1">
        <v>0.04</v>
      </c>
      <c r="M1271" s="1">
        <v>0.99</v>
      </c>
      <c r="N1271" s="1" t="s">
        <v>33</v>
      </c>
      <c r="O1271" s="1" t="s">
        <v>34</v>
      </c>
      <c r="P1271" s="2">
        <v>41853</v>
      </c>
      <c r="Q1271" s="2" t="b">
        <f t="shared" si="59"/>
        <v>0</v>
      </c>
      <c r="V1271" s="2"/>
      <c r="W1271" s="2"/>
      <c r="X1271" s="2"/>
      <c r="Y1271" s="2"/>
      <c r="Z1271" s="2"/>
      <c r="AA1271" s="2"/>
      <c r="AB1271" s="2"/>
      <c r="AC1271" s="2"/>
      <c r="AD1271" s="2"/>
      <c r="AE1271" s="2"/>
      <c r="AF1271" s="2"/>
      <c r="AG1271" s="2"/>
      <c r="AH1271" s="2"/>
      <c r="AI1271" s="2"/>
    </row>
    <row r="1272" spans="1:35" ht="14.25" customHeight="1" x14ac:dyDescent="0.2">
      <c r="A1272" s="1">
        <v>18179</v>
      </c>
      <c r="B1272" s="1" t="s">
        <v>192</v>
      </c>
      <c r="C1272" s="1" t="s">
        <v>30</v>
      </c>
      <c r="D1272" s="2">
        <v>41852</v>
      </c>
      <c r="E1272" s="1" t="s">
        <v>22</v>
      </c>
      <c r="F1272" s="1" t="s">
        <v>1282</v>
      </c>
      <c r="G1272" s="1">
        <v>50</v>
      </c>
      <c r="H1272" s="1">
        <v>10.31</v>
      </c>
      <c r="I1272" s="1">
        <f t="shared" si="57"/>
        <v>515.5</v>
      </c>
      <c r="J1272" t="str">
        <f t="shared" si="58"/>
        <v>Low</v>
      </c>
      <c r="K1272" s="1"/>
      <c r="L1272" s="1">
        <v>0</v>
      </c>
      <c r="M1272" s="1">
        <v>1.79</v>
      </c>
      <c r="N1272" s="1" t="s">
        <v>33</v>
      </c>
      <c r="O1272" s="1" t="s">
        <v>55</v>
      </c>
      <c r="P1272" s="2">
        <v>41854</v>
      </c>
      <c r="Q1272" s="2" t="b">
        <f t="shared" si="59"/>
        <v>0</v>
      </c>
      <c r="V1272" s="2"/>
      <c r="W1272" s="2"/>
      <c r="X1272" s="2"/>
      <c r="Y1272" s="2"/>
      <c r="Z1272" s="2"/>
      <c r="AA1272" s="2"/>
      <c r="AB1272" s="2"/>
      <c r="AC1272" s="2"/>
      <c r="AD1272" s="2"/>
      <c r="AE1272" s="2"/>
      <c r="AF1272" s="2"/>
      <c r="AG1272" s="2"/>
      <c r="AH1272" s="2"/>
      <c r="AI1272" s="2"/>
    </row>
    <row r="1273" spans="1:35" ht="14.25" customHeight="1" x14ac:dyDescent="0.2">
      <c r="A1273" s="1">
        <v>14311</v>
      </c>
      <c r="B1273" s="1" t="s">
        <v>202</v>
      </c>
      <c r="C1273" s="1" t="s">
        <v>30</v>
      </c>
      <c r="D1273" s="2">
        <v>41852</v>
      </c>
      <c r="E1273" s="1" t="s">
        <v>38</v>
      </c>
      <c r="F1273" s="1" t="s">
        <v>430</v>
      </c>
      <c r="G1273" s="1">
        <v>30</v>
      </c>
      <c r="H1273" s="1">
        <v>6.37</v>
      </c>
      <c r="I1273" s="1">
        <f t="shared" si="57"/>
        <v>191.1</v>
      </c>
      <c r="J1273" t="str">
        <f t="shared" si="58"/>
        <v>Low</v>
      </c>
      <c r="K1273" s="1"/>
      <c r="L1273" s="1">
        <v>0.03</v>
      </c>
      <c r="M1273" s="1">
        <v>5.19</v>
      </c>
      <c r="N1273" s="1" t="s">
        <v>33</v>
      </c>
      <c r="O1273" s="1" t="s">
        <v>34</v>
      </c>
      <c r="P1273" s="2">
        <v>41853</v>
      </c>
      <c r="Q1273" s="2" t="b">
        <f t="shared" si="59"/>
        <v>0</v>
      </c>
      <c r="V1273" s="2"/>
      <c r="W1273" s="2"/>
      <c r="X1273" s="2"/>
      <c r="Y1273" s="2"/>
      <c r="Z1273" s="2"/>
      <c r="AA1273" s="2"/>
      <c r="AB1273" s="2"/>
      <c r="AC1273" s="2"/>
      <c r="AD1273" s="2"/>
      <c r="AE1273" s="2"/>
      <c r="AF1273" s="2"/>
      <c r="AG1273" s="2"/>
      <c r="AH1273" s="2"/>
      <c r="AI1273" s="2"/>
    </row>
    <row r="1274" spans="1:35" ht="14.25" customHeight="1" x14ac:dyDescent="0.2">
      <c r="A1274" s="1">
        <v>26881</v>
      </c>
      <c r="B1274" s="1" t="s">
        <v>1206</v>
      </c>
      <c r="C1274" s="1" t="s">
        <v>51</v>
      </c>
      <c r="D1274" s="2">
        <v>41852</v>
      </c>
      <c r="E1274" s="1" t="s">
        <v>43</v>
      </c>
      <c r="F1274" s="1" t="s">
        <v>1283</v>
      </c>
      <c r="G1274" s="1">
        <v>26</v>
      </c>
      <c r="H1274" s="1">
        <v>424.21</v>
      </c>
      <c r="I1274" s="1">
        <f t="shared" si="57"/>
        <v>11029.46</v>
      </c>
      <c r="J1274" t="str">
        <f t="shared" si="58"/>
        <v>High</v>
      </c>
      <c r="K1274" s="1"/>
      <c r="L1274" s="1">
        <v>0.05</v>
      </c>
      <c r="M1274" s="1">
        <v>110.2</v>
      </c>
      <c r="N1274" s="1" t="s">
        <v>45</v>
      </c>
      <c r="O1274" s="1" t="s">
        <v>63</v>
      </c>
      <c r="P1274" s="2">
        <v>41856</v>
      </c>
      <c r="Q1274" s="2" t="b">
        <f t="shared" si="59"/>
        <v>0</v>
      </c>
      <c r="V1274" s="2"/>
      <c r="W1274" s="2"/>
      <c r="X1274" s="2"/>
      <c r="Y1274" s="2"/>
      <c r="Z1274" s="2"/>
      <c r="AA1274" s="2"/>
      <c r="AB1274" s="2"/>
      <c r="AC1274" s="2"/>
      <c r="AD1274" s="2"/>
      <c r="AE1274" s="2"/>
      <c r="AF1274" s="2"/>
      <c r="AG1274" s="2"/>
      <c r="AH1274" s="2"/>
      <c r="AI1274" s="2"/>
    </row>
    <row r="1275" spans="1:35" ht="14.25" customHeight="1" x14ac:dyDescent="0.2">
      <c r="A1275" s="1">
        <v>24294</v>
      </c>
      <c r="B1275" s="1" t="s">
        <v>1284</v>
      </c>
      <c r="C1275" s="1" t="s">
        <v>30</v>
      </c>
      <c r="D1275" s="2">
        <v>41853</v>
      </c>
      <c r="E1275" s="1" t="s">
        <v>22</v>
      </c>
      <c r="F1275" s="1" t="s">
        <v>1285</v>
      </c>
      <c r="G1275" s="1">
        <v>24</v>
      </c>
      <c r="H1275" s="1">
        <v>200.97</v>
      </c>
      <c r="I1275" s="1">
        <f t="shared" si="57"/>
        <v>4823.28</v>
      </c>
      <c r="J1275" t="str">
        <f t="shared" si="58"/>
        <v>High</v>
      </c>
      <c r="K1275" s="1"/>
      <c r="L1275" s="1">
        <v>0.03</v>
      </c>
      <c r="M1275" s="1">
        <v>15.59</v>
      </c>
      <c r="N1275" s="1" t="s">
        <v>45</v>
      </c>
      <c r="O1275" s="1" t="s">
        <v>46</v>
      </c>
      <c r="P1275" s="2">
        <v>41854</v>
      </c>
      <c r="Q1275" s="2" t="b">
        <f t="shared" si="59"/>
        <v>0</v>
      </c>
      <c r="V1275" s="2"/>
      <c r="W1275" s="2"/>
      <c r="X1275" s="2"/>
      <c r="Y1275" s="2"/>
      <c r="Z1275" s="2"/>
      <c r="AA1275" s="2"/>
      <c r="AB1275" s="2"/>
      <c r="AC1275" s="2"/>
      <c r="AD1275" s="2"/>
      <c r="AE1275" s="2"/>
      <c r="AF1275" s="2"/>
      <c r="AG1275" s="2"/>
      <c r="AH1275" s="2"/>
      <c r="AI1275" s="2"/>
    </row>
    <row r="1276" spans="1:35" ht="14.25" customHeight="1" x14ac:dyDescent="0.2">
      <c r="A1276" s="1">
        <v>54567</v>
      </c>
      <c r="B1276" s="1" t="s">
        <v>491</v>
      </c>
      <c r="C1276" s="1" t="s">
        <v>30</v>
      </c>
      <c r="D1276" s="2">
        <v>41853</v>
      </c>
      <c r="E1276" s="1" t="s">
        <v>101</v>
      </c>
      <c r="F1276" s="1" t="s">
        <v>1286</v>
      </c>
      <c r="G1276" s="1">
        <v>31</v>
      </c>
      <c r="H1276" s="1">
        <v>6.28</v>
      </c>
      <c r="I1276" s="1">
        <f t="shared" si="57"/>
        <v>194.68</v>
      </c>
      <c r="J1276" t="str">
        <f t="shared" si="58"/>
        <v>Low</v>
      </c>
      <c r="K1276" s="1"/>
      <c r="L1276" s="1">
        <v>0.09</v>
      </c>
      <c r="M1276" s="1">
        <v>5.41</v>
      </c>
      <c r="N1276" s="1" t="s">
        <v>33</v>
      </c>
      <c r="O1276" s="1" t="s">
        <v>34</v>
      </c>
      <c r="P1276" s="2">
        <v>41855</v>
      </c>
      <c r="Q1276" s="2" t="b">
        <f t="shared" si="59"/>
        <v>0</v>
      </c>
      <c r="V1276" s="2"/>
      <c r="W1276" s="2"/>
      <c r="X1276" s="2"/>
      <c r="Y1276" s="2"/>
      <c r="Z1276" s="2"/>
      <c r="AA1276" s="2"/>
      <c r="AB1276" s="2"/>
      <c r="AC1276" s="2"/>
      <c r="AD1276" s="2"/>
      <c r="AE1276" s="2"/>
      <c r="AF1276" s="2"/>
      <c r="AG1276" s="2"/>
      <c r="AH1276" s="2"/>
      <c r="AI1276" s="2"/>
    </row>
    <row r="1277" spans="1:35" ht="14.25" customHeight="1" x14ac:dyDescent="0.2">
      <c r="A1277" s="1">
        <v>55298</v>
      </c>
      <c r="B1277" s="1" t="s">
        <v>1223</v>
      </c>
      <c r="C1277" s="1" t="s">
        <v>51</v>
      </c>
      <c r="D1277" s="2">
        <v>41853</v>
      </c>
      <c r="E1277" s="1" t="s">
        <v>38</v>
      </c>
      <c r="F1277" s="1" t="s">
        <v>523</v>
      </c>
      <c r="G1277" s="1">
        <v>1</v>
      </c>
      <c r="H1277" s="1">
        <v>300.98</v>
      </c>
      <c r="I1277" s="1">
        <f t="shared" si="57"/>
        <v>300.98</v>
      </c>
      <c r="J1277" t="str">
        <f t="shared" si="58"/>
        <v>Low</v>
      </c>
      <c r="K1277" s="1"/>
      <c r="L1277" s="1">
        <v>0.01</v>
      </c>
      <c r="M1277" s="1">
        <v>64.73</v>
      </c>
      <c r="N1277" s="1" t="s">
        <v>45</v>
      </c>
      <c r="O1277" s="1" t="s">
        <v>46</v>
      </c>
      <c r="P1277" s="2">
        <v>41854</v>
      </c>
      <c r="Q1277" s="2" t="b">
        <f t="shared" si="59"/>
        <v>0</v>
      </c>
      <c r="V1277" s="2"/>
      <c r="W1277" s="2"/>
      <c r="X1277" s="2"/>
      <c r="Y1277" s="2"/>
      <c r="Z1277" s="2"/>
      <c r="AA1277" s="2"/>
      <c r="AB1277" s="2"/>
      <c r="AC1277" s="2"/>
      <c r="AD1277" s="2"/>
      <c r="AE1277" s="2"/>
      <c r="AF1277" s="2"/>
      <c r="AG1277" s="2"/>
      <c r="AH1277" s="2"/>
      <c r="AI1277" s="2"/>
    </row>
    <row r="1278" spans="1:35" ht="14.25" customHeight="1" x14ac:dyDescent="0.2">
      <c r="A1278" s="1">
        <v>39589</v>
      </c>
      <c r="B1278" s="1" t="s">
        <v>147</v>
      </c>
      <c r="C1278" s="1" t="s">
        <v>21</v>
      </c>
      <c r="D1278" s="2">
        <v>41853</v>
      </c>
      <c r="E1278" s="1" t="s">
        <v>38</v>
      </c>
      <c r="F1278" s="1" t="s">
        <v>389</v>
      </c>
      <c r="G1278" s="1">
        <v>42</v>
      </c>
      <c r="H1278" s="1">
        <v>12.97</v>
      </c>
      <c r="I1278" s="1">
        <f t="shared" si="57"/>
        <v>544.74</v>
      </c>
      <c r="J1278" t="str">
        <f t="shared" si="58"/>
        <v>Low</v>
      </c>
      <c r="K1278" s="1"/>
      <c r="L1278" s="1">
        <v>0</v>
      </c>
      <c r="M1278" s="1">
        <v>1.49</v>
      </c>
      <c r="N1278" s="1" t="s">
        <v>33</v>
      </c>
      <c r="O1278" s="1" t="s">
        <v>34</v>
      </c>
      <c r="P1278" s="2">
        <v>41854</v>
      </c>
      <c r="Q1278" s="2" t="b">
        <f t="shared" si="59"/>
        <v>0</v>
      </c>
      <c r="V1278" s="2"/>
      <c r="W1278" s="2"/>
      <c r="X1278" s="2"/>
      <c r="Y1278" s="2"/>
      <c r="Z1278" s="2"/>
      <c r="AA1278" s="2"/>
      <c r="AB1278" s="2"/>
      <c r="AC1278" s="2"/>
      <c r="AD1278" s="2"/>
      <c r="AE1278" s="2"/>
      <c r="AF1278" s="2"/>
      <c r="AG1278" s="2"/>
      <c r="AH1278" s="2"/>
      <c r="AI1278" s="2"/>
    </row>
    <row r="1279" spans="1:35" ht="14.25" customHeight="1" x14ac:dyDescent="0.2">
      <c r="A1279" s="1">
        <v>39589</v>
      </c>
      <c r="B1279" s="1" t="s">
        <v>147</v>
      </c>
      <c r="C1279" s="1" t="s">
        <v>30</v>
      </c>
      <c r="D1279" s="2">
        <v>41853</v>
      </c>
      <c r="E1279" s="1" t="s">
        <v>38</v>
      </c>
      <c r="F1279" s="1" t="s">
        <v>287</v>
      </c>
      <c r="G1279" s="1">
        <v>20</v>
      </c>
      <c r="H1279" s="1">
        <v>4.91</v>
      </c>
      <c r="I1279" s="1">
        <f t="shared" si="57"/>
        <v>98.2</v>
      </c>
      <c r="J1279" t="str">
        <f t="shared" si="58"/>
        <v>Low</v>
      </c>
      <c r="K1279" s="1"/>
      <c r="L1279" s="1">
        <v>0.06</v>
      </c>
      <c r="M1279" s="1">
        <v>0.5</v>
      </c>
      <c r="N1279" s="1" t="s">
        <v>33</v>
      </c>
      <c r="O1279" s="1" t="s">
        <v>34</v>
      </c>
      <c r="P1279" s="2">
        <v>41853</v>
      </c>
      <c r="Q1279" s="2" t="b">
        <f t="shared" si="59"/>
        <v>0</v>
      </c>
      <c r="V1279" s="2"/>
      <c r="W1279" s="2"/>
      <c r="X1279" s="2"/>
      <c r="Y1279" s="2"/>
      <c r="Z1279" s="2"/>
      <c r="AA1279" s="2"/>
      <c r="AB1279" s="2"/>
      <c r="AC1279" s="2"/>
      <c r="AD1279" s="2"/>
      <c r="AE1279" s="2"/>
      <c r="AF1279" s="2"/>
      <c r="AG1279" s="2"/>
      <c r="AH1279" s="2"/>
      <c r="AI1279" s="2"/>
    </row>
    <row r="1280" spans="1:35" ht="14.25" customHeight="1" x14ac:dyDescent="0.2">
      <c r="A1280" s="1">
        <v>45539</v>
      </c>
      <c r="B1280" s="1" t="s">
        <v>796</v>
      </c>
      <c r="C1280" s="1" t="s">
        <v>51</v>
      </c>
      <c r="D1280" s="2">
        <v>41853</v>
      </c>
      <c r="E1280" s="1" t="s">
        <v>22</v>
      </c>
      <c r="F1280" s="1" t="s">
        <v>249</v>
      </c>
      <c r="G1280" s="1">
        <v>15</v>
      </c>
      <c r="H1280" s="1">
        <v>16.48</v>
      </c>
      <c r="I1280" s="1">
        <f t="shared" si="57"/>
        <v>247.20000000000002</v>
      </c>
      <c r="J1280" t="str">
        <f t="shared" si="58"/>
        <v>Low</v>
      </c>
      <c r="K1280" s="1"/>
      <c r="L1280" s="1">
        <v>0.02</v>
      </c>
      <c r="M1280" s="1">
        <v>1.99</v>
      </c>
      <c r="N1280" s="1" t="s">
        <v>25</v>
      </c>
      <c r="O1280" s="1" t="s">
        <v>84</v>
      </c>
      <c r="P1280" s="2">
        <v>41855</v>
      </c>
      <c r="Q1280" s="2" t="b">
        <f t="shared" si="59"/>
        <v>0</v>
      </c>
      <c r="V1280" s="2"/>
      <c r="W1280" s="2"/>
      <c r="X1280" s="2"/>
      <c r="Y1280" s="2"/>
      <c r="Z1280" s="2"/>
      <c r="AA1280" s="2"/>
      <c r="AB1280" s="2"/>
      <c r="AC1280" s="2"/>
      <c r="AD1280" s="2"/>
      <c r="AE1280" s="2"/>
      <c r="AF1280" s="2"/>
      <c r="AG1280" s="2"/>
      <c r="AH1280" s="2"/>
      <c r="AI1280" s="2"/>
    </row>
    <row r="1281" spans="1:35" ht="14.25" customHeight="1" x14ac:dyDescent="0.2">
      <c r="A1281" s="1">
        <v>45539</v>
      </c>
      <c r="B1281" s="1" t="s">
        <v>796</v>
      </c>
      <c r="C1281" s="1" t="s">
        <v>30</v>
      </c>
      <c r="D1281" s="2">
        <v>41853</v>
      </c>
      <c r="E1281" s="1" t="s">
        <v>22</v>
      </c>
      <c r="F1281" s="1" t="s">
        <v>893</v>
      </c>
      <c r="G1281" s="1">
        <v>27</v>
      </c>
      <c r="H1281" s="1">
        <v>3.38</v>
      </c>
      <c r="I1281" s="1">
        <f t="shared" si="57"/>
        <v>91.259999999999991</v>
      </c>
      <c r="J1281" t="str">
        <f t="shared" si="58"/>
        <v>Low</v>
      </c>
      <c r="K1281" s="1"/>
      <c r="L1281" s="1">
        <v>0.08</v>
      </c>
      <c r="M1281" s="1">
        <v>0.85</v>
      </c>
      <c r="N1281" s="1" t="s">
        <v>33</v>
      </c>
      <c r="O1281" s="1" t="s">
        <v>55</v>
      </c>
      <c r="P1281" s="2">
        <v>41855</v>
      </c>
      <c r="Q1281" s="2" t="b">
        <f t="shared" si="59"/>
        <v>0</v>
      </c>
      <c r="V1281" s="2"/>
      <c r="W1281" s="2"/>
      <c r="X1281" s="2"/>
      <c r="Y1281" s="2"/>
      <c r="Z1281" s="2"/>
      <c r="AA1281" s="2"/>
      <c r="AB1281" s="2"/>
      <c r="AC1281" s="2"/>
      <c r="AD1281" s="2"/>
      <c r="AE1281" s="2"/>
      <c r="AF1281" s="2"/>
      <c r="AG1281" s="2"/>
      <c r="AH1281" s="2"/>
      <c r="AI1281" s="2"/>
    </row>
    <row r="1282" spans="1:35" ht="14.25" customHeight="1" x14ac:dyDescent="0.2">
      <c r="A1282" s="1">
        <v>38978</v>
      </c>
      <c r="B1282" s="1" t="s">
        <v>411</v>
      </c>
      <c r="C1282" s="1" t="s">
        <v>51</v>
      </c>
      <c r="D1282" s="2">
        <v>41854</v>
      </c>
      <c r="E1282" s="1" t="s">
        <v>43</v>
      </c>
      <c r="F1282" s="1" t="s">
        <v>1287</v>
      </c>
      <c r="G1282" s="1">
        <v>24</v>
      </c>
      <c r="H1282" s="1">
        <v>180.98</v>
      </c>
      <c r="I1282" s="1">
        <f t="shared" ref="I1282:I1345" si="60">G1282*H1282</f>
        <v>4343.5199999999995</v>
      </c>
      <c r="J1282" t="str">
        <f t="shared" ref="J1282:J1345" si="61">IF(I1282&lt;1000,"Low","High")</f>
        <v>High</v>
      </c>
      <c r="K1282" s="1"/>
      <c r="L1282" s="1">
        <v>0</v>
      </c>
      <c r="M1282" s="1">
        <v>30</v>
      </c>
      <c r="N1282" s="1" t="s">
        <v>45</v>
      </c>
      <c r="O1282" s="1" t="s">
        <v>46</v>
      </c>
      <c r="P1282" s="2">
        <v>41856</v>
      </c>
      <c r="Q1282" s="2" t="b">
        <f t="shared" ref="Q1282:Q1345" si="62">AND(N1282="Express Air",O1282="Large Box")</f>
        <v>0</v>
      </c>
      <c r="V1282" s="2"/>
      <c r="W1282" s="2"/>
      <c r="X1282" s="2"/>
      <c r="Y1282" s="2"/>
      <c r="Z1282" s="2"/>
      <c r="AA1282" s="2"/>
      <c r="AB1282" s="2"/>
      <c r="AC1282" s="2"/>
      <c r="AD1282" s="2"/>
      <c r="AE1282" s="2"/>
      <c r="AF1282" s="2"/>
      <c r="AG1282" s="2"/>
      <c r="AH1282" s="2"/>
      <c r="AI1282" s="2"/>
    </row>
    <row r="1283" spans="1:35" ht="14.25" customHeight="1" x14ac:dyDescent="0.2">
      <c r="A1283" s="1">
        <v>56516</v>
      </c>
      <c r="B1283" s="1" t="s">
        <v>982</v>
      </c>
      <c r="C1283" s="1" t="s">
        <v>21</v>
      </c>
      <c r="D1283" s="2">
        <v>41854</v>
      </c>
      <c r="E1283" s="1" t="s">
        <v>101</v>
      </c>
      <c r="F1283" s="1" t="s">
        <v>706</v>
      </c>
      <c r="G1283" s="1">
        <v>6</v>
      </c>
      <c r="H1283" s="1">
        <v>3.98</v>
      </c>
      <c r="I1283" s="1">
        <f t="shared" si="60"/>
        <v>23.88</v>
      </c>
      <c r="J1283" t="str">
        <f t="shared" si="61"/>
        <v>Low</v>
      </c>
      <c r="K1283" s="1"/>
      <c r="L1283" s="1">
        <v>0.08</v>
      </c>
      <c r="M1283" s="1">
        <v>5.26</v>
      </c>
      <c r="N1283" s="1" t="s">
        <v>33</v>
      </c>
      <c r="O1283" s="1" t="s">
        <v>34</v>
      </c>
      <c r="P1283" s="2">
        <v>41855</v>
      </c>
      <c r="Q1283" s="2" t="b">
        <f t="shared" si="62"/>
        <v>0</v>
      </c>
      <c r="V1283" s="2"/>
      <c r="W1283" s="2"/>
      <c r="X1283" s="2"/>
      <c r="Y1283" s="2"/>
      <c r="Z1283" s="2"/>
      <c r="AA1283" s="2"/>
      <c r="AB1283" s="2"/>
      <c r="AC1283" s="2"/>
      <c r="AD1283" s="2"/>
      <c r="AE1283" s="2"/>
      <c r="AF1283" s="2"/>
      <c r="AG1283" s="2"/>
      <c r="AH1283" s="2"/>
      <c r="AI1283" s="2"/>
    </row>
    <row r="1284" spans="1:35" ht="14.25" customHeight="1" x14ac:dyDescent="0.2">
      <c r="A1284" s="1">
        <v>56516</v>
      </c>
      <c r="B1284" s="1" t="s">
        <v>982</v>
      </c>
      <c r="C1284" s="1" t="s">
        <v>30</v>
      </c>
      <c r="D1284" s="2">
        <v>41854</v>
      </c>
      <c r="E1284" s="1" t="s">
        <v>101</v>
      </c>
      <c r="F1284" s="1" t="s">
        <v>623</v>
      </c>
      <c r="G1284" s="1">
        <v>24</v>
      </c>
      <c r="H1284" s="1">
        <v>125.99</v>
      </c>
      <c r="I1284" s="1">
        <f t="shared" si="60"/>
        <v>3023.7599999999998</v>
      </c>
      <c r="J1284" t="str">
        <f t="shared" si="61"/>
        <v>High</v>
      </c>
      <c r="K1284" s="1"/>
      <c r="L1284" s="1">
        <v>0.06</v>
      </c>
      <c r="M1284" s="1">
        <v>2.5</v>
      </c>
      <c r="N1284" s="1" t="s">
        <v>33</v>
      </c>
      <c r="O1284" s="1" t="s">
        <v>34</v>
      </c>
      <c r="P1284" s="2">
        <v>41856</v>
      </c>
      <c r="Q1284" s="2" t="b">
        <f t="shared" si="62"/>
        <v>0</v>
      </c>
      <c r="V1284" s="2"/>
      <c r="W1284" s="2"/>
      <c r="X1284" s="2"/>
      <c r="Y1284" s="2"/>
      <c r="Z1284" s="2"/>
      <c r="AA1284" s="2"/>
      <c r="AB1284" s="2"/>
      <c r="AC1284" s="2"/>
      <c r="AD1284" s="2"/>
      <c r="AE1284" s="2"/>
      <c r="AF1284" s="2"/>
      <c r="AG1284" s="2"/>
      <c r="AH1284" s="2"/>
      <c r="AI1284" s="2"/>
    </row>
    <row r="1285" spans="1:35" ht="14.25" customHeight="1" x14ac:dyDescent="0.2">
      <c r="A1285" s="1">
        <v>16419</v>
      </c>
      <c r="B1285" s="1" t="s">
        <v>367</v>
      </c>
      <c r="C1285" s="1" t="s">
        <v>21</v>
      </c>
      <c r="D1285" s="2">
        <v>41855</v>
      </c>
      <c r="E1285" s="1" t="s">
        <v>22</v>
      </c>
      <c r="F1285" s="1" t="s">
        <v>1241</v>
      </c>
      <c r="G1285" s="1">
        <v>43</v>
      </c>
      <c r="H1285" s="1">
        <v>5.78</v>
      </c>
      <c r="I1285" s="1">
        <f t="shared" si="60"/>
        <v>248.54000000000002</v>
      </c>
      <c r="J1285" t="str">
        <f t="shared" si="61"/>
        <v>Low</v>
      </c>
      <c r="K1285" s="1"/>
      <c r="L1285" s="1">
        <v>0.08</v>
      </c>
      <c r="M1285" s="1">
        <v>5.67</v>
      </c>
      <c r="N1285" s="1" t="s">
        <v>33</v>
      </c>
      <c r="O1285" s="1" t="s">
        <v>34</v>
      </c>
      <c r="P1285" s="2">
        <v>41856</v>
      </c>
      <c r="Q1285" s="2" t="b">
        <f t="shared" si="62"/>
        <v>0</v>
      </c>
      <c r="V1285" s="2"/>
      <c r="W1285" s="2"/>
      <c r="X1285" s="2"/>
      <c r="Y1285" s="2"/>
      <c r="Z1285" s="2"/>
      <c r="AA1285" s="2"/>
      <c r="AB1285" s="2"/>
      <c r="AC1285" s="2"/>
      <c r="AD1285" s="2"/>
      <c r="AE1285" s="2"/>
      <c r="AF1285" s="2"/>
      <c r="AG1285" s="2"/>
      <c r="AH1285" s="2"/>
      <c r="AI1285" s="2"/>
    </row>
    <row r="1286" spans="1:35" ht="14.25" customHeight="1" x14ac:dyDescent="0.2">
      <c r="A1286" s="1">
        <v>12389</v>
      </c>
      <c r="B1286" s="1" t="s">
        <v>1200</v>
      </c>
      <c r="C1286" s="1" t="s">
        <v>21</v>
      </c>
      <c r="D1286" s="2">
        <v>41855</v>
      </c>
      <c r="E1286" s="1" t="s">
        <v>101</v>
      </c>
      <c r="F1286" s="1" t="s">
        <v>1288</v>
      </c>
      <c r="G1286" s="1">
        <v>34</v>
      </c>
      <c r="H1286" s="1">
        <v>80.98</v>
      </c>
      <c r="I1286" s="1">
        <f t="shared" si="60"/>
        <v>2753.32</v>
      </c>
      <c r="J1286" t="str">
        <f t="shared" si="61"/>
        <v>High</v>
      </c>
      <c r="K1286" s="1"/>
      <c r="L1286" s="1">
        <v>7.0000000000000007E-2</v>
      </c>
      <c r="M1286" s="1">
        <v>7.18</v>
      </c>
      <c r="N1286" s="1" t="s">
        <v>33</v>
      </c>
      <c r="O1286" s="1" t="s">
        <v>34</v>
      </c>
      <c r="P1286" s="2">
        <v>41857</v>
      </c>
      <c r="Q1286" s="2" t="b">
        <f t="shared" si="62"/>
        <v>0</v>
      </c>
      <c r="V1286" s="2"/>
      <c r="W1286" s="2"/>
      <c r="X1286" s="2"/>
      <c r="Y1286" s="2"/>
      <c r="Z1286" s="2"/>
      <c r="AA1286" s="2"/>
      <c r="AB1286" s="2"/>
      <c r="AC1286" s="2"/>
      <c r="AD1286" s="2"/>
      <c r="AE1286" s="2"/>
      <c r="AF1286" s="2"/>
      <c r="AG1286" s="2"/>
      <c r="AH1286" s="2"/>
      <c r="AI1286" s="2"/>
    </row>
    <row r="1287" spans="1:35" ht="14.25" customHeight="1" x14ac:dyDescent="0.2">
      <c r="A1287" s="1">
        <v>12389</v>
      </c>
      <c r="B1287" s="1" t="s">
        <v>1200</v>
      </c>
      <c r="C1287" s="1" t="s">
        <v>21</v>
      </c>
      <c r="D1287" s="2">
        <v>41855</v>
      </c>
      <c r="E1287" s="1" t="s">
        <v>101</v>
      </c>
      <c r="F1287" s="1" t="s">
        <v>1289</v>
      </c>
      <c r="G1287" s="1">
        <v>16</v>
      </c>
      <c r="H1287" s="1">
        <v>11.35</v>
      </c>
      <c r="I1287" s="1">
        <f t="shared" si="60"/>
        <v>181.6</v>
      </c>
      <c r="J1287" t="str">
        <f t="shared" si="61"/>
        <v>Low</v>
      </c>
      <c r="K1287" s="1"/>
      <c r="L1287" s="1">
        <v>0.08</v>
      </c>
      <c r="M1287" s="1">
        <v>8.6</v>
      </c>
      <c r="N1287" s="1" t="s">
        <v>33</v>
      </c>
      <c r="O1287" s="1" t="s">
        <v>34</v>
      </c>
      <c r="P1287" s="2">
        <v>41856</v>
      </c>
      <c r="Q1287" s="2" t="b">
        <f t="shared" si="62"/>
        <v>0</v>
      </c>
      <c r="V1287" s="2"/>
      <c r="W1287" s="2"/>
      <c r="X1287" s="2"/>
      <c r="Y1287" s="2"/>
      <c r="Z1287" s="2"/>
      <c r="AA1287" s="2"/>
      <c r="AB1287" s="2"/>
      <c r="AC1287" s="2"/>
      <c r="AD1287" s="2"/>
      <c r="AE1287" s="2"/>
      <c r="AF1287" s="2"/>
      <c r="AG1287" s="2"/>
      <c r="AH1287" s="2"/>
      <c r="AI1287" s="2"/>
    </row>
    <row r="1288" spans="1:35" ht="14.25" customHeight="1" x14ac:dyDescent="0.2">
      <c r="A1288" s="1">
        <v>57504</v>
      </c>
      <c r="B1288" s="1" t="s">
        <v>1290</v>
      </c>
      <c r="C1288" s="1" t="s">
        <v>30</v>
      </c>
      <c r="D1288" s="2">
        <v>41855</v>
      </c>
      <c r="E1288" s="1" t="s">
        <v>22</v>
      </c>
      <c r="F1288" s="1" t="s">
        <v>257</v>
      </c>
      <c r="G1288" s="1">
        <v>44</v>
      </c>
      <c r="H1288" s="1">
        <v>7.64</v>
      </c>
      <c r="I1288" s="1">
        <f t="shared" si="60"/>
        <v>336.15999999999997</v>
      </c>
      <c r="J1288" t="str">
        <f t="shared" si="61"/>
        <v>Low</v>
      </c>
      <c r="K1288" s="1"/>
      <c r="L1288" s="1">
        <v>0.01</v>
      </c>
      <c r="M1288" s="1">
        <v>1.39</v>
      </c>
      <c r="N1288" s="1" t="s">
        <v>33</v>
      </c>
      <c r="O1288" s="1" t="s">
        <v>34</v>
      </c>
      <c r="P1288" s="2">
        <v>41858</v>
      </c>
      <c r="Q1288" s="2" t="b">
        <f t="shared" si="62"/>
        <v>0</v>
      </c>
      <c r="V1288" s="2"/>
      <c r="W1288" s="2"/>
      <c r="X1288" s="2"/>
      <c r="Y1288" s="2"/>
      <c r="Z1288" s="2"/>
      <c r="AA1288" s="2"/>
      <c r="AB1288" s="2"/>
      <c r="AC1288" s="2"/>
      <c r="AD1288" s="2"/>
      <c r="AE1288" s="2"/>
      <c r="AF1288" s="2"/>
      <c r="AG1288" s="2"/>
      <c r="AH1288" s="2"/>
      <c r="AI1288" s="2"/>
    </row>
    <row r="1289" spans="1:35" ht="14.25" customHeight="1" x14ac:dyDescent="0.2">
      <c r="A1289" s="1">
        <v>50981</v>
      </c>
      <c r="B1289" s="1" t="s">
        <v>334</v>
      </c>
      <c r="C1289" s="1" t="s">
        <v>30</v>
      </c>
      <c r="D1289" s="2">
        <v>41855</v>
      </c>
      <c r="E1289" s="1" t="s">
        <v>38</v>
      </c>
      <c r="F1289" s="1" t="s">
        <v>1205</v>
      </c>
      <c r="G1289" s="1">
        <v>42</v>
      </c>
      <c r="H1289" s="1">
        <v>155.99</v>
      </c>
      <c r="I1289" s="1">
        <f t="shared" si="60"/>
        <v>6551.58</v>
      </c>
      <c r="J1289" t="str">
        <f t="shared" si="61"/>
        <v>High</v>
      </c>
      <c r="K1289" s="1"/>
      <c r="L1289" s="1">
        <v>0.01</v>
      </c>
      <c r="M1289" s="1">
        <v>8.99</v>
      </c>
      <c r="N1289" s="1" t="s">
        <v>33</v>
      </c>
      <c r="O1289" s="1" t="s">
        <v>34</v>
      </c>
      <c r="P1289" s="2">
        <v>41855</v>
      </c>
      <c r="Q1289" s="2" t="b">
        <f t="shared" si="62"/>
        <v>0</v>
      </c>
      <c r="V1289" s="2"/>
      <c r="W1289" s="2"/>
      <c r="X1289" s="2"/>
      <c r="Y1289" s="2"/>
      <c r="Z1289" s="2"/>
      <c r="AA1289" s="2"/>
      <c r="AB1289" s="2"/>
      <c r="AC1289" s="2"/>
      <c r="AD1289" s="2"/>
      <c r="AE1289" s="2"/>
      <c r="AF1289" s="2"/>
      <c r="AG1289" s="2"/>
      <c r="AH1289" s="2"/>
      <c r="AI1289" s="2"/>
    </row>
    <row r="1290" spans="1:35" ht="14.25" customHeight="1" x14ac:dyDescent="0.2">
      <c r="A1290" s="1">
        <v>11714</v>
      </c>
      <c r="B1290" s="1" t="s">
        <v>1070</v>
      </c>
      <c r="C1290" s="1" t="s">
        <v>30</v>
      </c>
      <c r="D1290" s="2">
        <v>41855</v>
      </c>
      <c r="E1290" s="1" t="s">
        <v>38</v>
      </c>
      <c r="F1290" s="1" t="s">
        <v>1273</v>
      </c>
      <c r="G1290" s="1">
        <v>1</v>
      </c>
      <c r="H1290" s="1">
        <v>3502.14</v>
      </c>
      <c r="I1290" s="1">
        <f t="shared" si="60"/>
        <v>3502.14</v>
      </c>
      <c r="J1290" t="str">
        <f t="shared" si="61"/>
        <v>High</v>
      </c>
      <c r="K1290" s="1"/>
      <c r="L1290" s="1">
        <v>0.01</v>
      </c>
      <c r="M1290" s="1">
        <v>8.73</v>
      </c>
      <c r="N1290" s="1" t="s">
        <v>45</v>
      </c>
      <c r="O1290" s="1" t="s">
        <v>63</v>
      </c>
      <c r="P1290" s="2">
        <v>41856</v>
      </c>
      <c r="Q1290" s="2" t="b">
        <f t="shared" si="62"/>
        <v>0</v>
      </c>
      <c r="V1290" s="2"/>
      <c r="W1290" s="2"/>
      <c r="X1290" s="2"/>
      <c r="Y1290" s="2"/>
      <c r="Z1290" s="2"/>
      <c r="AA1290" s="2"/>
      <c r="AB1290" s="2"/>
      <c r="AC1290" s="2"/>
      <c r="AD1290" s="2"/>
      <c r="AE1290" s="2"/>
      <c r="AF1290" s="2"/>
      <c r="AG1290" s="2"/>
      <c r="AH1290" s="2"/>
      <c r="AI1290" s="2"/>
    </row>
    <row r="1291" spans="1:35" ht="14.25" customHeight="1" x14ac:dyDescent="0.2">
      <c r="A1291" s="1">
        <v>11714</v>
      </c>
      <c r="B1291" s="1" t="s">
        <v>1070</v>
      </c>
      <c r="C1291" s="1" t="s">
        <v>30</v>
      </c>
      <c r="D1291" s="2">
        <v>41855</v>
      </c>
      <c r="E1291" s="1" t="s">
        <v>38</v>
      </c>
      <c r="F1291" s="1" t="s">
        <v>1291</v>
      </c>
      <c r="G1291" s="1">
        <v>9</v>
      </c>
      <c r="H1291" s="1">
        <v>15.73</v>
      </c>
      <c r="I1291" s="1">
        <f t="shared" si="60"/>
        <v>141.57</v>
      </c>
      <c r="J1291" t="str">
        <f t="shared" si="61"/>
        <v>Low</v>
      </c>
      <c r="K1291" s="1"/>
      <c r="L1291" s="1">
        <v>0.06</v>
      </c>
      <c r="M1291" s="1">
        <v>7.42</v>
      </c>
      <c r="N1291" s="1" t="s">
        <v>33</v>
      </c>
      <c r="O1291" s="1" t="s">
        <v>84</v>
      </c>
      <c r="P1291" s="2">
        <v>41856</v>
      </c>
      <c r="Q1291" s="2" t="b">
        <f t="shared" si="62"/>
        <v>0</v>
      </c>
      <c r="V1291" s="2"/>
      <c r="W1291" s="2"/>
      <c r="X1291" s="2"/>
      <c r="Y1291" s="2"/>
      <c r="Z1291" s="2"/>
      <c r="AA1291" s="2"/>
      <c r="AB1291" s="2"/>
      <c r="AC1291" s="2"/>
      <c r="AD1291" s="2"/>
      <c r="AE1291" s="2"/>
      <c r="AF1291" s="2"/>
      <c r="AG1291" s="2"/>
      <c r="AH1291" s="2"/>
      <c r="AI1291" s="2"/>
    </row>
    <row r="1292" spans="1:35" ht="14.25" customHeight="1" x14ac:dyDescent="0.2">
      <c r="A1292" s="1">
        <v>37319</v>
      </c>
      <c r="B1292" s="1" t="s">
        <v>310</v>
      </c>
      <c r="C1292" s="1" t="s">
        <v>30</v>
      </c>
      <c r="D1292" s="2">
        <v>41855</v>
      </c>
      <c r="E1292" s="1" t="s">
        <v>38</v>
      </c>
      <c r="F1292" s="1" t="s">
        <v>1127</v>
      </c>
      <c r="G1292" s="1">
        <v>37</v>
      </c>
      <c r="H1292" s="1">
        <v>10.89</v>
      </c>
      <c r="I1292" s="1">
        <f t="shared" si="60"/>
        <v>402.93</v>
      </c>
      <c r="J1292" t="str">
        <f t="shared" si="61"/>
        <v>Low</v>
      </c>
      <c r="K1292" s="1"/>
      <c r="L1292" s="1">
        <v>0.1</v>
      </c>
      <c r="M1292" s="1">
        <v>4.5</v>
      </c>
      <c r="N1292" s="1" t="s">
        <v>33</v>
      </c>
      <c r="O1292" s="1" t="s">
        <v>34</v>
      </c>
      <c r="P1292" s="2">
        <v>41857</v>
      </c>
      <c r="Q1292" s="2" t="b">
        <f t="shared" si="62"/>
        <v>0</v>
      </c>
      <c r="V1292" s="2"/>
      <c r="W1292" s="2"/>
      <c r="X1292" s="2"/>
      <c r="Y1292" s="2"/>
      <c r="Z1292" s="2"/>
      <c r="AA1292" s="2"/>
      <c r="AB1292" s="2"/>
      <c r="AC1292" s="2"/>
      <c r="AD1292" s="2"/>
      <c r="AE1292" s="2"/>
      <c r="AF1292" s="2"/>
      <c r="AG1292" s="2"/>
      <c r="AH1292" s="2"/>
      <c r="AI1292" s="2"/>
    </row>
    <row r="1293" spans="1:35" ht="14.25" customHeight="1" x14ac:dyDescent="0.2">
      <c r="A1293" s="1">
        <v>20007</v>
      </c>
      <c r="B1293" s="1" t="s">
        <v>491</v>
      </c>
      <c r="C1293" s="1" t="s">
        <v>21</v>
      </c>
      <c r="D1293" s="2">
        <v>41856</v>
      </c>
      <c r="E1293" s="1" t="s">
        <v>22</v>
      </c>
      <c r="F1293" s="1" t="s">
        <v>245</v>
      </c>
      <c r="G1293" s="1">
        <v>49</v>
      </c>
      <c r="H1293" s="1">
        <v>1.68</v>
      </c>
      <c r="I1293" s="1">
        <f t="shared" si="60"/>
        <v>82.32</v>
      </c>
      <c r="J1293" t="str">
        <f t="shared" si="61"/>
        <v>Low</v>
      </c>
      <c r="K1293" s="1"/>
      <c r="L1293" s="1">
        <v>0.08</v>
      </c>
      <c r="M1293" s="1">
        <v>1.57</v>
      </c>
      <c r="N1293" s="1" t="s">
        <v>33</v>
      </c>
      <c r="O1293" s="1" t="s">
        <v>55</v>
      </c>
      <c r="P1293" s="2">
        <v>41857</v>
      </c>
      <c r="Q1293" s="2" t="b">
        <f t="shared" si="62"/>
        <v>0</v>
      </c>
      <c r="V1293" s="2"/>
      <c r="W1293" s="2"/>
      <c r="X1293" s="2"/>
      <c r="Y1293" s="2"/>
      <c r="Z1293" s="2"/>
      <c r="AA1293" s="2"/>
      <c r="AB1293" s="2"/>
      <c r="AC1293" s="2"/>
      <c r="AD1293" s="2"/>
      <c r="AE1293" s="2"/>
      <c r="AF1293" s="2"/>
      <c r="AG1293" s="2"/>
      <c r="AH1293" s="2"/>
      <c r="AI1293" s="2"/>
    </row>
    <row r="1294" spans="1:35" ht="14.25" customHeight="1" x14ac:dyDescent="0.2">
      <c r="A1294" s="1">
        <v>31426</v>
      </c>
      <c r="B1294" s="1" t="s">
        <v>1292</v>
      </c>
      <c r="C1294" s="1" t="s">
        <v>51</v>
      </c>
      <c r="D1294" s="2">
        <v>41856</v>
      </c>
      <c r="E1294" s="1" t="s">
        <v>43</v>
      </c>
      <c r="F1294" s="1" t="s">
        <v>623</v>
      </c>
      <c r="G1294" s="1">
        <v>40</v>
      </c>
      <c r="H1294" s="1">
        <v>125.99</v>
      </c>
      <c r="I1294" s="1">
        <f t="shared" si="60"/>
        <v>5039.5999999999995</v>
      </c>
      <c r="J1294" t="str">
        <f t="shared" si="61"/>
        <v>High</v>
      </c>
      <c r="K1294" s="1"/>
      <c r="L1294" s="1">
        <v>0.09</v>
      </c>
      <c r="M1294" s="1">
        <v>2.5</v>
      </c>
      <c r="N1294" s="1" t="s">
        <v>33</v>
      </c>
      <c r="O1294" s="1" t="s">
        <v>34</v>
      </c>
      <c r="P1294" s="2">
        <v>41860</v>
      </c>
      <c r="Q1294" s="2" t="b">
        <f t="shared" si="62"/>
        <v>0</v>
      </c>
      <c r="V1294" s="2"/>
      <c r="W1294" s="2"/>
      <c r="X1294" s="2"/>
      <c r="Y1294" s="2"/>
      <c r="Z1294" s="2"/>
      <c r="AA1294" s="2"/>
      <c r="AB1294" s="2"/>
      <c r="AC1294" s="2"/>
      <c r="AD1294" s="2"/>
      <c r="AE1294" s="2"/>
      <c r="AF1294" s="2"/>
      <c r="AG1294" s="2"/>
      <c r="AH1294" s="2"/>
      <c r="AI1294" s="2"/>
    </row>
    <row r="1295" spans="1:35" ht="14.25" customHeight="1" x14ac:dyDescent="0.2">
      <c r="A1295" s="1">
        <v>34435</v>
      </c>
      <c r="B1295" s="1" t="s">
        <v>1293</v>
      </c>
      <c r="C1295" s="1" t="s">
        <v>51</v>
      </c>
      <c r="D1295" s="2">
        <v>41856</v>
      </c>
      <c r="E1295" s="1" t="s">
        <v>43</v>
      </c>
      <c r="F1295" s="1" t="s">
        <v>1130</v>
      </c>
      <c r="G1295" s="1">
        <v>42</v>
      </c>
      <c r="H1295" s="1">
        <v>10.48</v>
      </c>
      <c r="I1295" s="1">
        <f t="shared" si="60"/>
        <v>440.16</v>
      </c>
      <c r="J1295" t="str">
        <f t="shared" si="61"/>
        <v>Low</v>
      </c>
      <c r="K1295" s="1"/>
      <c r="L1295" s="1">
        <v>0.01</v>
      </c>
      <c r="M1295" s="1">
        <v>2.89</v>
      </c>
      <c r="N1295" s="1" t="s">
        <v>33</v>
      </c>
      <c r="O1295" s="1" t="s">
        <v>84</v>
      </c>
      <c r="P1295" s="2">
        <v>41858</v>
      </c>
      <c r="Q1295" s="2" t="b">
        <f t="shared" si="62"/>
        <v>0</v>
      </c>
      <c r="V1295" s="2"/>
      <c r="W1295" s="2"/>
      <c r="X1295" s="2"/>
      <c r="Y1295" s="2"/>
      <c r="Z1295" s="2"/>
      <c r="AA1295" s="2"/>
      <c r="AB1295" s="2"/>
      <c r="AC1295" s="2"/>
      <c r="AD1295" s="2"/>
      <c r="AE1295" s="2"/>
      <c r="AF1295" s="2"/>
      <c r="AG1295" s="2"/>
      <c r="AH1295" s="2"/>
      <c r="AI1295" s="2"/>
    </row>
    <row r="1296" spans="1:35" ht="14.25" customHeight="1" x14ac:dyDescent="0.2">
      <c r="A1296" s="1">
        <v>23333</v>
      </c>
      <c r="B1296" s="1" t="s">
        <v>315</v>
      </c>
      <c r="C1296" s="1" t="s">
        <v>51</v>
      </c>
      <c r="D1296" s="2">
        <v>41856</v>
      </c>
      <c r="E1296" s="1" t="s">
        <v>101</v>
      </c>
      <c r="F1296" s="1" t="s">
        <v>181</v>
      </c>
      <c r="G1296" s="1">
        <v>44</v>
      </c>
      <c r="H1296" s="1">
        <v>14.42</v>
      </c>
      <c r="I1296" s="1">
        <f t="shared" si="60"/>
        <v>634.48</v>
      </c>
      <c r="J1296" t="str">
        <f t="shared" si="61"/>
        <v>Low</v>
      </c>
      <c r="K1296" s="1"/>
      <c r="L1296" s="1">
        <v>0.04</v>
      </c>
      <c r="M1296" s="1">
        <v>6.75</v>
      </c>
      <c r="N1296" s="1" t="s">
        <v>33</v>
      </c>
      <c r="O1296" s="1" t="s">
        <v>72</v>
      </c>
      <c r="P1296" s="2">
        <v>41857</v>
      </c>
      <c r="Q1296" s="2" t="b">
        <f t="shared" si="62"/>
        <v>0</v>
      </c>
      <c r="V1296" s="2"/>
      <c r="W1296" s="2"/>
      <c r="X1296" s="2"/>
      <c r="Y1296" s="2"/>
      <c r="Z1296" s="2"/>
      <c r="AA1296" s="2"/>
      <c r="AB1296" s="2"/>
      <c r="AC1296" s="2"/>
      <c r="AD1296" s="2"/>
      <c r="AE1296" s="2"/>
      <c r="AF1296" s="2"/>
      <c r="AG1296" s="2"/>
      <c r="AH1296" s="2"/>
      <c r="AI1296" s="2"/>
    </row>
    <row r="1297" spans="1:35" ht="14.25" customHeight="1" x14ac:dyDescent="0.2">
      <c r="A1297" s="1">
        <v>23333</v>
      </c>
      <c r="B1297" s="1" t="s">
        <v>315</v>
      </c>
      <c r="C1297" s="1" t="s">
        <v>30</v>
      </c>
      <c r="D1297" s="2">
        <v>41856</v>
      </c>
      <c r="E1297" s="1" t="s">
        <v>101</v>
      </c>
      <c r="F1297" s="1" t="s">
        <v>201</v>
      </c>
      <c r="G1297" s="1">
        <v>32</v>
      </c>
      <c r="H1297" s="1">
        <v>5.98</v>
      </c>
      <c r="I1297" s="1">
        <f t="shared" si="60"/>
        <v>191.36</v>
      </c>
      <c r="J1297" t="str">
        <f t="shared" si="61"/>
        <v>Low</v>
      </c>
      <c r="K1297" s="1"/>
      <c r="L1297" s="1">
        <v>0.04</v>
      </c>
      <c r="M1297" s="1">
        <v>5.79</v>
      </c>
      <c r="N1297" s="1" t="s">
        <v>33</v>
      </c>
      <c r="O1297" s="1" t="s">
        <v>34</v>
      </c>
      <c r="P1297" s="2">
        <v>41858</v>
      </c>
      <c r="Q1297" s="2" t="b">
        <f t="shared" si="62"/>
        <v>0</v>
      </c>
      <c r="V1297" s="2"/>
      <c r="W1297" s="2"/>
      <c r="X1297" s="2"/>
      <c r="Y1297" s="2"/>
      <c r="Z1297" s="2"/>
      <c r="AA1297" s="2"/>
      <c r="AB1297" s="2"/>
      <c r="AC1297" s="2"/>
      <c r="AD1297" s="2"/>
      <c r="AE1297" s="2"/>
      <c r="AF1297" s="2"/>
      <c r="AG1297" s="2"/>
      <c r="AH1297" s="2"/>
      <c r="AI1297" s="2"/>
    </row>
    <row r="1298" spans="1:35" ht="14.25" customHeight="1" x14ac:dyDescent="0.2">
      <c r="A1298" s="1">
        <v>23333</v>
      </c>
      <c r="B1298" s="1" t="s">
        <v>315</v>
      </c>
      <c r="C1298" s="1" t="s">
        <v>21</v>
      </c>
      <c r="D1298" s="2">
        <v>41856</v>
      </c>
      <c r="E1298" s="1" t="s">
        <v>101</v>
      </c>
      <c r="F1298" s="1" t="s">
        <v>937</v>
      </c>
      <c r="G1298" s="1">
        <v>16</v>
      </c>
      <c r="H1298" s="1">
        <v>65.989999999999995</v>
      </c>
      <c r="I1298" s="1">
        <f t="shared" si="60"/>
        <v>1055.8399999999999</v>
      </c>
      <c r="J1298" t="str">
        <f t="shared" si="61"/>
        <v>High</v>
      </c>
      <c r="K1298" s="1"/>
      <c r="L1298" s="1">
        <v>0.03</v>
      </c>
      <c r="M1298" s="1">
        <v>8.99</v>
      </c>
      <c r="N1298" s="1" t="s">
        <v>33</v>
      </c>
      <c r="O1298" s="1" t="s">
        <v>34</v>
      </c>
      <c r="P1298" s="2">
        <v>41857</v>
      </c>
      <c r="Q1298" s="2" t="b">
        <f t="shared" si="62"/>
        <v>0</v>
      </c>
      <c r="V1298" s="2"/>
      <c r="W1298" s="2"/>
      <c r="X1298" s="2"/>
      <c r="Y1298" s="2"/>
      <c r="Z1298" s="2"/>
      <c r="AA1298" s="2"/>
      <c r="AB1298" s="2"/>
      <c r="AC1298" s="2"/>
      <c r="AD1298" s="2"/>
      <c r="AE1298" s="2"/>
      <c r="AF1298" s="2"/>
      <c r="AG1298" s="2"/>
      <c r="AH1298" s="2"/>
      <c r="AI1298" s="2"/>
    </row>
    <row r="1299" spans="1:35" ht="14.25" customHeight="1" x14ac:dyDescent="0.2">
      <c r="A1299" s="1">
        <v>33090</v>
      </c>
      <c r="B1299" s="1" t="s">
        <v>1294</v>
      </c>
      <c r="C1299" s="1" t="s">
        <v>21</v>
      </c>
      <c r="D1299" s="2">
        <v>41856</v>
      </c>
      <c r="E1299" s="1" t="s">
        <v>101</v>
      </c>
      <c r="F1299" s="1" t="s">
        <v>516</v>
      </c>
      <c r="G1299" s="1">
        <v>26</v>
      </c>
      <c r="H1299" s="1">
        <v>37.76</v>
      </c>
      <c r="I1299" s="1">
        <f t="shared" si="60"/>
        <v>981.76</v>
      </c>
      <c r="J1299" t="str">
        <f t="shared" si="61"/>
        <v>Low</v>
      </c>
      <c r="K1299" s="1"/>
      <c r="L1299" s="1">
        <v>0</v>
      </c>
      <c r="M1299" s="1">
        <v>12.9</v>
      </c>
      <c r="N1299" s="1" t="s">
        <v>33</v>
      </c>
      <c r="O1299" s="1" t="s">
        <v>34</v>
      </c>
      <c r="P1299" s="2">
        <v>41857</v>
      </c>
      <c r="Q1299" s="2" t="b">
        <f t="shared" si="62"/>
        <v>0</v>
      </c>
      <c r="V1299" s="2"/>
      <c r="W1299" s="2"/>
      <c r="X1299" s="2"/>
      <c r="Y1299" s="2"/>
      <c r="Z1299" s="2"/>
      <c r="AA1299" s="2"/>
      <c r="AB1299" s="2"/>
      <c r="AC1299" s="2"/>
      <c r="AD1299" s="2"/>
      <c r="AE1299" s="2"/>
      <c r="AF1299" s="2"/>
      <c r="AG1299" s="2"/>
      <c r="AH1299" s="2"/>
      <c r="AI1299" s="2"/>
    </row>
    <row r="1300" spans="1:35" ht="14.25" customHeight="1" x14ac:dyDescent="0.2">
      <c r="A1300" s="1">
        <v>25507</v>
      </c>
      <c r="B1300" s="1" t="s">
        <v>420</v>
      </c>
      <c r="C1300" s="1" t="s">
        <v>30</v>
      </c>
      <c r="D1300" s="2">
        <v>41856</v>
      </c>
      <c r="E1300" s="1" t="s">
        <v>22</v>
      </c>
      <c r="F1300" s="1" t="s">
        <v>1062</v>
      </c>
      <c r="G1300" s="1">
        <v>8</v>
      </c>
      <c r="H1300" s="1">
        <v>64.650000000000006</v>
      </c>
      <c r="I1300" s="1">
        <f t="shared" si="60"/>
        <v>517.20000000000005</v>
      </c>
      <c r="J1300" t="str">
        <f t="shared" si="61"/>
        <v>Low</v>
      </c>
      <c r="K1300" s="1"/>
      <c r="L1300" s="1">
        <v>0.06</v>
      </c>
      <c r="M1300" s="1">
        <v>35</v>
      </c>
      <c r="N1300" s="1" t="s">
        <v>33</v>
      </c>
      <c r="O1300" s="1" t="s">
        <v>26</v>
      </c>
      <c r="P1300" s="2">
        <v>41857</v>
      </c>
      <c r="Q1300" s="2" t="b">
        <f t="shared" si="62"/>
        <v>0</v>
      </c>
      <c r="V1300" s="2"/>
      <c r="W1300" s="2"/>
      <c r="X1300" s="2"/>
      <c r="Y1300" s="2"/>
      <c r="Z1300" s="2"/>
      <c r="AA1300" s="2"/>
      <c r="AB1300" s="2"/>
      <c r="AC1300" s="2"/>
      <c r="AD1300" s="2"/>
      <c r="AE1300" s="2"/>
      <c r="AF1300" s="2"/>
      <c r="AG1300" s="2"/>
      <c r="AH1300" s="2"/>
      <c r="AI1300" s="2"/>
    </row>
    <row r="1301" spans="1:35" ht="14.25" customHeight="1" x14ac:dyDescent="0.2">
      <c r="A1301" s="1">
        <v>4870</v>
      </c>
      <c r="B1301" s="1" t="s">
        <v>1295</v>
      </c>
      <c r="C1301" s="1" t="s">
        <v>30</v>
      </c>
      <c r="D1301" s="2">
        <v>41856</v>
      </c>
      <c r="E1301" s="1" t="s">
        <v>101</v>
      </c>
      <c r="F1301" s="1" t="s">
        <v>828</v>
      </c>
      <c r="G1301" s="1">
        <v>44</v>
      </c>
      <c r="H1301" s="1">
        <v>400.98</v>
      </c>
      <c r="I1301" s="1">
        <f t="shared" si="60"/>
        <v>17643.120000000003</v>
      </c>
      <c r="J1301" t="str">
        <f t="shared" si="61"/>
        <v>High</v>
      </c>
      <c r="K1301" s="1"/>
      <c r="L1301" s="1">
        <v>0.08</v>
      </c>
      <c r="M1301" s="1">
        <v>42.52</v>
      </c>
      <c r="N1301" s="1" t="s">
        <v>45</v>
      </c>
      <c r="O1301" s="1" t="s">
        <v>63</v>
      </c>
      <c r="P1301" s="2">
        <v>41857</v>
      </c>
      <c r="Q1301" s="2" t="b">
        <f t="shared" si="62"/>
        <v>0</v>
      </c>
      <c r="V1301" s="2"/>
      <c r="W1301" s="2"/>
      <c r="X1301" s="2"/>
      <c r="Y1301" s="2"/>
      <c r="Z1301" s="2"/>
      <c r="AA1301" s="2"/>
      <c r="AB1301" s="2"/>
      <c r="AC1301" s="2"/>
      <c r="AD1301" s="2"/>
      <c r="AE1301" s="2"/>
      <c r="AF1301" s="2"/>
      <c r="AG1301" s="2"/>
      <c r="AH1301" s="2"/>
      <c r="AI1301" s="2"/>
    </row>
    <row r="1302" spans="1:35" ht="14.25" customHeight="1" x14ac:dyDescent="0.2">
      <c r="A1302" s="1">
        <v>29252</v>
      </c>
      <c r="B1302" s="1" t="s">
        <v>400</v>
      </c>
      <c r="C1302" s="1" t="s">
        <v>21</v>
      </c>
      <c r="D1302" s="2">
        <v>41857</v>
      </c>
      <c r="E1302" s="1" t="s">
        <v>43</v>
      </c>
      <c r="F1302" s="1" t="s">
        <v>1296</v>
      </c>
      <c r="G1302" s="1">
        <v>9</v>
      </c>
      <c r="H1302" s="1">
        <v>6.48</v>
      </c>
      <c r="I1302" s="1">
        <f t="shared" si="60"/>
        <v>58.320000000000007</v>
      </c>
      <c r="J1302" t="str">
        <f t="shared" si="61"/>
        <v>Low</v>
      </c>
      <c r="K1302" s="1"/>
      <c r="L1302" s="1">
        <v>0.01</v>
      </c>
      <c r="M1302" s="1">
        <v>5.19</v>
      </c>
      <c r="N1302" s="1" t="s">
        <v>33</v>
      </c>
      <c r="O1302" s="1" t="s">
        <v>34</v>
      </c>
      <c r="P1302" s="2">
        <v>41861</v>
      </c>
      <c r="Q1302" s="2" t="b">
        <f t="shared" si="62"/>
        <v>0</v>
      </c>
      <c r="V1302" s="2"/>
      <c r="W1302" s="2"/>
      <c r="X1302" s="2"/>
      <c r="Y1302" s="2"/>
      <c r="Z1302" s="2"/>
      <c r="AA1302" s="2"/>
      <c r="AB1302" s="2"/>
      <c r="AC1302" s="2"/>
      <c r="AD1302" s="2"/>
      <c r="AE1302" s="2"/>
      <c r="AF1302" s="2"/>
      <c r="AG1302" s="2"/>
      <c r="AH1302" s="2"/>
      <c r="AI1302" s="2"/>
    </row>
    <row r="1303" spans="1:35" ht="14.25" customHeight="1" x14ac:dyDescent="0.2">
      <c r="A1303" s="1">
        <v>39367</v>
      </c>
      <c r="B1303" s="1" t="s">
        <v>588</v>
      </c>
      <c r="C1303" s="1" t="s">
        <v>21</v>
      </c>
      <c r="D1303" s="2">
        <v>41857</v>
      </c>
      <c r="E1303" s="1" t="s">
        <v>38</v>
      </c>
      <c r="F1303" s="1" t="s">
        <v>619</v>
      </c>
      <c r="G1303" s="1">
        <v>45</v>
      </c>
      <c r="H1303" s="1">
        <v>4.13</v>
      </c>
      <c r="I1303" s="1">
        <f t="shared" si="60"/>
        <v>185.85</v>
      </c>
      <c r="J1303" t="str">
        <f t="shared" si="61"/>
        <v>Low</v>
      </c>
      <c r="K1303" s="1"/>
      <c r="L1303" s="1">
        <v>7.0000000000000007E-2</v>
      </c>
      <c r="M1303" s="1">
        <v>5.04</v>
      </c>
      <c r="N1303" s="1" t="s">
        <v>33</v>
      </c>
      <c r="O1303" s="1" t="s">
        <v>34</v>
      </c>
      <c r="P1303" s="2">
        <v>41858</v>
      </c>
      <c r="Q1303" s="2" t="b">
        <f t="shared" si="62"/>
        <v>0</v>
      </c>
      <c r="V1303" s="2"/>
      <c r="W1303" s="2"/>
      <c r="X1303" s="2"/>
      <c r="Y1303" s="2"/>
      <c r="Z1303" s="2"/>
      <c r="AA1303" s="2"/>
      <c r="AB1303" s="2"/>
      <c r="AC1303" s="2"/>
      <c r="AD1303" s="2"/>
      <c r="AE1303" s="2"/>
      <c r="AF1303" s="2"/>
      <c r="AG1303" s="2"/>
      <c r="AH1303" s="2"/>
      <c r="AI1303" s="2"/>
    </row>
    <row r="1304" spans="1:35" ht="14.25" customHeight="1" x14ac:dyDescent="0.2">
      <c r="A1304" s="1">
        <v>39367</v>
      </c>
      <c r="B1304" s="1" t="s">
        <v>588</v>
      </c>
      <c r="C1304" s="1" t="s">
        <v>51</v>
      </c>
      <c r="D1304" s="2">
        <v>41857</v>
      </c>
      <c r="E1304" s="1" t="s">
        <v>38</v>
      </c>
      <c r="F1304" s="1" t="s">
        <v>1147</v>
      </c>
      <c r="G1304" s="1">
        <v>30</v>
      </c>
      <c r="H1304" s="1">
        <v>4.4800000000000004</v>
      </c>
      <c r="I1304" s="1">
        <f t="shared" si="60"/>
        <v>134.4</v>
      </c>
      <c r="J1304" t="str">
        <f t="shared" si="61"/>
        <v>Low</v>
      </c>
      <c r="K1304" s="1"/>
      <c r="L1304" s="1">
        <v>0</v>
      </c>
      <c r="M1304" s="1">
        <v>2.5</v>
      </c>
      <c r="N1304" s="1" t="s">
        <v>33</v>
      </c>
      <c r="O1304" s="1" t="s">
        <v>34</v>
      </c>
      <c r="P1304" s="2">
        <v>41859</v>
      </c>
      <c r="Q1304" s="2" t="b">
        <f t="shared" si="62"/>
        <v>0</v>
      </c>
      <c r="V1304" s="2"/>
      <c r="W1304" s="2"/>
      <c r="X1304" s="2"/>
      <c r="Y1304" s="2"/>
      <c r="Z1304" s="2"/>
      <c r="AA1304" s="2"/>
      <c r="AB1304" s="2"/>
      <c r="AC1304" s="2"/>
      <c r="AD1304" s="2"/>
      <c r="AE1304" s="2"/>
      <c r="AF1304" s="2"/>
      <c r="AG1304" s="2"/>
      <c r="AH1304" s="2"/>
      <c r="AI1304" s="2"/>
    </row>
    <row r="1305" spans="1:35" ht="14.25" customHeight="1" x14ac:dyDescent="0.2">
      <c r="A1305" s="1">
        <v>25638</v>
      </c>
      <c r="B1305" s="1" t="s">
        <v>1297</v>
      </c>
      <c r="C1305" s="1" t="s">
        <v>51</v>
      </c>
      <c r="D1305" s="2">
        <v>41857</v>
      </c>
      <c r="E1305" s="1" t="s">
        <v>31</v>
      </c>
      <c r="F1305" s="1" t="s">
        <v>968</v>
      </c>
      <c r="G1305" s="1">
        <v>31</v>
      </c>
      <c r="H1305" s="1">
        <v>4.8899999999999997</v>
      </c>
      <c r="I1305" s="1">
        <f t="shared" si="60"/>
        <v>151.59</v>
      </c>
      <c r="J1305" t="str">
        <f t="shared" si="61"/>
        <v>Low</v>
      </c>
      <c r="K1305" s="1"/>
      <c r="L1305" s="1">
        <v>0.02</v>
      </c>
      <c r="M1305" s="1">
        <v>4.93</v>
      </c>
      <c r="N1305" s="1" t="s">
        <v>33</v>
      </c>
      <c r="O1305" s="1" t="s">
        <v>84</v>
      </c>
      <c r="P1305" s="2">
        <v>41858</v>
      </c>
      <c r="Q1305" s="2" t="b">
        <f t="shared" si="62"/>
        <v>0</v>
      </c>
      <c r="V1305" s="2"/>
      <c r="W1305" s="2"/>
      <c r="X1305" s="2"/>
      <c r="Y1305" s="2"/>
      <c r="Z1305" s="2"/>
      <c r="AA1305" s="2"/>
      <c r="AB1305" s="2"/>
      <c r="AC1305" s="2"/>
      <c r="AD1305" s="2"/>
      <c r="AE1305" s="2"/>
      <c r="AF1305" s="2"/>
      <c r="AG1305" s="2"/>
      <c r="AH1305" s="2"/>
      <c r="AI1305" s="2"/>
    </row>
    <row r="1306" spans="1:35" ht="14.25" customHeight="1" x14ac:dyDescent="0.2">
      <c r="A1306" s="1">
        <v>25638</v>
      </c>
      <c r="B1306" s="1" t="s">
        <v>1297</v>
      </c>
      <c r="C1306" s="1" t="s">
        <v>21</v>
      </c>
      <c r="D1306" s="2">
        <v>41857</v>
      </c>
      <c r="E1306" s="1" t="s">
        <v>31</v>
      </c>
      <c r="F1306" s="1" t="s">
        <v>1182</v>
      </c>
      <c r="G1306" s="1">
        <v>12</v>
      </c>
      <c r="H1306" s="1">
        <v>10.06</v>
      </c>
      <c r="I1306" s="1">
        <f t="shared" si="60"/>
        <v>120.72</v>
      </c>
      <c r="J1306" t="str">
        <f t="shared" si="61"/>
        <v>Low</v>
      </c>
      <c r="K1306" s="1"/>
      <c r="L1306" s="1">
        <v>7.0000000000000007E-2</v>
      </c>
      <c r="M1306" s="1">
        <v>2.06</v>
      </c>
      <c r="N1306" s="1" t="s">
        <v>33</v>
      </c>
      <c r="O1306" s="1" t="s">
        <v>55</v>
      </c>
      <c r="P1306" s="2">
        <v>41858</v>
      </c>
      <c r="Q1306" s="2" t="b">
        <f t="shared" si="62"/>
        <v>0</v>
      </c>
      <c r="V1306" s="2"/>
      <c r="W1306" s="2"/>
      <c r="X1306" s="2"/>
      <c r="Y1306" s="2"/>
      <c r="Z1306" s="2"/>
      <c r="AA1306" s="2"/>
      <c r="AB1306" s="2"/>
      <c r="AC1306" s="2"/>
      <c r="AD1306" s="2"/>
      <c r="AE1306" s="2"/>
      <c r="AF1306" s="2"/>
      <c r="AG1306" s="2"/>
      <c r="AH1306" s="2"/>
      <c r="AI1306" s="2"/>
    </row>
    <row r="1307" spans="1:35" ht="14.25" customHeight="1" x14ac:dyDescent="0.2">
      <c r="A1307" s="1">
        <v>49666</v>
      </c>
      <c r="B1307" s="1" t="s">
        <v>131</v>
      </c>
      <c r="C1307" s="1" t="s">
        <v>51</v>
      </c>
      <c r="D1307" s="2">
        <v>41857</v>
      </c>
      <c r="E1307" s="1" t="s">
        <v>43</v>
      </c>
      <c r="F1307" s="1" t="s">
        <v>1298</v>
      </c>
      <c r="G1307" s="1">
        <v>46</v>
      </c>
      <c r="H1307" s="1">
        <v>5.68</v>
      </c>
      <c r="I1307" s="1">
        <f t="shared" si="60"/>
        <v>261.27999999999997</v>
      </c>
      <c r="J1307" t="str">
        <f t="shared" si="61"/>
        <v>Low</v>
      </c>
      <c r="K1307" s="1"/>
      <c r="L1307" s="1">
        <v>0.1</v>
      </c>
      <c r="M1307" s="1">
        <v>3.6</v>
      </c>
      <c r="N1307" s="1" t="s">
        <v>25</v>
      </c>
      <c r="O1307" s="1" t="s">
        <v>84</v>
      </c>
      <c r="P1307" s="2">
        <v>41861</v>
      </c>
      <c r="Q1307" s="2" t="b">
        <f t="shared" si="62"/>
        <v>0</v>
      </c>
      <c r="V1307" s="2"/>
      <c r="W1307" s="2"/>
      <c r="X1307" s="2"/>
      <c r="Y1307" s="2"/>
      <c r="Z1307" s="2"/>
      <c r="AA1307" s="2"/>
      <c r="AB1307" s="2"/>
      <c r="AC1307" s="2"/>
      <c r="AD1307" s="2"/>
      <c r="AE1307" s="2"/>
      <c r="AF1307" s="2"/>
      <c r="AG1307" s="2"/>
      <c r="AH1307" s="2"/>
      <c r="AI1307" s="2"/>
    </row>
    <row r="1308" spans="1:35" ht="14.25" customHeight="1" x14ac:dyDescent="0.2">
      <c r="A1308" s="1">
        <v>42309</v>
      </c>
      <c r="B1308" s="1" t="s">
        <v>1068</v>
      </c>
      <c r="C1308" s="1" t="s">
        <v>51</v>
      </c>
      <c r="D1308" s="2">
        <v>41857</v>
      </c>
      <c r="E1308" s="1" t="s">
        <v>43</v>
      </c>
      <c r="F1308" s="1" t="s">
        <v>995</v>
      </c>
      <c r="G1308" s="1">
        <v>41</v>
      </c>
      <c r="H1308" s="1">
        <v>20.48</v>
      </c>
      <c r="I1308" s="1">
        <f t="shared" si="60"/>
        <v>839.68000000000006</v>
      </c>
      <c r="J1308" t="str">
        <f t="shared" si="61"/>
        <v>Low</v>
      </c>
      <c r="K1308" s="1"/>
      <c r="L1308" s="1">
        <v>0.01</v>
      </c>
      <c r="M1308" s="1">
        <v>6.32</v>
      </c>
      <c r="N1308" s="1" t="s">
        <v>33</v>
      </c>
      <c r="O1308" s="1" t="s">
        <v>34</v>
      </c>
      <c r="P1308" s="2">
        <v>41859</v>
      </c>
      <c r="Q1308" s="2" t="b">
        <f t="shared" si="62"/>
        <v>0</v>
      </c>
      <c r="V1308" s="2"/>
      <c r="W1308" s="2"/>
      <c r="X1308" s="2"/>
      <c r="Y1308" s="2"/>
      <c r="Z1308" s="2"/>
      <c r="AA1308" s="2"/>
      <c r="AB1308" s="2"/>
      <c r="AC1308" s="2"/>
      <c r="AD1308" s="2"/>
      <c r="AE1308" s="2"/>
      <c r="AF1308" s="2"/>
      <c r="AG1308" s="2"/>
      <c r="AH1308" s="2"/>
      <c r="AI1308" s="2"/>
    </row>
    <row r="1309" spans="1:35" ht="14.25" customHeight="1" x14ac:dyDescent="0.2">
      <c r="A1309" s="1">
        <v>42309</v>
      </c>
      <c r="B1309" s="1" t="s">
        <v>1068</v>
      </c>
      <c r="C1309" s="1" t="s">
        <v>30</v>
      </c>
      <c r="D1309" s="2">
        <v>41857</v>
      </c>
      <c r="E1309" s="1" t="s">
        <v>43</v>
      </c>
      <c r="F1309" s="1" t="s">
        <v>1236</v>
      </c>
      <c r="G1309" s="1">
        <v>26</v>
      </c>
      <c r="H1309" s="1">
        <v>1.86</v>
      </c>
      <c r="I1309" s="1">
        <f t="shared" si="60"/>
        <v>48.36</v>
      </c>
      <c r="J1309" t="str">
        <f t="shared" si="61"/>
        <v>Low</v>
      </c>
      <c r="K1309" s="1"/>
      <c r="L1309" s="1">
        <v>0.09</v>
      </c>
      <c r="M1309" s="1">
        <v>2.58</v>
      </c>
      <c r="N1309" s="1" t="s">
        <v>33</v>
      </c>
      <c r="O1309" s="1" t="s">
        <v>55</v>
      </c>
      <c r="P1309" s="2">
        <v>41862</v>
      </c>
      <c r="Q1309" s="2" t="b">
        <f t="shared" si="62"/>
        <v>0</v>
      </c>
      <c r="V1309" s="2"/>
      <c r="W1309" s="2"/>
      <c r="X1309" s="2"/>
      <c r="Y1309" s="2"/>
      <c r="Z1309" s="2"/>
      <c r="AA1309" s="2"/>
      <c r="AB1309" s="2"/>
      <c r="AC1309" s="2"/>
      <c r="AD1309" s="2"/>
      <c r="AE1309" s="2"/>
      <c r="AF1309" s="2"/>
      <c r="AG1309" s="2"/>
      <c r="AH1309" s="2"/>
      <c r="AI1309" s="2"/>
    </row>
    <row r="1310" spans="1:35" ht="14.25" customHeight="1" x14ac:dyDescent="0.2">
      <c r="A1310" s="1">
        <v>42309</v>
      </c>
      <c r="B1310" s="1" t="s">
        <v>1068</v>
      </c>
      <c r="C1310" s="1" t="s">
        <v>51</v>
      </c>
      <c r="D1310" s="2">
        <v>41857</v>
      </c>
      <c r="E1310" s="1" t="s">
        <v>43</v>
      </c>
      <c r="F1310" s="1" t="s">
        <v>336</v>
      </c>
      <c r="G1310" s="1">
        <v>38</v>
      </c>
      <c r="H1310" s="1">
        <v>205.99</v>
      </c>
      <c r="I1310" s="1">
        <f t="shared" si="60"/>
        <v>7827.6200000000008</v>
      </c>
      <c r="J1310" t="str">
        <f t="shared" si="61"/>
        <v>High</v>
      </c>
      <c r="K1310" s="1"/>
      <c r="L1310" s="1">
        <v>0.08</v>
      </c>
      <c r="M1310" s="1">
        <v>2.5</v>
      </c>
      <c r="N1310" s="1" t="s">
        <v>33</v>
      </c>
      <c r="O1310" s="1" t="s">
        <v>34</v>
      </c>
      <c r="P1310" s="2">
        <v>41862</v>
      </c>
      <c r="Q1310" s="2" t="b">
        <f t="shared" si="62"/>
        <v>0</v>
      </c>
      <c r="V1310" s="2"/>
      <c r="W1310" s="2"/>
      <c r="X1310" s="2"/>
      <c r="Y1310" s="2"/>
      <c r="Z1310" s="2"/>
      <c r="AA1310" s="2"/>
      <c r="AB1310" s="2"/>
      <c r="AC1310" s="2"/>
      <c r="AD1310" s="2"/>
      <c r="AE1310" s="2"/>
      <c r="AF1310" s="2"/>
      <c r="AG1310" s="2"/>
      <c r="AH1310" s="2"/>
      <c r="AI1310" s="2"/>
    </row>
    <row r="1311" spans="1:35" ht="14.25" customHeight="1" x14ac:dyDescent="0.2">
      <c r="A1311" s="1">
        <v>56960</v>
      </c>
      <c r="B1311" s="1" t="s">
        <v>889</v>
      </c>
      <c r="C1311" s="1" t="s">
        <v>30</v>
      </c>
      <c r="D1311" s="2">
        <v>41857</v>
      </c>
      <c r="E1311" s="1" t="s">
        <v>31</v>
      </c>
      <c r="F1311" s="1" t="s">
        <v>1299</v>
      </c>
      <c r="G1311" s="1">
        <v>48</v>
      </c>
      <c r="H1311" s="1">
        <v>65.989999999999995</v>
      </c>
      <c r="I1311" s="1">
        <f t="shared" si="60"/>
        <v>3167.5199999999995</v>
      </c>
      <c r="J1311" t="str">
        <f t="shared" si="61"/>
        <v>High</v>
      </c>
      <c r="K1311" s="1"/>
      <c r="L1311" s="1">
        <v>0.01</v>
      </c>
      <c r="M1311" s="1">
        <v>4.2</v>
      </c>
      <c r="N1311" s="1" t="s">
        <v>25</v>
      </c>
      <c r="O1311" s="1" t="s">
        <v>34</v>
      </c>
      <c r="P1311" s="2">
        <v>41859</v>
      </c>
      <c r="Q1311" s="2" t="b">
        <f t="shared" si="62"/>
        <v>0</v>
      </c>
      <c r="V1311" s="2"/>
      <c r="W1311" s="2"/>
      <c r="X1311" s="2"/>
      <c r="Y1311" s="2"/>
      <c r="Z1311" s="2"/>
      <c r="AA1311" s="2"/>
      <c r="AB1311" s="2"/>
      <c r="AC1311" s="2"/>
      <c r="AD1311" s="2"/>
      <c r="AE1311" s="2"/>
      <c r="AF1311" s="2"/>
      <c r="AG1311" s="2"/>
      <c r="AH1311" s="2"/>
      <c r="AI1311" s="2"/>
    </row>
    <row r="1312" spans="1:35" ht="14.25" customHeight="1" x14ac:dyDescent="0.2">
      <c r="A1312" s="1">
        <v>44995</v>
      </c>
      <c r="B1312" s="1" t="s">
        <v>1300</v>
      </c>
      <c r="C1312" s="1" t="s">
        <v>30</v>
      </c>
      <c r="D1312" s="2">
        <v>41857</v>
      </c>
      <c r="E1312" s="1" t="s">
        <v>31</v>
      </c>
      <c r="F1312" s="1" t="s">
        <v>662</v>
      </c>
      <c r="G1312" s="1">
        <v>46</v>
      </c>
      <c r="H1312" s="1">
        <v>28.99</v>
      </c>
      <c r="I1312" s="1">
        <f t="shared" si="60"/>
        <v>1333.54</v>
      </c>
      <c r="J1312" t="str">
        <f t="shared" si="61"/>
        <v>High</v>
      </c>
      <c r="K1312" s="1"/>
      <c r="L1312" s="1">
        <v>0.01</v>
      </c>
      <c r="M1312" s="1">
        <v>8.59</v>
      </c>
      <c r="N1312" s="1" t="s">
        <v>33</v>
      </c>
      <c r="O1312" s="1" t="s">
        <v>72</v>
      </c>
      <c r="P1312" s="2">
        <v>41858</v>
      </c>
      <c r="Q1312" s="2" t="b">
        <f t="shared" si="62"/>
        <v>0</v>
      </c>
      <c r="V1312" s="2"/>
      <c r="W1312" s="2"/>
      <c r="X1312" s="2"/>
      <c r="Y1312" s="2"/>
      <c r="Z1312" s="2"/>
      <c r="AA1312" s="2"/>
      <c r="AB1312" s="2"/>
      <c r="AC1312" s="2"/>
      <c r="AD1312" s="2"/>
      <c r="AE1312" s="2"/>
      <c r="AF1312" s="2"/>
      <c r="AG1312" s="2"/>
      <c r="AH1312" s="2"/>
      <c r="AI1312" s="2"/>
    </row>
    <row r="1313" spans="1:35" ht="14.25" customHeight="1" x14ac:dyDescent="0.2">
      <c r="A1313" s="1">
        <v>53410</v>
      </c>
      <c r="B1313" s="1" t="s">
        <v>719</v>
      </c>
      <c r="C1313" s="1" t="s">
        <v>21</v>
      </c>
      <c r="D1313" s="2">
        <v>41858</v>
      </c>
      <c r="E1313" s="1" t="s">
        <v>38</v>
      </c>
      <c r="F1313" s="1" t="s">
        <v>253</v>
      </c>
      <c r="G1313" s="1">
        <v>44</v>
      </c>
      <c r="H1313" s="1">
        <v>14.81</v>
      </c>
      <c r="I1313" s="1">
        <f t="shared" si="60"/>
        <v>651.64</v>
      </c>
      <c r="J1313" t="str">
        <f t="shared" si="61"/>
        <v>Low</v>
      </c>
      <c r="K1313" s="1"/>
      <c r="L1313" s="1">
        <v>0.08</v>
      </c>
      <c r="M1313" s="1">
        <v>13.32</v>
      </c>
      <c r="N1313" s="1" t="s">
        <v>33</v>
      </c>
      <c r="O1313" s="1" t="s">
        <v>34</v>
      </c>
      <c r="P1313" s="2">
        <v>41860</v>
      </c>
      <c r="Q1313" s="2" t="b">
        <f t="shared" si="62"/>
        <v>0</v>
      </c>
      <c r="V1313" s="2"/>
      <c r="W1313" s="2"/>
      <c r="X1313" s="2"/>
      <c r="Y1313" s="2"/>
      <c r="Z1313" s="2"/>
      <c r="AA1313" s="2"/>
      <c r="AB1313" s="2"/>
      <c r="AC1313" s="2"/>
      <c r="AD1313" s="2"/>
      <c r="AE1313" s="2"/>
      <c r="AF1313" s="2"/>
      <c r="AG1313" s="2"/>
      <c r="AH1313" s="2"/>
      <c r="AI1313" s="2"/>
    </row>
    <row r="1314" spans="1:35" ht="14.25" customHeight="1" x14ac:dyDescent="0.2">
      <c r="A1314" s="1">
        <v>24231</v>
      </c>
      <c r="B1314" s="1" t="s">
        <v>610</v>
      </c>
      <c r="C1314" s="1" t="s">
        <v>51</v>
      </c>
      <c r="D1314" s="2">
        <v>41858</v>
      </c>
      <c r="E1314" s="1" t="s">
        <v>22</v>
      </c>
      <c r="F1314" s="1" t="s">
        <v>1301</v>
      </c>
      <c r="G1314" s="1">
        <v>48</v>
      </c>
      <c r="H1314" s="1">
        <v>65.989999999999995</v>
      </c>
      <c r="I1314" s="1">
        <f t="shared" si="60"/>
        <v>3167.5199999999995</v>
      </c>
      <c r="J1314" t="str">
        <f t="shared" si="61"/>
        <v>High</v>
      </c>
      <c r="K1314" s="1"/>
      <c r="L1314" s="1">
        <v>0.08</v>
      </c>
      <c r="M1314" s="1">
        <v>5.92</v>
      </c>
      <c r="N1314" s="1" t="s">
        <v>33</v>
      </c>
      <c r="O1314" s="1" t="s">
        <v>34</v>
      </c>
      <c r="P1314" s="2">
        <v>41858</v>
      </c>
      <c r="Q1314" s="2" t="b">
        <f t="shared" si="62"/>
        <v>0</v>
      </c>
      <c r="V1314" s="2"/>
      <c r="W1314" s="2"/>
      <c r="X1314" s="2"/>
      <c r="Y1314" s="2"/>
      <c r="Z1314" s="2"/>
      <c r="AA1314" s="2"/>
      <c r="AB1314" s="2"/>
      <c r="AC1314" s="2"/>
      <c r="AD1314" s="2"/>
      <c r="AE1314" s="2"/>
      <c r="AF1314" s="2"/>
      <c r="AG1314" s="2"/>
      <c r="AH1314" s="2"/>
      <c r="AI1314" s="2"/>
    </row>
    <row r="1315" spans="1:35" ht="14.25" customHeight="1" x14ac:dyDescent="0.2">
      <c r="A1315" s="1">
        <v>57381</v>
      </c>
      <c r="B1315" s="1" t="s">
        <v>1302</v>
      </c>
      <c r="C1315" s="1" t="s">
        <v>51</v>
      </c>
      <c r="D1315" s="2">
        <v>41858</v>
      </c>
      <c r="E1315" s="1" t="s">
        <v>31</v>
      </c>
      <c r="F1315" s="1" t="s">
        <v>1303</v>
      </c>
      <c r="G1315" s="1">
        <v>13</v>
      </c>
      <c r="H1315" s="1">
        <v>41.94</v>
      </c>
      <c r="I1315" s="1">
        <f t="shared" si="60"/>
        <v>545.22</v>
      </c>
      <c r="J1315" t="str">
        <f t="shared" si="61"/>
        <v>Low</v>
      </c>
      <c r="K1315" s="1"/>
      <c r="L1315" s="1">
        <v>0.1</v>
      </c>
      <c r="M1315" s="1">
        <v>2.99</v>
      </c>
      <c r="N1315" s="1" t="s">
        <v>33</v>
      </c>
      <c r="O1315" s="1" t="s">
        <v>34</v>
      </c>
      <c r="P1315" s="2">
        <v>41859</v>
      </c>
      <c r="Q1315" s="2" t="b">
        <f t="shared" si="62"/>
        <v>0</v>
      </c>
      <c r="V1315" s="2"/>
      <c r="W1315" s="2"/>
      <c r="X1315" s="2"/>
      <c r="Y1315" s="2"/>
      <c r="Z1315" s="2"/>
      <c r="AA1315" s="2"/>
      <c r="AB1315" s="2"/>
      <c r="AC1315" s="2"/>
      <c r="AD1315" s="2"/>
      <c r="AE1315" s="2"/>
      <c r="AF1315" s="2"/>
      <c r="AG1315" s="2"/>
      <c r="AH1315" s="2"/>
      <c r="AI1315" s="2"/>
    </row>
    <row r="1316" spans="1:35" ht="14.25" customHeight="1" x14ac:dyDescent="0.2">
      <c r="A1316" s="1">
        <v>57381</v>
      </c>
      <c r="B1316" s="1" t="s">
        <v>1302</v>
      </c>
      <c r="C1316" s="1" t="s">
        <v>30</v>
      </c>
      <c r="D1316" s="2">
        <v>41858</v>
      </c>
      <c r="E1316" s="1" t="s">
        <v>31</v>
      </c>
      <c r="F1316" s="1" t="s">
        <v>197</v>
      </c>
      <c r="G1316" s="1">
        <v>22</v>
      </c>
      <c r="H1316" s="1">
        <v>1.98</v>
      </c>
      <c r="I1316" s="1">
        <f t="shared" si="60"/>
        <v>43.56</v>
      </c>
      <c r="J1316" t="str">
        <f t="shared" si="61"/>
        <v>Low</v>
      </c>
      <c r="K1316" s="1"/>
      <c r="L1316" s="1">
        <v>0.06</v>
      </c>
      <c r="M1316" s="1">
        <v>0.7</v>
      </c>
      <c r="N1316" s="1" t="s">
        <v>33</v>
      </c>
      <c r="O1316" s="1" t="s">
        <v>55</v>
      </c>
      <c r="P1316" s="2">
        <v>41858</v>
      </c>
      <c r="Q1316" s="2" t="b">
        <f t="shared" si="62"/>
        <v>0</v>
      </c>
      <c r="V1316" s="2"/>
      <c r="W1316" s="2"/>
      <c r="X1316" s="2"/>
      <c r="Y1316" s="2"/>
      <c r="Z1316" s="2"/>
      <c r="AA1316" s="2"/>
      <c r="AB1316" s="2"/>
      <c r="AC1316" s="2"/>
      <c r="AD1316" s="2"/>
      <c r="AE1316" s="2"/>
      <c r="AF1316" s="2"/>
      <c r="AG1316" s="2"/>
      <c r="AH1316" s="2"/>
      <c r="AI1316" s="2"/>
    </row>
    <row r="1317" spans="1:35" ht="14.25" customHeight="1" x14ac:dyDescent="0.2">
      <c r="A1317" s="1">
        <v>38886</v>
      </c>
      <c r="B1317" s="1" t="s">
        <v>310</v>
      </c>
      <c r="C1317" s="1" t="s">
        <v>21</v>
      </c>
      <c r="D1317" s="2">
        <v>41858</v>
      </c>
      <c r="E1317" s="1" t="s">
        <v>31</v>
      </c>
      <c r="F1317" s="1" t="s">
        <v>450</v>
      </c>
      <c r="G1317" s="1">
        <v>26</v>
      </c>
      <c r="H1317" s="1">
        <v>6.7</v>
      </c>
      <c r="I1317" s="1">
        <f t="shared" si="60"/>
        <v>174.20000000000002</v>
      </c>
      <c r="J1317" t="str">
        <f t="shared" si="61"/>
        <v>Low</v>
      </c>
      <c r="K1317" s="1"/>
      <c r="L1317" s="1">
        <v>0.06</v>
      </c>
      <c r="M1317" s="1">
        <v>1.56</v>
      </c>
      <c r="N1317" s="1" t="s">
        <v>25</v>
      </c>
      <c r="O1317" s="1" t="s">
        <v>55</v>
      </c>
      <c r="P1317" s="2">
        <v>41860</v>
      </c>
      <c r="Q1317" s="2" t="b">
        <f t="shared" si="62"/>
        <v>0</v>
      </c>
      <c r="V1317" s="2"/>
      <c r="W1317" s="2"/>
      <c r="X1317" s="2"/>
      <c r="Y1317" s="2"/>
      <c r="Z1317" s="2"/>
      <c r="AA1317" s="2"/>
      <c r="AB1317" s="2"/>
      <c r="AC1317" s="2"/>
      <c r="AD1317" s="2"/>
      <c r="AE1317" s="2"/>
      <c r="AF1317" s="2"/>
      <c r="AG1317" s="2"/>
      <c r="AH1317" s="2"/>
      <c r="AI1317" s="2"/>
    </row>
    <row r="1318" spans="1:35" ht="14.25" customHeight="1" x14ac:dyDescent="0.2">
      <c r="A1318" s="1">
        <v>47941</v>
      </c>
      <c r="B1318" s="1" t="s">
        <v>432</v>
      </c>
      <c r="C1318" s="1" t="s">
        <v>51</v>
      </c>
      <c r="D1318" s="2">
        <v>41859</v>
      </c>
      <c r="E1318" s="1" t="s">
        <v>31</v>
      </c>
      <c r="F1318" s="1" t="s">
        <v>349</v>
      </c>
      <c r="G1318" s="1">
        <v>15</v>
      </c>
      <c r="H1318" s="1">
        <v>95.99</v>
      </c>
      <c r="I1318" s="1">
        <f t="shared" si="60"/>
        <v>1439.85</v>
      </c>
      <c r="J1318" t="str">
        <f t="shared" si="61"/>
        <v>High</v>
      </c>
      <c r="K1318" s="1"/>
      <c r="L1318" s="1">
        <v>0.03</v>
      </c>
      <c r="M1318" s="1">
        <v>4.9000000000000004</v>
      </c>
      <c r="N1318" s="1" t="s">
        <v>33</v>
      </c>
      <c r="O1318" s="1" t="s">
        <v>34</v>
      </c>
      <c r="P1318" s="2">
        <v>41859</v>
      </c>
      <c r="Q1318" s="2" t="b">
        <f t="shared" si="62"/>
        <v>0</v>
      </c>
      <c r="V1318" s="2"/>
      <c r="W1318" s="2"/>
      <c r="X1318" s="2"/>
      <c r="Y1318" s="2"/>
      <c r="Z1318" s="2"/>
      <c r="AA1318" s="2"/>
      <c r="AB1318" s="2"/>
      <c r="AC1318" s="2"/>
      <c r="AD1318" s="2"/>
      <c r="AE1318" s="2"/>
      <c r="AF1318" s="2"/>
      <c r="AG1318" s="2"/>
      <c r="AH1318" s="2"/>
      <c r="AI1318" s="2"/>
    </row>
    <row r="1319" spans="1:35" ht="14.25" customHeight="1" x14ac:dyDescent="0.2">
      <c r="A1319" s="1">
        <v>48388</v>
      </c>
      <c r="B1319" s="1" t="s">
        <v>86</v>
      </c>
      <c r="C1319" s="1" t="s">
        <v>21</v>
      </c>
      <c r="D1319" s="2">
        <v>41860</v>
      </c>
      <c r="E1319" s="1" t="s">
        <v>31</v>
      </c>
      <c r="F1319" s="1" t="s">
        <v>1178</v>
      </c>
      <c r="G1319" s="1">
        <v>3</v>
      </c>
      <c r="H1319" s="1">
        <v>5.74</v>
      </c>
      <c r="I1319" s="1">
        <f t="shared" si="60"/>
        <v>17.22</v>
      </c>
      <c r="J1319" t="str">
        <f t="shared" si="61"/>
        <v>Low</v>
      </c>
      <c r="K1319" s="1"/>
      <c r="L1319" s="1">
        <v>0.08</v>
      </c>
      <c r="M1319" s="1">
        <v>5.01</v>
      </c>
      <c r="N1319" s="1" t="s">
        <v>33</v>
      </c>
      <c r="O1319" s="1" t="s">
        <v>34</v>
      </c>
      <c r="P1319" s="2">
        <v>41862</v>
      </c>
      <c r="Q1319" s="2" t="b">
        <f t="shared" si="62"/>
        <v>0</v>
      </c>
      <c r="V1319" s="2"/>
      <c r="W1319" s="2"/>
      <c r="X1319" s="2"/>
      <c r="Y1319" s="2"/>
      <c r="Z1319" s="2"/>
      <c r="AA1319" s="2"/>
      <c r="AB1319" s="2"/>
      <c r="AC1319" s="2"/>
      <c r="AD1319" s="2"/>
      <c r="AE1319" s="2"/>
      <c r="AF1319" s="2"/>
      <c r="AG1319" s="2"/>
      <c r="AH1319" s="2"/>
      <c r="AI1319" s="2"/>
    </row>
    <row r="1320" spans="1:35" ht="14.25" customHeight="1" x14ac:dyDescent="0.2">
      <c r="A1320" s="1">
        <v>3136</v>
      </c>
      <c r="B1320" s="1" t="s">
        <v>246</v>
      </c>
      <c r="C1320" s="1" t="s">
        <v>21</v>
      </c>
      <c r="D1320" s="2">
        <v>41860</v>
      </c>
      <c r="E1320" s="1" t="s">
        <v>22</v>
      </c>
      <c r="F1320" s="1" t="s">
        <v>1211</v>
      </c>
      <c r="G1320" s="1">
        <v>8</v>
      </c>
      <c r="H1320" s="1">
        <v>30.98</v>
      </c>
      <c r="I1320" s="1">
        <f t="shared" si="60"/>
        <v>247.84</v>
      </c>
      <c r="J1320" t="str">
        <f t="shared" si="61"/>
        <v>Low</v>
      </c>
      <c r="K1320" s="1"/>
      <c r="L1320" s="1">
        <v>0.1</v>
      </c>
      <c r="M1320" s="1">
        <v>8.99</v>
      </c>
      <c r="N1320" s="1" t="s">
        <v>33</v>
      </c>
      <c r="O1320" s="1" t="s">
        <v>84</v>
      </c>
      <c r="P1320" s="2">
        <v>41862</v>
      </c>
      <c r="Q1320" s="2" t="b">
        <f t="shared" si="62"/>
        <v>0</v>
      </c>
      <c r="V1320" s="2"/>
      <c r="W1320" s="2"/>
      <c r="X1320" s="2"/>
      <c r="Y1320" s="2"/>
      <c r="Z1320" s="2"/>
      <c r="AA1320" s="2"/>
      <c r="AB1320" s="2"/>
      <c r="AC1320" s="2"/>
      <c r="AD1320" s="2"/>
      <c r="AE1320" s="2"/>
      <c r="AF1320" s="2"/>
      <c r="AG1320" s="2"/>
      <c r="AH1320" s="2"/>
      <c r="AI1320" s="2"/>
    </row>
    <row r="1321" spans="1:35" ht="14.25" customHeight="1" x14ac:dyDescent="0.2">
      <c r="A1321" s="1">
        <v>17927</v>
      </c>
      <c r="B1321" s="1" t="s">
        <v>466</v>
      </c>
      <c r="C1321" s="1" t="s">
        <v>21</v>
      </c>
      <c r="D1321" s="2">
        <v>41860</v>
      </c>
      <c r="E1321" s="1" t="s">
        <v>101</v>
      </c>
      <c r="F1321" s="1" t="s">
        <v>1122</v>
      </c>
      <c r="G1321" s="1">
        <v>42</v>
      </c>
      <c r="H1321" s="1">
        <v>20.95</v>
      </c>
      <c r="I1321" s="1">
        <f t="shared" si="60"/>
        <v>879.9</v>
      </c>
      <c r="J1321" t="str">
        <f t="shared" si="61"/>
        <v>Low</v>
      </c>
      <c r="K1321" s="1"/>
      <c r="L1321" s="1">
        <v>7.0000000000000007E-2</v>
      </c>
      <c r="M1321" s="1">
        <v>5.99</v>
      </c>
      <c r="N1321" s="1" t="s">
        <v>33</v>
      </c>
      <c r="O1321" s="1" t="s">
        <v>34</v>
      </c>
      <c r="P1321" s="2">
        <v>41861</v>
      </c>
      <c r="Q1321" s="2" t="b">
        <f t="shared" si="62"/>
        <v>0</v>
      </c>
      <c r="V1321" s="2"/>
      <c r="W1321" s="2"/>
      <c r="X1321" s="2"/>
      <c r="Y1321" s="2"/>
      <c r="Z1321" s="2"/>
      <c r="AA1321" s="2"/>
      <c r="AB1321" s="2"/>
      <c r="AC1321" s="2"/>
      <c r="AD1321" s="2"/>
      <c r="AE1321" s="2"/>
      <c r="AF1321" s="2"/>
      <c r="AG1321" s="2"/>
      <c r="AH1321" s="2"/>
      <c r="AI1321" s="2"/>
    </row>
    <row r="1322" spans="1:35" ht="14.25" customHeight="1" x14ac:dyDescent="0.2">
      <c r="A1322" s="1">
        <v>39521</v>
      </c>
      <c r="B1322" s="1" t="s">
        <v>889</v>
      </c>
      <c r="C1322" s="1" t="s">
        <v>21</v>
      </c>
      <c r="D1322" s="2">
        <v>41860</v>
      </c>
      <c r="E1322" s="1" t="s">
        <v>43</v>
      </c>
      <c r="F1322" s="1" t="s">
        <v>139</v>
      </c>
      <c r="G1322" s="1">
        <v>28</v>
      </c>
      <c r="H1322" s="1">
        <v>4.13</v>
      </c>
      <c r="I1322" s="1">
        <f t="shared" si="60"/>
        <v>115.64</v>
      </c>
      <c r="J1322" t="str">
        <f t="shared" si="61"/>
        <v>Low</v>
      </c>
      <c r="K1322" s="1"/>
      <c r="L1322" s="1">
        <v>0.1</v>
      </c>
      <c r="M1322" s="1">
        <v>0.99</v>
      </c>
      <c r="N1322" s="1" t="s">
        <v>33</v>
      </c>
      <c r="O1322" s="1" t="s">
        <v>34</v>
      </c>
      <c r="P1322" s="2">
        <v>41864</v>
      </c>
      <c r="Q1322" s="2" t="b">
        <f t="shared" si="62"/>
        <v>0</v>
      </c>
      <c r="V1322" s="2"/>
      <c r="W1322" s="2"/>
      <c r="X1322" s="2"/>
      <c r="Y1322" s="2"/>
      <c r="Z1322" s="2"/>
      <c r="AA1322" s="2"/>
      <c r="AB1322" s="2"/>
      <c r="AC1322" s="2"/>
      <c r="AD1322" s="2"/>
      <c r="AE1322" s="2"/>
      <c r="AF1322" s="2"/>
      <c r="AG1322" s="2"/>
      <c r="AH1322" s="2"/>
      <c r="AI1322" s="2"/>
    </row>
    <row r="1323" spans="1:35" ht="14.25" customHeight="1" x14ac:dyDescent="0.2">
      <c r="A1323" s="1">
        <v>21636</v>
      </c>
      <c r="B1323" s="1" t="s">
        <v>895</v>
      </c>
      <c r="C1323" s="1" t="s">
        <v>21</v>
      </c>
      <c r="D1323" s="2">
        <v>41861</v>
      </c>
      <c r="E1323" s="1" t="s">
        <v>43</v>
      </c>
      <c r="F1323" s="1" t="s">
        <v>1304</v>
      </c>
      <c r="G1323" s="1">
        <v>35</v>
      </c>
      <c r="H1323" s="1">
        <v>55.99</v>
      </c>
      <c r="I1323" s="1">
        <f t="shared" si="60"/>
        <v>1959.65</v>
      </c>
      <c r="J1323" t="str">
        <f t="shared" si="61"/>
        <v>High</v>
      </c>
      <c r="K1323" s="1"/>
      <c r="L1323" s="1">
        <v>0.02</v>
      </c>
      <c r="M1323" s="1">
        <v>3.3</v>
      </c>
      <c r="N1323" s="1" t="s">
        <v>33</v>
      </c>
      <c r="O1323" s="1" t="s">
        <v>84</v>
      </c>
      <c r="P1323" s="2">
        <v>41861</v>
      </c>
      <c r="Q1323" s="2" t="b">
        <f t="shared" si="62"/>
        <v>0</v>
      </c>
      <c r="V1323" s="2"/>
      <c r="W1323" s="2"/>
      <c r="X1323" s="2"/>
      <c r="Y1323" s="2"/>
      <c r="Z1323" s="2"/>
      <c r="AA1323" s="2"/>
      <c r="AB1323" s="2"/>
      <c r="AC1323" s="2"/>
      <c r="AD1323" s="2"/>
      <c r="AE1323" s="2"/>
      <c r="AF1323" s="2"/>
      <c r="AG1323" s="2"/>
      <c r="AH1323" s="2"/>
      <c r="AI1323" s="2"/>
    </row>
    <row r="1324" spans="1:35" ht="14.25" customHeight="1" x14ac:dyDescent="0.2">
      <c r="A1324" s="1">
        <v>45732</v>
      </c>
      <c r="B1324" s="1" t="s">
        <v>323</v>
      </c>
      <c r="C1324" s="1" t="s">
        <v>30</v>
      </c>
      <c r="D1324" s="2">
        <v>41861</v>
      </c>
      <c r="E1324" s="1" t="s">
        <v>38</v>
      </c>
      <c r="F1324" s="1" t="s">
        <v>902</v>
      </c>
      <c r="G1324" s="1">
        <v>19</v>
      </c>
      <c r="H1324" s="1">
        <v>6.48</v>
      </c>
      <c r="I1324" s="1">
        <f t="shared" si="60"/>
        <v>123.12</v>
      </c>
      <c r="J1324" t="str">
        <f t="shared" si="61"/>
        <v>Low</v>
      </c>
      <c r="K1324" s="1"/>
      <c r="L1324" s="1">
        <v>0.01</v>
      </c>
      <c r="M1324" s="1">
        <v>6.22</v>
      </c>
      <c r="N1324" s="1" t="s">
        <v>25</v>
      </c>
      <c r="O1324" s="1" t="s">
        <v>34</v>
      </c>
      <c r="P1324" s="2">
        <v>41862</v>
      </c>
      <c r="Q1324" s="2" t="b">
        <f t="shared" si="62"/>
        <v>0</v>
      </c>
      <c r="V1324" s="2"/>
      <c r="W1324" s="2"/>
      <c r="X1324" s="2"/>
      <c r="Y1324" s="2"/>
      <c r="Z1324" s="2"/>
      <c r="AA1324" s="2"/>
      <c r="AB1324" s="2"/>
      <c r="AC1324" s="2"/>
      <c r="AD1324" s="2"/>
      <c r="AE1324" s="2"/>
      <c r="AF1324" s="2"/>
      <c r="AG1324" s="2"/>
      <c r="AH1324" s="2"/>
      <c r="AI1324" s="2"/>
    </row>
    <row r="1325" spans="1:35" ht="14.25" customHeight="1" x14ac:dyDescent="0.2">
      <c r="A1325" s="1">
        <v>45732</v>
      </c>
      <c r="B1325" s="1" t="s">
        <v>323</v>
      </c>
      <c r="C1325" s="1" t="s">
        <v>30</v>
      </c>
      <c r="D1325" s="2">
        <v>41861</v>
      </c>
      <c r="E1325" s="1" t="s">
        <v>38</v>
      </c>
      <c r="F1325" s="1" t="s">
        <v>1231</v>
      </c>
      <c r="G1325" s="1">
        <v>35</v>
      </c>
      <c r="H1325" s="1">
        <v>85.99</v>
      </c>
      <c r="I1325" s="1">
        <f t="shared" si="60"/>
        <v>3009.6499999999996</v>
      </c>
      <c r="J1325" t="str">
        <f t="shared" si="61"/>
        <v>High</v>
      </c>
      <c r="K1325" s="1"/>
      <c r="L1325" s="1">
        <v>0.03</v>
      </c>
      <c r="M1325" s="1">
        <v>3.3</v>
      </c>
      <c r="N1325" s="1" t="s">
        <v>33</v>
      </c>
      <c r="O1325" s="1" t="s">
        <v>84</v>
      </c>
      <c r="P1325" s="2">
        <v>41863</v>
      </c>
      <c r="Q1325" s="2" t="b">
        <f t="shared" si="62"/>
        <v>0</v>
      </c>
      <c r="V1325" s="2"/>
      <c r="W1325" s="2"/>
      <c r="X1325" s="2"/>
      <c r="Y1325" s="2"/>
      <c r="Z1325" s="2"/>
      <c r="AA1325" s="2"/>
      <c r="AB1325" s="2"/>
      <c r="AC1325" s="2"/>
      <c r="AD1325" s="2"/>
      <c r="AE1325" s="2"/>
      <c r="AF1325" s="2"/>
      <c r="AG1325" s="2"/>
      <c r="AH1325" s="2"/>
      <c r="AI1325" s="2"/>
    </row>
    <row r="1326" spans="1:35" ht="14.25" customHeight="1" x14ac:dyDescent="0.2">
      <c r="A1326" s="1">
        <v>45731</v>
      </c>
      <c r="B1326" s="1" t="s">
        <v>354</v>
      </c>
      <c r="C1326" s="1" t="s">
        <v>30</v>
      </c>
      <c r="D1326" s="2">
        <v>41861</v>
      </c>
      <c r="E1326" s="1" t="s">
        <v>38</v>
      </c>
      <c r="F1326" s="1" t="s">
        <v>581</v>
      </c>
      <c r="G1326" s="1">
        <v>44</v>
      </c>
      <c r="H1326" s="1">
        <v>296.18</v>
      </c>
      <c r="I1326" s="1">
        <f t="shared" si="60"/>
        <v>13031.92</v>
      </c>
      <c r="J1326" t="str">
        <f t="shared" si="61"/>
        <v>High</v>
      </c>
      <c r="K1326" s="1"/>
      <c r="L1326" s="1">
        <v>0.04</v>
      </c>
      <c r="M1326" s="1">
        <v>154.12</v>
      </c>
      <c r="N1326" s="1" t="s">
        <v>45</v>
      </c>
      <c r="O1326" s="1" t="s">
        <v>63</v>
      </c>
      <c r="P1326" s="2">
        <v>41862</v>
      </c>
      <c r="Q1326" s="2" t="b">
        <f t="shared" si="62"/>
        <v>0</v>
      </c>
      <c r="V1326" s="2"/>
      <c r="W1326" s="2"/>
      <c r="X1326" s="2"/>
      <c r="Y1326" s="2"/>
      <c r="Z1326" s="2"/>
      <c r="AA1326" s="2"/>
      <c r="AB1326" s="2"/>
      <c r="AC1326" s="2"/>
      <c r="AD1326" s="2"/>
      <c r="AE1326" s="2"/>
      <c r="AF1326" s="2"/>
      <c r="AG1326" s="2"/>
      <c r="AH1326" s="2"/>
      <c r="AI1326" s="2"/>
    </row>
    <row r="1327" spans="1:35" ht="14.25" customHeight="1" x14ac:dyDescent="0.2">
      <c r="A1327" s="1">
        <v>21636</v>
      </c>
      <c r="B1327" s="1" t="s">
        <v>895</v>
      </c>
      <c r="C1327" s="1" t="s">
        <v>51</v>
      </c>
      <c r="D1327" s="2">
        <v>41861</v>
      </c>
      <c r="E1327" s="1" t="s">
        <v>43</v>
      </c>
      <c r="F1327" s="1" t="s">
        <v>770</v>
      </c>
      <c r="G1327" s="1">
        <v>16</v>
      </c>
      <c r="H1327" s="1">
        <v>22.38</v>
      </c>
      <c r="I1327" s="1">
        <f t="shared" si="60"/>
        <v>358.08</v>
      </c>
      <c r="J1327" t="str">
        <f t="shared" si="61"/>
        <v>Low</v>
      </c>
      <c r="K1327" s="1"/>
      <c r="L1327" s="1">
        <v>0</v>
      </c>
      <c r="M1327" s="1">
        <v>15.1</v>
      </c>
      <c r="N1327" s="1" t="s">
        <v>25</v>
      </c>
      <c r="O1327" s="1" t="s">
        <v>34</v>
      </c>
      <c r="P1327" s="2">
        <v>41868</v>
      </c>
      <c r="Q1327" s="2" t="b">
        <f t="shared" si="62"/>
        <v>0</v>
      </c>
      <c r="V1327" s="2"/>
      <c r="W1327" s="2"/>
      <c r="X1327" s="2"/>
      <c r="Y1327" s="2"/>
      <c r="Z1327" s="2"/>
      <c r="AA1327" s="2"/>
      <c r="AB1327" s="2"/>
      <c r="AC1327" s="2"/>
      <c r="AD1327" s="2"/>
      <c r="AE1327" s="2"/>
      <c r="AF1327" s="2"/>
      <c r="AG1327" s="2"/>
      <c r="AH1327" s="2"/>
      <c r="AI1327" s="2"/>
    </row>
    <row r="1328" spans="1:35" ht="14.25" customHeight="1" x14ac:dyDescent="0.2">
      <c r="A1328" s="1">
        <v>21636</v>
      </c>
      <c r="B1328" s="1" t="s">
        <v>895</v>
      </c>
      <c r="C1328" s="1" t="s">
        <v>21</v>
      </c>
      <c r="D1328" s="2">
        <v>41861</v>
      </c>
      <c r="E1328" s="1" t="s">
        <v>43</v>
      </c>
      <c r="F1328" s="1" t="s">
        <v>32</v>
      </c>
      <c r="G1328" s="1">
        <v>6</v>
      </c>
      <c r="H1328" s="1">
        <v>5.98</v>
      </c>
      <c r="I1328" s="1">
        <f t="shared" si="60"/>
        <v>35.880000000000003</v>
      </c>
      <c r="J1328" t="str">
        <f t="shared" si="61"/>
        <v>Low</v>
      </c>
      <c r="K1328" s="1"/>
      <c r="L1328" s="1">
        <v>7.0000000000000007E-2</v>
      </c>
      <c r="M1328" s="1">
        <v>4.6900000000000004</v>
      </c>
      <c r="N1328" s="1" t="s">
        <v>33</v>
      </c>
      <c r="O1328" s="1" t="s">
        <v>34</v>
      </c>
      <c r="P1328" s="2">
        <v>41866</v>
      </c>
      <c r="Q1328" s="2" t="b">
        <f t="shared" si="62"/>
        <v>0</v>
      </c>
      <c r="V1328" s="2"/>
      <c r="W1328" s="2"/>
      <c r="X1328" s="2"/>
      <c r="Y1328" s="2"/>
      <c r="Z1328" s="2"/>
      <c r="AA1328" s="2"/>
      <c r="AB1328" s="2"/>
      <c r="AC1328" s="2"/>
      <c r="AD1328" s="2"/>
      <c r="AE1328" s="2"/>
      <c r="AF1328" s="2"/>
      <c r="AG1328" s="2"/>
      <c r="AH1328" s="2"/>
      <c r="AI1328" s="2"/>
    </row>
    <row r="1329" spans="1:35" ht="14.25" customHeight="1" x14ac:dyDescent="0.2">
      <c r="A1329" s="1">
        <v>48327</v>
      </c>
      <c r="B1329" s="1" t="s">
        <v>225</v>
      </c>
      <c r="C1329" s="1" t="s">
        <v>21</v>
      </c>
      <c r="D1329" s="2">
        <v>41861</v>
      </c>
      <c r="E1329" s="1" t="s">
        <v>22</v>
      </c>
      <c r="F1329" s="1" t="s">
        <v>1305</v>
      </c>
      <c r="G1329" s="1">
        <v>14</v>
      </c>
      <c r="H1329" s="1">
        <v>5.98</v>
      </c>
      <c r="I1329" s="1">
        <f t="shared" si="60"/>
        <v>83.72</v>
      </c>
      <c r="J1329" t="str">
        <f t="shared" si="61"/>
        <v>Low</v>
      </c>
      <c r="K1329" s="1"/>
      <c r="L1329" s="1">
        <v>0.03</v>
      </c>
      <c r="M1329" s="1">
        <v>3.85</v>
      </c>
      <c r="N1329" s="1" t="s">
        <v>33</v>
      </c>
      <c r="O1329" s="1" t="s">
        <v>84</v>
      </c>
      <c r="P1329" s="2">
        <v>41863</v>
      </c>
      <c r="Q1329" s="2" t="b">
        <f t="shared" si="62"/>
        <v>0</v>
      </c>
      <c r="V1329" s="2"/>
      <c r="W1329" s="2"/>
      <c r="X1329" s="2"/>
      <c r="Y1329" s="2"/>
      <c r="Z1329" s="2"/>
      <c r="AA1329" s="2"/>
      <c r="AB1329" s="2"/>
      <c r="AC1329" s="2"/>
      <c r="AD1329" s="2"/>
      <c r="AE1329" s="2"/>
      <c r="AF1329" s="2"/>
      <c r="AG1329" s="2"/>
      <c r="AH1329" s="2"/>
      <c r="AI1329" s="2"/>
    </row>
    <row r="1330" spans="1:35" ht="14.25" customHeight="1" x14ac:dyDescent="0.2">
      <c r="A1330" s="1">
        <v>54949</v>
      </c>
      <c r="B1330" s="1" t="s">
        <v>1306</v>
      </c>
      <c r="C1330" s="1" t="s">
        <v>21</v>
      </c>
      <c r="D1330" s="2">
        <v>41861</v>
      </c>
      <c r="E1330" s="1" t="s">
        <v>43</v>
      </c>
      <c r="F1330" s="1" t="s">
        <v>1307</v>
      </c>
      <c r="G1330" s="1">
        <v>32</v>
      </c>
      <c r="H1330" s="1">
        <v>6.48</v>
      </c>
      <c r="I1330" s="1">
        <f t="shared" si="60"/>
        <v>207.36</v>
      </c>
      <c r="J1330" t="str">
        <f t="shared" si="61"/>
        <v>Low</v>
      </c>
      <c r="K1330" s="1"/>
      <c r="L1330" s="1">
        <v>0.08</v>
      </c>
      <c r="M1330" s="1">
        <v>6.81</v>
      </c>
      <c r="N1330" s="1" t="s">
        <v>33</v>
      </c>
      <c r="O1330" s="1" t="s">
        <v>34</v>
      </c>
      <c r="P1330" s="2">
        <v>41866</v>
      </c>
      <c r="Q1330" s="2" t="b">
        <f t="shared" si="62"/>
        <v>0</v>
      </c>
      <c r="V1330" s="2"/>
      <c r="W1330" s="2"/>
      <c r="X1330" s="2"/>
      <c r="Y1330" s="2"/>
      <c r="Z1330" s="2"/>
      <c r="AA1330" s="2"/>
      <c r="AB1330" s="2"/>
      <c r="AC1330" s="2"/>
      <c r="AD1330" s="2"/>
      <c r="AE1330" s="2"/>
      <c r="AF1330" s="2"/>
      <c r="AG1330" s="2"/>
      <c r="AH1330" s="2"/>
      <c r="AI1330" s="2"/>
    </row>
    <row r="1331" spans="1:35" ht="14.25" customHeight="1" x14ac:dyDescent="0.2">
      <c r="A1331" s="1">
        <v>54949</v>
      </c>
      <c r="B1331" s="1" t="s">
        <v>1306</v>
      </c>
      <c r="C1331" s="1" t="s">
        <v>21</v>
      </c>
      <c r="D1331" s="2">
        <v>41861</v>
      </c>
      <c r="E1331" s="1" t="s">
        <v>43</v>
      </c>
      <c r="F1331" s="1" t="s">
        <v>521</v>
      </c>
      <c r="G1331" s="1">
        <v>7</v>
      </c>
      <c r="H1331" s="1">
        <v>20.98</v>
      </c>
      <c r="I1331" s="1">
        <f t="shared" si="60"/>
        <v>146.86000000000001</v>
      </c>
      <c r="J1331" t="str">
        <f t="shared" si="61"/>
        <v>Low</v>
      </c>
      <c r="K1331" s="1"/>
      <c r="L1331" s="1">
        <v>0.09</v>
      </c>
      <c r="M1331" s="1">
        <v>53.03</v>
      </c>
      <c r="N1331" s="1" t="s">
        <v>45</v>
      </c>
      <c r="O1331" s="1" t="s">
        <v>46</v>
      </c>
      <c r="P1331" s="2">
        <v>41868</v>
      </c>
      <c r="Q1331" s="2" t="b">
        <f t="shared" si="62"/>
        <v>0</v>
      </c>
      <c r="V1331" s="2"/>
      <c r="W1331" s="2"/>
      <c r="X1331" s="2"/>
      <c r="Y1331" s="2"/>
      <c r="Z1331" s="2"/>
      <c r="AA1331" s="2"/>
      <c r="AB1331" s="2"/>
      <c r="AC1331" s="2"/>
      <c r="AD1331" s="2"/>
      <c r="AE1331" s="2"/>
      <c r="AF1331" s="2"/>
      <c r="AG1331" s="2"/>
      <c r="AH1331" s="2"/>
      <c r="AI1331" s="2"/>
    </row>
    <row r="1332" spans="1:35" ht="14.25" customHeight="1" x14ac:dyDescent="0.2">
      <c r="A1332" s="1">
        <v>10464</v>
      </c>
      <c r="B1332" s="1" t="s">
        <v>977</v>
      </c>
      <c r="C1332" s="1" t="s">
        <v>21</v>
      </c>
      <c r="D1332" s="2">
        <v>41861</v>
      </c>
      <c r="E1332" s="1" t="s">
        <v>38</v>
      </c>
      <c r="F1332" s="1" t="s">
        <v>985</v>
      </c>
      <c r="G1332" s="1">
        <v>23</v>
      </c>
      <c r="H1332" s="1">
        <v>4.9800000000000004</v>
      </c>
      <c r="I1332" s="1">
        <f t="shared" si="60"/>
        <v>114.54</v>
      </c>
      <c r="J1332" t="str">
        <f t="shared" si="61"/>
        <v>Low</v>
      </c>
      <c r="K1332" s="1"/>
      <c r="L1332" s="1">
        <v>0.01</v>
      </c>
      <c r="M1332" s="1">
        <v>6.07</v>
      </c>
      <c r="N1332" s="1" t="s">
        <v>33</v>
      </c>
      <c r="O1332" s="1" t="s">
        <v>34</v>
      </c>
      <c r="P1332" s="2">
        <v>41862</v>
      </c>
      <c r="Q1332" s="2" t="b">
        <f t="shared" si="62"/>
        <v>0</v>
      </c>
      <c r="V1332" s="2"/>
      <c r="W1332" s="2"/>
      <c r="X1332" s="2"/>
      <c r="Y1332" s="2"/>
      <c r="Z1332" s="2"/>
      <c r="AA1332" s="2"/>
      <c r="AB1332" s="2"/>
      <c r="AC1332" s="2"/>
      <c r="AD1332" s="2"/>
      <c r="AE1332" s="2"/>
      <c r="AF1332" s="2"/>
      <c r="AG1332" s="2"/>
      <c r="AH1332" s="2"/>
      <c r="AI1332" s="2"/>
    </row>
    <row r="1333" spans="1:35" ht="14.25" customHeight="1" x14ac:dyDescent="0.2">
      <c r="A1333" s="1">
        <v>20389</v>
      </c>
      <c r="B1333" s="1" t="s">
        <v>192</v>
      </c>
      <c r="C1333" s="1" t="s">
        <v>21</v>
      </c>
      <c r="D1333" s="2">
        <v>41862</v>
      </c>
      <c r="E1333" s="1" t="s">
        <v>31</v>
      </c>
      <c r="F1333" s="1" t="s">
        <v>1218</v>
      </c>
      <c r="G1333" s="1">
        <v>31</v>
      </c>
      <c r="H1333" s="1">
        <v>260.98</v>
      </c>
      <c r="I1333" s="1">
        <f t="shared" si="60"/>
        <v>8090.380000000001</v>
      </c>
      <c r="J1333" t="str">
        <f t="shared" si="61"/>
        <v>High</v>
      </c>
      <c r="K1333" s="1"/>
      <c r="L1333" s="1">
        <v>0.09</v>
      </c>
      <c r="M1333" s="1">
        <v>41.91</v>
      </c>
      <c r="N1333" s="1" t="s">
        <v>45</v>
      </c>
      <c r="O1333" s="1" t="s">
        <v>63</v>
      </c>
      <c r="P1333" s="2">
        <v>41864</v>
      </c>
      <c r="Q1333" s="2" t="b">
        <f t="shared" si="62"/>
        <v>0</v>
      </c>
      <c r="V1333" s="2"/>
      <c r="W1333" s="2"/>
      <c r="X1333" s="2"/>
      <c r="Y1333" s="2"/>
      <c r="Z1333" s="2"/>
      <c r="AA1333" s="2"/>
      <c r="AB1333" s="2"/>
      <c r="AC1333" s="2"/>
      <c r="AD1333" s="2"/>
      <c r="AE1333" s="2"/>
      <c r="AF1333" s="2"/>
      <c r="AG1333" s="2"/>
      <c r="AH1333" s="2"/>
      <c r="AI1333" s="2"/>
    </row>
    <row r="1334" spans="1:35" ht="14.25" customHeight="1" x14ac:dyDescent="0.2">
      <c r="A1334" s="1">
        <v>20389</v>
      </c>
      <c r="B1334" s="1" t="s">
        <v>192</v>
      </c>
      <c r="C1334" s="1" t="s">
        <v>51</v>
      </c>
      <c r="D1334" s="2">
        <v>41862</v>
      </c>
      <c r="E1334" s="1" t="s">
        <v>31</v>
      </c>
      <c r="F1334" s="1" t="s">
        <v>1308</v>
      </c>
      <c r="G1334" s="1">
        <v>24</v>
      </c>
      <c r="H1334" s="1">
        <v>10.52</v>
      </c>
      <c r="I1334" s="1">
        <f t="shared" si="60"/>
        <v>252.48</v>
      </c>
      <c r="J1334" t="str">
        <f t="shared" si="61"/>
        <v>Low</v>
      </c>
      <c r="K1334" s="1"/>
      <c r="L1334" s="1">
        <v>0.01</v>
      </c>
      <c r="M1334" s="1">
        <v>7.94</v>
      </c>
      <c r="N1334" s="1" t="s">
        <v>33</v>
      </c>
      <c r="O1334" s="1" t="s">
        <v>84</v>
      </c>
      <c r="P1334" s="2">
        <v>41864</v>
      </c>
      <c r="Q1334" s="2" t="b">
        <f t="shared" si="62"/>
        <v>0</v>
      </c>
      <c r="V1334" s="2"/>
      <c r="W1334" s="2"/>
      <c r="X1334" s="2"/>
      <c r="Y1334" s="2"/>
      <c r="Z1334" s="2"/>
      <c r="AA1334" s="2"/>
      <c r="AB1334" s="2"/>
      <c r="AC1334" s="2"/>
      <c r="AD1334" s="2"/>
      <c r="AE1334" s="2"/>
      <c r="AF1334" s="2"/>
      <c r="AG1334" s="2"/>
      <c r="AH1334" s="2"/>
      <c r="AI1334" s="2"/>
    </row>
    <row r="1335" spans="1:35" ht="14.25" customHeight="1" x14ac:dyDescent="0.2">
      <c r="A1335" s="1">
        <v>20389</v>
      </c>
      <c r="B1335" s="1" t="s">
        <v>192</v>
      </c>
      <c r="C1335" s="1" t="s">
        <v>51</v>
      </c>
      <c r="D1335" s="2">
        <v>41862</v>
      </c>
      <c r="E1335" s="1" t="s">
        <v>31</v>
      </c>
      <c r="F1335" s="1" t="s">
        <v>1309</v>
      </c>
      <c r="G1335" s="1">
        <v>30</v>
      </c>
      <c r="H1335" s="1">
        <v>5.98</v>
      </c>
      <c r="I1335" s="1">
        <f t="shared" si="60"/>
        <v>179.4</v>
      </c>
      <c r="J1335" t="str">
        <f t="shared" si="61"/>
        <v>Low</v>
      </c>
      <c r="K1335" s="1"/>
      <c r="L1335" s="1">
        <v>0.02</v>
      </c>
      <c r="M1335" s="1">
        <v>7.5</v>
      </c>
      <c r="N1335" s="1" t="s">
        <v>25</v>
      </c>
      <c r="O1335" s="1" t="s">
        <v>34</v>
      </c>
      <c r="P1335" s="2">
        <v>41864</v>
      </c>
      <c r="Q1335" s="2" t="b">
        <f t="shared" si="62"/>
        <v>0</v>
      </c>
      <c r="V1335" s="2"/>
      <c r="W1335" s="2"/>
      <c r="X1335" s="2"/>
      <c r="Y1335" s="2"/>
      <c r="Z1335" s="2"/>
      <c r="AA1335" s="2"/>
      <c r="AB1335" s="2"/>
      <c r="AC1335" s="2"/>
      <c r="AD1335" s="2"/>
      <c r="AE1335" s="2"/>
      <c r="AF1335" s="2"/>
      <c r="AG1335" s="2"/>
      <c r="AH1335" s="2"/>
      <c r="AI1335" s="2"/>
    </row>
    <row r="1336" spans="1:35" ht="14.25" customHeight="1" x14ac:dyDescent="0.2">
      <c r="A1336" s="1">
        <v>20709</v>
      </c>
      <c r="B1336" s="1" t="s">
        <v>1310</v>
      </c>
      <c r="C1336" s="1" t="s">
        <v>21</v>
      </c>
      <c r="D1336" s="2">
        <v>41862</v>
      </c>
      <c r="E1336" s="1" t="s">
        <v>31</v>
      </c>
      <c r="F1336" s="1" t="s">
        <v>139</v>
      </c>
      <c r="G1336" s="1">
        <v>4</v>
      </c>
      <c r="H1336" s="1">
        <v>4.13</v>
      </c>
      <c r="I1336" s="1">
        <f t="shared" si="60"/>
        <v>16.52</v>
      </c>
      <c r="J1336" t="str">
        <f t="shared" si="61"/>
        <v>Low</v>
      </c>
      <c r="K1336" s="1"/>
      <c r="L1336" s="1">
        <v>0.1</v>
      </c>
      <c r="M1336" s="1">
        <v>0.99</v>
      </c>
      <c r="N1336" s="1" t="s">
        <v>33</v>
      </c>
      <c r="O1336" s="1" t="s">
        <v>34</v>
      </c>
      <c r="P1336" s="2">
        <v>41862</v>
      </c>
      <c r="Q1336" s="2" t="b">
        <f t="shared" si="62"/>
        <v>0</v>
      </c>
      <c r="V1336" s="2"/>
      <c r="W1336" s="2"/>
      <c r="X1336" s="2"/>
      <c r="Y1336" s="2"/>
      <c r="Z1336" s="2"/>
      <c r="AA1336" s="2"/>
      <c r="AB1336" s="2"/>
      <c r="AC1336" s="2"/>
      <c r="AD1336" s="2"/>
      <c r="AE1336" s="2"/>
      <c r="AF1336" s="2"/>
      <c r="AG1336" s="2"/>
      <c r="AH1336" s="2"/>
      <c r="AI1336" s="2"/>
    </row>
    <row r="1337" spans="1:35" ht="14.25" customHeight="1" x14ac:dyDescent="0.2">
      <c r="A1337" s="1">
        <v>20709</v>
      </c>
      <c r="B1337" s="1" t="s">
        <v>1310</v>
      </c>
      <c r="C1337" s="1" t="s">
        <v>21</v>
      </c>
      <c r="D1337" s="2">
        <v>41862</v>
      </c>
      <c r="E1337" s="1" t="s">
        <v>31</v>
      </c>
      <c r="F1337" s="1" t="s">
        <v>1311</v>
      </c>
      <c r="G1337" s="1">
        <v>5</v>
      </c>
      <c r="H1337" s="1">
        <v>4.9800000000000004</v>
      </c>
      <c r="I1337" s="1">
        <f t="shared" si="60"/>
        <v>24.900000000000002</v>
      </c>
      <c r="J1337" t="str">
        <f t="shared" si="61"/>
        <v>Low</v>
      </c>
      <c r="K1337" s="1"/>
      <c r="L1337" s="1">
        <v>0.04</v>
      </c>
      <c r="M1337" s="1">
        <v>0.49</v>
      </c>
      <c r="N1337" s="1" t="s">
        <v>33</v>
      </c>
      <c r="O1337" s="1" t="s">
        <v>34</v>
      </c>
      <c r="P1337" s="2">
        <v>41864</v>
      </c>
      <c r="Q1337" s="2" t="b">
        <f t="shared" si="62"/>
        <v>0</v>
      </c>
      <c r="V1337" s="2"/>
      <c r="W1337" s="2"/>
      <c r="X1337" s="2"/>
      <c r="Y1337" s="2"/>
      <c r="Z1337" s="2"/>
      <c r="AA1337" s="2"/>
      <c r="AB1337" s="2"/>
      <c r="AC1337" s="2"/>
      <c r="AD1337" s="2"/>
      <c r="AE1337" s="2"/>
      <c r="AF1337" s="2"/>
      <c r="AG1337" s="2"/>
      <c r="AH1337" s="2"/>
      <c r="AI1337" s="2"/>
    </row>
    <row r="1338" spans="1:35" ht="14.25" customHeight="1" x14ac:dyDescent="0.2">
      <c r="A1338" s="1">
        <v>46018</v>
      </c>
      <c r="B1338" s="1" t="s">
        <v>1020</v>
      </c>
      <c r="C1338" s="1" t="s">
        <v>51</v>
      </c>
      <c r="D1338" s="2">
        <v>41862</v>
      </c>
      <c r="E1338" s="1" t="s">
        <v>101</v>
      </c>
      <c r="F1338" s="1" t="s">
        <v>558</v>
      </c>
      <c r="G1338" s="1">
        <v>31</v>
      </c>
      <c r="H1338" s="1">
        <v>90.97</v>
      </c>
      <c r="I1338" s="1">
        <f t="shared" si="60"/>
        <v>2820.07</v>
      </c>
      <c r="J1338" t="str">
        <f t="shared" si="61"/>
        <v>High</v>
      </c>
      <c r="K1338" s="1"/>
      <c r="L1338" s="1">
        <v>0.06</v>
      </c>
      <c r="M1338" s="1">
        <v>14</v>
      </c>
      <c r="N1338" s="1" t="s">
        <v>45</v>
      </c>
      <c r="O1338" s="1" t="s">
        <v>46</v>
      </c>
      <c r="P1338" s="2">
        <v>41863</v>
      </c>
      <c r="Q1338" s="2" t="b">
        <f t="shared" si="62"/>
        <v>0</v>
      </c>
      <c r="V1338" s="2"/>
      <c r="W1338" s="2"/>
      <c r="X1338" s="2"/>
      <c r="Y1338" s="2"/>
      <c r="Z1338" s="2"/>
      <c r="AA1338" s="2"/>
      <c r="AB1338" s="2"/>
      <c r="AC1338" s="2"/>
      <c r="AD1338" s="2"/>
      <c r="AE1338" s="2"/>
      <c r="AF1338" s="2"/>
      <c r="AG1338" s="2"/>
      <c r="AH1338" s="2"/>
      <c r="AI1338" s="2"/>
    </row>
    <row r="1339" spans="1:35" ht="14.25" customHeight="1" x14ac:dyDescent="0.2">
      <c r="A1339" s="1">
        <v>56163</v>
      </c>
      <c r="B1339" s="1" t="s">
        <v>962</v>
      </c>
      <c r="C1339" s="1" t="s">
        <v>21</v>
      </c>
      <c r="D1339" s="2">
        <v>41862</v>
      </c>
      <c r="E1339" s="1" t="s">
        <v>22</v>
      </c>
      <c r="F1339" s="1" t="s">
        <v>759</v>
      </c>
      <c r="G1339" s="1">
        <v>3</v>
      </c>
      <c r="H1339" s="1">
        <v>37.94</v>
      </c>
      <c r="I1339" s="1">
        <f t="shared" si="60"/>
        <v>113.82</v>
      </c>
      <c r="J1339" t="str">
        <f t="shared" si="61"/>
        <v>Low</v>
      </c>
      <c r="K1339" s="1"/>
      <c r="L1339" s="1">
        <v>0.03</v>
      </c>
      <c r="M1339" s="1">
        <v>5.08</v>
      </c>
      <c r="N1339" s="1" t="s">
        <v>33</v>
      </c>
      <c r="O1339" s="1" t="s">
        <v>55</v>
      </c>
      <c r="P1339" s="2">
        <v>41864</v>
      </c>
      <c r="Q1339" s="2" t="b">
        <f t="shared" si="62"/>
        <v>0</v>
      </c>
      <c r="V1339" s="2"/>
      <c r="W1339" s="2"/>
      <c r="X1339" s="2"/>
      <c r="Y1339" s="2"/>
      <c r="Z1339" s="2"/>
      <c r="AA1339" s="2"/>
      <c r="AB1339" s="2"/>
      <c r="AC1339" s="2"/>
      <c r="AD1339" s="2"/>
      <c r="AE1339" s="2"/>
      <c r="AF1339" s="2"/>
      <c r="AG1339" s="2"/>
      <c r="AH1339" s="2"/>
      <c r="AI1339" s="2"/>
    </row>
    <row r="1340" spans="1:35" ht="14.25" customHeight="1" x14ac:dyDescent="0.2">
      <c r="A1340" s="1">
        <v>5894</v>
      </c>
      <c r="B1340" s="1" t="s">
        <v>1312</v>
      </c>
      <c r="C1340" s="1" t="s">
        <v>21</v>
      </c>
      <c r="D1340" s="2">
        <v>41863</v>
      </c>
      <c r="E1340" s="1" t="s">
        <v>31</v>
      </c>
      <c r="F1340" s="1" t="s">
        <v>264</v>
      </c>
      <c r="G1340" s="1">
        <v>7</v>
      </c>
      <c r="H1340" s="1">
        <v>58.1</v>
      </c>
      <c r="I1340" s="1">
        <f t="shared" si="60"/>
        <v>406.7</v>
      </c>
      <c r="J1340" t="str">
        <f t="shared" si="61"/>
        <v>Low</v>
      </c>
      <c r="K1340" s="1"/>
      <c r="L1340" s="1">
        <v>0.1</v>
      </c>
      <c r="M1340" s="1">
        <v>1.49</v>
      </c>
      <c r="N1340" s="1" t="s">
        <v>33</v>
      </c>
      <c r="O1340" s="1" t="s">
        <v>34</v>
      </c>
      <c r="P1340" s="2">
        <v>41864</v>
      </c>
      <c r="Q1340" s="2" t="b">
        <f t="shared" si="62"/>
        <v>0</v>
      </c>
      <c r="V1340" s="2"/>
      <c r="W1340" s="2"/>
      <c r="X1340" s="2"/>
      <c r="Y1340" s="2"/>
      <c r="Z1340" s="2"/>
      <c r="AA1340" s="2"/>
      <c r="AB1340" s="2"/>
      <c r="AC1340" s="2"/>
      <c r="AD1340" s="2"/>
      <c r="AE1340" s="2"/>
      <c r="AF1340" s="2"/>
      <c r="AG1340" s="2"/>
      <c r="AH1340" s="2"/>
      <c r="AI1340" s="2"/>
    </row>
    <row r="1341" spans="1:35" ht="14.25" customHeight="1" x14ac:dyDescent="0.2">
      <c r="A1341" s="1">
        <v>5894</v>
      </c>
      <c r="B1341" s="1" t="s">
        <v>1312</v>
      </c>
      <c r="C1341" s="1" t="s">
        <v>30</v>
      </c>
      <c r="D1341" s="2">
        <v>41863</v>
      </c>
      <c r="E1341" s="1" t="s">
        <v>31</v>
      </c>
      <c r="F1341" s="1" t="s">
        <v>1313</v>
      </c>
      <c r="G1341" s="1">
        <v>3</v>
      </c>
      <c r="H1341" s="1">
        <v>80.48</v>
      </c>
      <c r="I1341" s="1">
        <f t="shared" si="60"/>
        <v>241.44</v>
      </c>
      <c r="J1341" t="str">
        <f t="shared" si="61"/>
        <v>Low</v>
      </c>
      <c r="K1341" s="1"/>
      <c r="L1341" s="1">
        <v>0.01</v>
      </c>
      <c r="M1341" s="1">
        <v>4.5</v>
      </c>
      <c r="N1341" s="1" t="s">
        <v>33</v>
      </c>
      <c r="O1341" s="1" t="s">
        <v>34</v>
      </c>
      <c r="P1341" s="2">
        <v>41866</v>
      </c>
      <c r="Q1341" s="2" t="b">
        <f t="shared" si="62"/>
        <v>0</v>
      </c>
      <c r="V1341" s="2"/>
      <c r="W1341" s="2"/>
      <c r="X1341" s="2"/>
      <c r="Y1341" s="2"/>
      <c r="Z1341" s="2"/>
      <c r="AA1341" s="2"/>
      <c r="AB1341" s="2"/>
      <c r="AC1341" s="2"/>
      <c r="AD1341" s="2"/>
      <c r="AE1341" s="2"/>
      <c r="AF1341" s="2"/>
      <c r="AG1341" s="2"/>
      <c r="AH1341" s="2"/>
      <c r="AI1341" s="2"/>
    </row>
    <row r="1342" spans="1:35" ht="14.25" customHeight="1" x14ac:dyDescent="0.2">
      <c r="A1342" s="1">
        <v>45573</v>
      </c>
      <c r="B1342" s="1" t="s">
        <v>381</v>
      </c>
      <c r="C1342" s="1" t="s">
        <v>21</v>
      </c>
      <c r="D1342" s="2">
        <v>41863</v>
      </c>
      <c r="E1342" s="1" t="s">
        <v>31</v>
      </c>
      <c r="F1342" s="1" t="s">
        <v>1052</v>
      </c>
      <c r="G1342" s="1">
        <v>5</v>
      </c>
      <c r="H1342" s="1">
        <v>120.98</v>
      </c>
      <c r="I1342" s="1">
        <f t="shared" si="60"/>
        <v>604.9</v>
      </c>
      <c r="J1342" t="str">
        <f t="shared" si="61"/>
        <v>Low</v>
      </c>
      <c r="K1342" s="1"/>
      <c r="L1342" s="1">
        <v>0.05</v>
      </c>
      <c r="M1342" s="1">
        <v>30</v>
      </c>
      <c r="N1342" s="1" t="s">
        <v>45</v>
      </c>
      <c r="O1342" s="1" t="s">
        <v>46</v>
      </c>
      <c r="P1342" s="2">
        <v>41865</v>
      </c>
      <c r="Q1342" s="2" t="b">
        <f t="shared" si="62"/>
        <v>0</v>
      </c>
      <c r="V1342" s="2"/>
      <c r="W1342" s="2"/>
      <c r="X1342" s="2"/>
      <c r="Y1342" s="2"/>
      <c r="Z1342" s="2"/>
      <c r="AA1342" s="2"/>
      <c r="AB1342" s="2"/>
      <c r="AC1342" s="2"/>
      <c r="AD1342" s="2"/>
      <c r="AE1342" s="2"/>
      <c r="AF1342" s="2"/>
      <c r="AG1342" s="2"/>
      <c r="AH1342" s="2"/>
      <c r="AI1342" s="2"/>
    </row>
    <row r="1343" spans="1:35" ht="14.25" customHeight="1" x14ac:dyDescent="0.2">
      <c r="A1343" s="1">
        <v>18723</v>
      </c>
      <c r="B1343" s="1" t="s">
        <v>1314</v>
      </c>
      <c r="C1343" s="1" t="s">
        <v>51</v>
      </c>
      <c r="D1343" s="2">
        <v>41863</v>
      </c>
      <c r="E1343" s="1" t="s">
        <v>101</v>
      </c>
      <c r="F1343" s="1" t="s">
        <v>1315</v>
      </c>
      <c r="G1343" s="1">
        <v>1</v>
      </c>
      <c r="H1343" s="1">
        <v>55.99</v>
      </c>
      <c r="I1343" s="1">
        <f t="shared" si="60"/>
        <v>55.99</v>
      </c>
      <c r="J1343" t="str">
        <f t="shared" si="61"/>
        <v>Low</v>
      </c>
      <c r="K1343" s="1"/>
      <c r="L1343" s="1">
        <v>0</v>
      </c>
      <c r="M1343" s="1">
        <v>2.5</v>
      </c>
      <c r="N1343" s="1" t="s">
        <v>33</v>
      </c>
      <c r="O1343" s="1" t="s">
        <v>84</v>
      </c>
      <c r="P1343" s="2">
        <v>41865</v>
      </c>
      <c r="Q1343" s="2" t="b">
        <f t="shared" si="62"/>
        <v>0</v>
      </c>
      <c r="V1343" s="2"/>
      <c r="W1343" s="2"/>
      <c r="X1343" s="2"/>
      <c r="Y1343" s="2"/>
      <c r="Z1343" s="2"/>
      <c r="AA1343" s="2"/>
      <c r="AB1343" s="2"/>
      <c r="AC1343" s="2"/>
      <c r="AD1343" s="2"/>
      <c r="AE1343" s="2"/>
      <c r="AF1343" s="2"/>
      <c r="AG1343" s="2"/>
      <c r="AH1343" s="2"/>
      <c r="AI1343" s="2"/>
    </row>
    <row r="1344" spans="1:35" ht="14.25" customHeight="1" x14ac:dyDescent="0.2">
      <c r="A1344" s="1">
        <v>55330</v>
      </c>
      <c r="B1344" s="1" t="s">
        <v>825</v>
      </c>
      <c r="C1344" s="1" t="s">
        <v>21</v>
      </c>
      <c r="D1344" s="2">
        <v>41863</v>
      </c>
      <c r="E1344" s="1" t="s">
        <v>101</v>
      </c>
      <c r="F1344" s="1" t="s">
        <v>1316</v>
      </c>
      <c r="G1344" s="1">
        <v>49</v>
      </c>
      <c r="H1344" s="1">
        <v>12.58</v>
      </c>
      <c r="I1344" s="1">
        <f t="shared" si="60"/>
        <v>616.41999999999996</v>
      </c>
      <c r="J1344" t="str">
        <f t="shared" si="61"/>
        <v>Low</v>
      </c>
      <c r="K1344" s="1"/>
      <c r="L1344" s="1">
        <v>0</v>
      </c>
      <c r="M1344" s="1">
        <v>5.16</v>
      </c>
      <c r="N1344" s="1" t="s">
        <v>33</v>
      </c>
      <c r="O1344" s="1" t="s">
        <v>34</v>
      </c>
      <c r="P1344" s="2">
        <v>41863</v>
      </c>
      <c r="Q1344" s="2" t="b">
        <f t="shared" si="62"/>
        <v>0</v>
      </c>
      <c r="V1344" s="2"/>
      <c r="W1344" s="2"/>
      <c r="X1344" s="2"/>
      <c r="Y1344" s="2"/>
      <c r="Z1344" s="2"/>
      <c r="AA1344" s="2"/>
      <c r="AB1344" s="2"/>
      <c r="AC1344" s="2"/>
      <c r="AD1344" s="2"/>
      <c r="AE1344" s="2"/>
      <c r="AF1344" s="2"/>
      <c r="AG1344" s="2"/>
      <c r="AH1344" s="2"/>
      <c r="AI1344" s="2"/>
    </row>
    <row r="1345" spans="1:35" ht="14.25" customHeight="1" x14ac:dyDescent="0.2">
      <c r="A1345" s="1">
        <v>52867</v>
      </c>
      <c r="B1345" s="1" t="s">
        <v>688</v>
      </c>
      <c r="C1345" s="1" t="s">
        <v>51</v>
      </c>
      <c r="D1345" s="2">
        <v>41864</v>
      </c>
      <c r="E1345" s="1" t="s">
        <v>31</v>
      </c>
      <c r="F1345" s="1" t="s">
        <v>1317</v>
      </c>
      <c r="G1345" s="1">
        <v>15</v>
      </c>
      <c r="H1345" s="1">
        <v>124.49</v>
      </c>
      <c r="I1345" s="1">
        <f t="shared" si="60"/>
        <v>1867.35</v>
      </c>
      <c r="J1345" t="str">
        <f t="shared" si="61"/>
        <v>High</v>
      </c>
      <c r="K1345" s="1"/>
      <c r="L1345" s="1">
        <v>0.03</v>
      </c>
      <c r="M1345" s="1">
        <v>51.94</v>
      </c>
      <c r="N1345" s="1" t="s">
        <v>45</v>
      </c>
      <c r="O1345" s="1" t="s">
        <v>63</v>
      </c>
      <c r="P1345" s="2">
        <v>41865</v>
      </c>
      <c r="Q1345" s="2" t="b">
        <f t="shared" si="62"/>
        <v>0</v>
      </c>
      <c r="V1345" s="2"/>
      <c r="W1345" s="2"/>
      <c r="X1345" s="2"/>
      <c r="Y1345" s="2"/>
      <c r="Z1345" s="2"/>
      <c r="AA1345" s="2"/>
      <c r="AB1345" s="2"/>
      <c r="AC1345" s="2"/>
      <c r="AD1345" s="2"/>
      <c r="AE1345" s="2"/>
      <c r="AF1345" s="2"/>
      <c r="AG1345" s="2"/>
      <c r="AH1345" s="2"/>
      <c r="AI1345" s="2"/>
    </row>
    <row r="1346" spans="1:35" ht="14.25" customHeight="1" x14ac:dyDescent="0.2">
      <c r="A1346" s="1">
        <v>18049</v>
      </c>
      <c r="B1346" s="1" t="s">
        <v>1239</v>
      </c>
      <c r="C1346" s="1" t="s">
        <v>51</v>
      </c>
      <c r="D1346" s="2">
        <v>41864</v>
      </c>
      <c r="E1346" s="1" t="s">
        <v>101</v>
      </c>
      <c r="F1346" s="1" t="s">
        <v>495</v>
      </c>
      <c r="G1346" s="1">
        <v>10</v>
      </c>
      <c r="H1346" s="1">
        <v>5.98</v>
      </c>
      <c r="I1346" s="1">
        <f t="shared" ref="I1346:I1409" si="63">G1346*H1346</f>
        <v>59.800000000000004</v>
      </c>
      <c r="J1346" t="str">
        <f t="shared" ref="J1346:J1409" si="64">IF(I1346&lt;1000,"Low","High")</f>
        <v>Low</v>
      </c>
      <c r="K1346" s="1"/>
      <c r="L1346" s="1">
        <v>7.0000000000000007E-2</v>
      </c>
      <c r="M1346" s="1">
        <v>5.46</v>
      </c>
      <c r="N1346" s="1" t="s">
        <v>33</v>
      </c>
      <c r="O1346" s="1" t="s">
        <v>34</v>
      </c>
      <c r="P1346" s="2">
        <v>41866</v>
      </c>
      <c r="Q1346" s="2" t="b">
        <f t="shared" ref="Q1346:Q1409" si="65">AND(N1346="Express Air",O1346="Large Box")</f>
        <v>0</v>
      </c>
      <c r="V1346" s="2"/>
      <c r="W1346" s="2"/>
      <c r="X1346" s="2"/>
      <c r="Y1346" s="2"/>
      <c r="Z1346" s="2"/>
      <c r="AA1346" s="2"/>
      <c r="AB1346" s="2"/>
      <c r="AC1346" s="2"/>
      <c r="AD1346" s="2"/>
      <c r="AE1346" s="2"/>
      <c r="AF1346" s="2"/>
      <c r="AG1346" s="2"/>
      <c r="AH1346" s="2"/>
      <c r="AI1346" s="2"/>
    </row>
    <row r="1347" spans="1:35" ht="14.25" customHeight="1" x14ac:dyDescent="0.2">
      <c r="A1347" s="1">
        <v>29956</v>
      </c>
      <c r="B1347" s="1" t="s">
        <v>1051</v>
      </c>
      <c r="C1347" s="1" t="s">
        <v>21</v>
      </c>
      <c r="D1347" s="2">
        <v>41865</v>
      </c>
      <c r="E1347" s="1" t="s">
        <v>38</v>
      </c>
      <c r="F1347" s="1" t="s">
        <v>1318</v>
      </c>
      <c r="G1347" s="1">
        <v>48</v>
      </c>
      <c r="H1347" s="1">
        <v>1.82</v>
      </c>
      <c r="I1347" s="1">
        <f t="shared" si="63"/>
        <v>87.36</v>
      </c>
      <c r="J1347" t="str">
        <f t="shared" si="64"/>
        <v>Low</v>
      </c>
      <c r="K1347" s="1"/>
      <c r="L1347" s="1">
        <v>0.09</v>
      </c>
      <c r="M1347" s="1">
        <v>0.83</v>
      </c>
      <c r="N1347" s="1" t="s">
        <v>33</v>
      </c>
      <c r="O1347" s="1" t="s">
        <v>55</v>
      </c>
      <c r="P1347" s="2">
        <v>41866</v>
      </c>
      <c r="Q1347" s="2" t="b">
        <f t="shared" si="65"/>
        <v>0</v>
      </c>
      <c r="V1347" s="2"/>
      <c r="W1347" s="2"/>
      <c r="X1347" s="2"/>
      <c r="Y1347" s="2"/>
      <c r="Z1347" s="2"/>
      <c r="AA1347" s="2"/>
      <c r="AB1347" s="2"/>
      <c r="AC1347" s="2"/>
      <c r="AD1347" s="2"/>
      <c r="AE1347" s="2"/>
      <c r="AF1347" s="2"/>
      <c r="AG1347" s="2"/>
      <c r="AH1347" s="2"/>
      <c r="AI1347" s="2"/>
    </row>
    <row r="1348" spans="1:35" ht="14.25" customHeight="1" x14ac:dyDescent="0.2">
      <c r="A1348" s="1">
        <v>14115</v>
      </c>
      <c r="B1348" s="1" t="s">
        <v>1319</v>
      </c>
      <c r="C1348" s="1" t="s">
        <v>30</v>
      </c>
      <c r="D1348" s="2">
        <v>41865</v>
      </c>
      <c r="E1348" s="1" t="s">
        <v>22</v>
      </c>
      <c r="F1348" s="1" t="s">
        <v>1286</v>
      </c>
      <c r="G1348" s="1">
        <v>24</v>
      </c>
      <c r="H1348" s="1">
        <v>6.28</v>
      </c>
      <c r="I1348" s="1">
        <f t="shared" si="63"/>
        <v>150.72</v>
      </c>
      <c r="J1348" t="str">
        <f t="shared" si="64"/>
        <v>Low</v>
      </c>
      <c r="K1348" s="1"/>
      <c r="L1348" s="1">
        <v>0.04</v>
      </c>
      <c r="M1348" s="1">
        <v>5.41</v>
      </c>
      <c r="N1348" s="1" t="s">
        <v>33</v>
      </c>
      <c r="O1348" s="1" t="s">
        <v>34</v>
      </c>
      <c r="P1348" s="2">
        <v>41867</v>
      </c>
      <c r="Q1348" s="2" t="b">
        <f t="shared" si="65"/>
        <v>0</v>
      </c>
      <c r="V1348" s="2"/>
      <c r="W1348" s="2"/>
      <c r="X1348" s="2"/>
      <c r="Y1348" s="2"/>
      <c r="Z1348" s="2"/>
      <c r="AA1348" s="2"/>
      <c r="AB1348" s="2"/>
      <c r="AC1348" s="2"/>
      <c r="AD1348" s="2"/>
      <c r="AE1348" s="2"/>
      <c r="AF1348" s="2"/>
      <c r="AG1348" s="2"/>
      <c r="AH1348" s="2"/>
      <c r="AI1348" s="2"/>
    </row>
    <row r="1349" spans="1:35" ht="14.25" customHeight="1" x14ac:dyDescent="0.2">
      <c r="A1349" s="1">
        <v>14115</v>
      </c>
      <c r="B1349" s="1" t="s">
        <v>1319</v>
      </c>
      <c r="C1349" s="1" t="s">
        <v>51</v>
      </c>
      <c r="D1349" s="2">
        <v>41865</v>
      </c>
      <c r="E1349" s="1" t="s">
        <v>22</v>
      </c>
      <c r="F1349" s="1" t="s">
        <v>1320</v>
      </c>
      <c r="G1349" s="1">
        <v>46</v>
      </c>
      <c r="H1349" s="1">
        <v>85.99</v>
      </c>
      <c r="I1349" s="1">
        <f t="shared" si="63"/>
        <v>3955.54</v>
      </c>
      <c r="J1349" t="str">
        <f t="shared" si="64"/>
        <v>High</v>
      </c>
      <c r="K1349" s="1"/>
      <c r="L1349" s="1">
        <v>0.06</v>
      </c>
      <c r="M1349" s="1">
        <v>10.78</v>
      </c>
      <c r="N1349" s="1" t="s">
        <v>33</v>
      </c>
      <c r="O1349" s="1" t="s">
        <v>34</v>
      </c>
      <c r="P1349" s="2">
        <v>41867</v>
      </c>
      <c r="Q1349" s="2" t="b">
        <f t="shared" si="65"/>
        <v>0</v>
      </c>
      <c r="V1349" s="2"/>
      <c r="W1349" s="2"/>
      <c r="X1349" s="2"/>
      <c r="Y1349" s="2"/>
      <c r="Z1349" s="2"/>
      <c r="AA1349" s="2"/>
      <c r="AB1349" s="2"/>
      <c r="AC1349" s="2"/>
      <c r="AD1349" s="2"/>
      <c r="AE1349" s="2"/>
      <c r="AF1349" s="2"/>
      <c r="AG1349" s="2"/>
      <c r="AH1349" s="2"/>
      <c r="AI1349" s="2"/>
    </row>
    <row r="1350" spans="1:35" ht="14.25" customHeight="1" x14ac:dyDescent="0.2">
      <c r="A1350" s="1">
        <v>15971</v>
      </c>
      <c r="B1350" s="1" t="s">
        <v>53</v>
      </c>
      <c r="C1350" s="1" t="s">
        <v>30</v>
      </c>
      <c r="D1350" s="2">
        <v>41865</v>
      </c>
      <c r="E1350" s="1" t="s">
        <v>31</v>
      </c>
      <c r="F1350" s="1" t="s">
        <v>721</v>
      </c>
      <c r="G1350" s="1">
        <v>15</v>
      </c>
      <c r="H1350" s="1">
        <v>175.99</v>
      </c>
      <c r="I1350" s="1">
        <f t="shared" si="63"/>
        <v>2639.8500000000004</v>
      </c>
      <c r="J1350" t="str">
        <f t="shared" si="64"/>
        <v>High</v>
      </c>
      <c r="K1350" s="1"/>
      <c r="L1350" s="1">
        <v>0.06</v>
      </c>
      <c r="M1350" s="1">
        <v>8.99</v>
      </c>
      <c r="N1350" s="1" t="s">
        <v>33</v>
      </c>
      <c r="O1350" s="1" t="s">
        <v>34</v>
      </c>
      <c r="P1350" s="2">
        <v>41866</v>
      </c>
      <c r="Q1350" s="2" t="b">
        <f t="shared" si="65"/>
        <v>0</v>
      </c>
      <c r="V1350" s="2"/>
      <c r="W1350" s="2"/>
      <c r="X1350" s="2"/>
      <c r="Y1350" s="2"/>
      <c r="Z1350" s="2"/>
      <c r="AA1350" s="2"/>
      <c r="AB1350" s="2"/>
      <c r="AC1350" s="2"/>
      <c r="AD1350" s="2"/>
      <c r="AE1350" s="2"/>
      <c r="AF1350" s="2"/>
      <c r="AG1350" s="2"/>
      <c r="AH1350" s="2"/>
      <c r="AI1350" s="2"/>
    </row>
    <row r="1351" spans="1:35" ht="14.25" customHeight="1" x14ac:dyDescent="0.2">
      <c r="A1351" s="1">
        <v>37760</v>
      </c>
      <c r="B1351" s="1" t="s">
        <v>1321</v>
      </c>
      <c r="C1351" s="1" t="s">
        <v>21</v>
      </c>
      <c r="D1351" s="2">
        <v>41865</v>
      </c>
      <c r="E1351" s="1" t="s">
        <v>31</v>
      </c>
      <c r="F1351" s="1" t="s">
        <v>530</v>
      </c>
      <c r="G1351" s="1">
        <v>18</v>
      </c>
      <c r="H1351" s="1">
        <v>8.33</v>
      </c>
      <c r="I1351" s="1">
        <f t="shared" si="63"/>
        <v>149.94</v>
      </c>
      <c r="J1351" t="str">
        <f t="shared" si="64"/>
        <v>Low</v>
      </c>
      <c r="K1351" s="1"/>
      <c r="L1351" s="1">
        <v>0.01</v>
      </c>
      <c r="M1351" s="1">
        <v>1.99</v>
      </c>
      <c r="N1351" s="1" t="s">
        <v>33</v>
      </c>
      <c r="O1351" s="1" t="s">
        <v>84</v>
      </c>
      <c r="P1351" s="2">
        <v>41866</v>
      </c>
      <c r="Q1351" s="2" t="b">
        <f t="shared" si="65"/>
        <v>0</v>
      </c>
      <c r="V1351" s="2"/>
      <c r="W1351" s="2"/>
      <c r="X1351" s="2"/>
      <c r="Y1351" s="2"/>
      <c r="Z1351" s="2"/>
      <c r="AA1351" s="2"/>
      <c r="AB1351" s="2"/>
      <c r="AC1351" s="2"/>
      <c r="AD1351" s="2"/>
      <c r="AE1351" s="2"/>
      <c r="AF1351" s="2"/>
      <c r="AG1351" s="2"/>
      <c r="AH1351" s="2"/>
      <c r="AI1351" s="2"/>
    </row>
    <row r="1352" spans="1:35" ht="14.25" customHeight="1" x14ac:dyDescent="0.2">
      <c r="A1352" s="1">
        <v>37760</v>
      </c>
      <c r="B1352" s="1" t="s">
        <v>1321</v>
      </c>
      <c r="C1352" s="1" t="s">
        <v>51</v>
      </c>
      <c r="D1352" s="2">
        <v>41865</v>
      </c>
      <c r="E1352" s="1" t="s">
        <v>31</v>
      </c>
      <c r="F1352" s="1" t="s">
        <v>775</v>
      </c>
      <c r="G1352" s="1">
        <v>38</v>
      </c>
      <c r="H1352" s="1">
        <v>85.99</v>
      </c>
      <c r="I1352" s="1">
        <f t="shared" si="63"/>
        <v>3267.62</v>
      </c>
      <c r="J1352" t="str">
        <f t="shared" si="64"/>
        <v>High</v>
      </c>
      <c r="K1352" s="1"/>
      <c r="L1352" s="1">
        <v>0.04</v>
      </c>
      <c r="M1352" s="1">
        <v>0.99</v>
      </c>
      <c r="N1352" s="1" t="s">
        <v>33</v>
      </c>
      <c r="O1352" s="1" t="s">
        <v>55</v>
      </c>
      <c r="P1352" s="2">
        <v>41867</v>
      </c>
      <c r="Q1352" s="2" t="b">
        <f t="shared" si="65"/>
        <v>0</v>
      </c>
      <c r="V1352" s="2"/>
      <c r="W1352" s="2"/>
      <c r="X1352" s="2"/>
      <c r="Y1352" s="2"/>
      <c r="Z1352" s="2"/>
      <c r="AA1352" s="2"/>
      <c r="AB1352" s="2"/>
      <c r="AC1352" s="2"/>
      <c r="AD1352" s="2"/>
      <c r="AE1352" s="2"/>
      <c r="AF1352" s="2"/>
      <c r="AG1352" s="2"/>
      <c r="AH1352" s="2"/>
      <c r="AI1352" s="2"/>
    </row>
    <row r="1353" spans="1:35" ht="14.25" customHeight="1" x14ac:dyDescent="0.2">
      <c r="A1353" s="1">
        <v>6406</v>
      </c>
      <c r="B1353" s="1" t="s">
        <v>401</v>
      </c>
      <c r="C1353" s="1" t="s">
        <v>21</v>
      </c>
      <c r="D1353" s="2">
        <v>41865</v>
      </c>
      <c r="E1353" s="1" t="s">
        <v>38</v>
      </c>
      <c r="F1353" s="1" t="s">
        <v>494</v>
      </c>
      <c r="G1353" s="1">
        <v>43</v>
      </c>
      <c r="H1353" s="1">
        <v>2.08</v>
      </c>
      <c r="I1353" s="1">
        <f t="shared" si="63"/>
        <v>89.44</v>
      </c>
      <c r="J1353" t="str">
        <f t="shared" si="64"/>
        <v>Low</v>
      </c>
      <c r="K1353" s="1"/>
      <c r="L1353" s="1">
        <v>0.05</v>
      </c>
      <c r="M1353" s="1">
        <v>2.56</v>
      </c>
      <c r="N1353" s="1" t="s">
        <v>33</v>
      </c>
      <c r="O1353" s="1" t="s">
        <v>84</v>
      </c>
      <c r="P1353" s="2">
        <v>41867</v>
      </c>
      <c r="Q1353" s="2" t="b">
        <f t="shared" si="65"/>
        <v>0</v>
      </c>
      <c r="V1353" s="2"/>
      <c r="W1353" s="2"/>
      <c r="X1353" s="2"/>
      <c r="Y1353" s="2"/>
      <c r="Z1353" s="2"/>
      <c r="AA1353" s="2"/>
      <c r="AB1353" s="2"/>
      <c r="AC1353" s="2"/>
      <c r="AD1353" s="2"/>
      <c r="AE1353" s="2"/>
      <c r="AF1353" s="2"/>
      <c r="AG1353" s="2"/>
      <c r="AH1353" s="2"/>
      <c r="AI1353" s="2"/>
    </row>
    <row r="1354" spans="1:35" ht="14.25" customHeight="1" x14ac:dyDescent="0.2">
      <c r="A1354" s="1">
        <v>41636</v>
      </c>
      <c r="B1354" s="1" t="s">
        <v>1322</v>
      </c>
      <c r="C1354" s="1" t="s">
        <v>51</v>
      </c>
      <c r="D1354" s="2">
        <v>41865</v>
      </c>
      <c r="E1354" s="1" t="s">
        <v>38</v>
      </c>
      <c r="F1354" s="1" t="s">
        <v>578</v>
      </c>
      <c r="G1354" s="1">
        <v>47</v>
      </c>
      <c r="H1354" s="1">
        <v>107.53</v>
      </c>
      <c r="I1354" s="1">
        <f t="shared" si="63"/>
        <v>5053.91</v>
      </c>
      <c r="J1354" t="str">
        <f t="shared" si="64"/>
        <v>High</v>
      </c>
      <c r="K1354" s="1"/>
      <c r="L1354" s="1">
        <v>0.03</v>
      </c>
      <c r="M1354" s="1">
        <v>5.81</v>
      </c>
      <c r="N1354" s="1" t="s">
        <v>33</v>
      </c>
      <c r="O1354" s="1" t="s">
        <v>72</v>
      </c>
      <c r="P1354" s="2">
        <v>41866</v>
      </c>
      <c r="Q1354" s="2" t="b">
        <f t="shared" si="65"/>
        <v>0</v>
      </c>
      <c r="V1354" s="2"/>
      <c r="W1354" s="2"/>
      <c r="X1354" s="2"/>
      <c r="Y1354" s="2"/>
      <c r="Z1354" s="2"/>
      <c r="AA1354" s="2"/>
      <c r="AB1354" s="2"/>
      <c r="AC1354" s="2"/>
      <c r="AD1354" s="2"/>
      <c r="AE1354" s="2"/>
      <c r="AF1354" s="2"/>
      <c r="AG1354" s="2"/>
      <c r="AH1354" s="2"/>
      <c r="AI1354" s="2"/>
    </row>
    <row r="1355" spans="1:35" ht="14.25" customHeight="1" x14ac:dyDescent="0.2">
      <c r="A1355" s="1">
        <v>41636</v>
      </c>
      <c r="B1355" s="1" t="s">
        <v>1322</v>
      </c>
      <c r="C1355" s="1" t="s">
        <v>30</v>
      </c>
      <c r="D1355" s="2">
        <v>41865</v>
      </c>
      <c r="E1355" s="1" t="s">
        <v>38</v>
      </c>
      <c r="F1355" s="1" t="s">
        <v>1323</v>
      </c>
      <c r="G1355" s="1">
        <v>25</v>
      </c>
      <c r="H1355" s="1">
        <v>16.98</v>
      </c>
      <c r="I1355" s="1">
        <f t="shared" si="63"/>
        <v>424.5</v>
      </c>
      <c r="J1355" t="str">
        <f t="shared" si="64"/>
        <v>Low</v>
      </c>
      <c r="K1355" s="1"/>
      <c r="L1355" s="1">
        <v>0.05</v>
      </c>
      <c r="M1355" s="1">
        <v>7.78</v>
      </c>
      <c r="N1355" s="1" t="s">
        <v>33</v>
      </c>
      <c r="O1355" s="1" t="s">
        <v>84</v>
      </c>
      <c r="P1355" s="2">
        <v>41867</v>
      </c>
      <c r="Q1355" s="2" t="b">
        <f t="shared" si="65"/>
        <v>0</v>
      </c>
      <c r="V1355" s="2"/>
      <c r="W1355" s="2"/>
      <c r="X1355" s="2"/>
      <c r="Y1355" s="2"/>
      <c r="Z1355" s="2"/>
      <c r="AA1355" s="2"/>
      <c r="AB1355" s="2"/>
      <c r="AC1355" s="2"/>
      <c r="AD1355" s="2"/>
      <c r="AE1355" s="2"/>
      <c r="AF1355" s="2"/>
      <c r="AG1355" s="2"/>
      <c r="AH1355" s="2"/>
      <c r="AI1355" s="2"/>
    </row>
    <row r="1356" spans="1:35" ht="14.25" customHeight="1" x14ac:dyDescent="0.2">
      <c r="A1356" s="1">
        <v>41636</v>
      </c>
      <c r="B1356" s="1" t="s">
        <v>1322</v>
      </c>
      <c r="C1356" s="1" t="s">
        <v>30</v>
      </c>
      <c r="D1356" s="2">
        <v>41865</v>
      </c>
      <c r="E1356" s="1" t="s">
        <v>38</v>
      </c>
      <c r="F1356" s="1" t="s">
        <v>1324</v>
      </c>
      <c r="G1356" s="1">
        <v>27</v>
      </c>
      <c r="H1356" s="1">
        <v>115.99</v>
      </c>
      <c r="I1356" s="1">
        <f t="shared" si="63"/>
        <v>3131.73</v>
      </c>
      <c r="J1356" t="str">
        <f t="shared" si="64"/>
        <v>High</v>
      </c>
      <c r="K1356" s="1"/>
      <c r="L1356" s="1">
        <v>0.03</v>
      </c>
      <c r="M1356" s="1">
        <v>4.2300000000000004</v>
      </c>
      <c r="N1356" s="1" t="s">
        <v>33</v>
      </c>
      <c r="O1356" s="1" t="s">
        <v>34</v>
      </c>
      <c r="P1356" s="2">
        <v>41867</v>
      </c>
      <c r="Q1356" s="2" t="b">
        <f t="shared" si="65"/>
        <v>0</v>
      </c>
      <c r="V1356" s="2"/>
      <c r="W1356" s="2"/>
      <c r="X1356" s="2"/>
      <c r="Y1356" s="2"/>
      <c r="Z1356" s="2"/>
      <c r="AA1356" s="2"/>
      <c r="AB1356" s="2"/>
      <c r="AC1356" s="2"/>
      <c r="AD1356" s="2"/>
      <c r="AE1356" s="2"/>
      <c r="AF1356" s="2"/>
      <c r="AG1356" s="2"/>
      <c r="AH1356" s="2"/>
      <c r="AI1356" s="2"/>
    </row>
    <row r="1357" spans="1:35" ht="14.25" customHeight="1" x14ac:dyDescent="0.2">
      <c r="A1357" s="1">
        <v>42343</v>
      </c>
      <c r="B1357" s="1" t="s">
        <v>1042</v>
      </c>
      <c r="C1357" s="1" t="s">
        <v>51</v>
      </c>
      <c r="D1357" s="2">
        <v>41865</v>
      </c>
      <c r="E1357" s="1" t="s">
        <v>38</v>
      </c>
      <c r="F1357" s="1" t="s">
        <v>1325</v>
      </c>
      <c r="G1357" s="1">
        <v>46</v>
      </c>
      <c r="H1357" s="1">
        <v>70.98</v>
      </c>
      <c r="I1357" s="1">
        <f t="shared" si="63"/>
        <v>3265.0800000000004</v>
      </c>
      <c r="J1357" t="str">
        <f t="shared" si="64"/>
        <v>High</v>
      </c>
      <c r="K1357" s="1"/>
      <c r="L1357" s="1">
        <v>0.04</v>
      </c>
      <c r="M1357" s="1">
        <v>26.85</v>
      </c>
      <c r="N1357" s="1" t="s">
        <v>45</v>
      </c>
      <c r="O1357" s="1" t="s">
        <v>63</v>
      </c>
      <c r="P1357" s="2">
        <v>41867</v>
      </c>
      <c r="Q1357" s="2" t="b">
        <f t="shared" si="65"/>
        <v>0</v>
      </c>
      <c r="V1357" s="2"/>
      <c r="W1357" s="2"/>
      <c r="X1357" s="2"/>
      <c r="Y1357" s="2"/>
      <c r="Z1357" s="2"/>
      <c r="AA1357" s="2"/>
      <c r="AB1357" s="2"/>
      <c r="AC1357" s="2"/>
      <c r="AD1357" s="2"/>
      <c r="AE1357" s="2"/>
      <c r="AF1357" s="2"/>
      <c r="AG1357" s="2"/>
      <c r="AH1357" s="2"/>
      <c r="AI1357" s="2"/>
    </row>
    <row r="1358" spans="1:35" ht="14.25" customHeight="1" x14ac:dyDescent="0.2">
      <c r="A1358" s="1">
        <v>42343</v>
      </c>
      <c r="B1358" s="1" t="s">
        <v>1042</v>
      </c>
      <c r="C1358" s="1" t="s">
        <v>51</v>
      </c>
      <c r="D1358" s="2">
        <v>41865</v>
      </c>
      <c r="E1358" s="1" t="s">
        <v>38</v>
      </c>
      <c r="F1358" s="1" t="s">
        <v>868</v>
      </c>
      <c r="G1358" s="1">
        <v>31</v>
      </c>
      <c r="H1358" s="1">
        <v>40.99</v>
      </c>
      <c r="I1358" s="1">
        <f t="shared" si="63"/>
        <v>1270.69</v>
      </c>
      <c r="J1358" t="str">
        <f t="shared" si="64"/>
        <v>High</v>
      </c>
      <c r="K1358" s="1"/>
      <c r="L1358" s="1">
        <v>0.03</v>
      </c>
      <c r="M1358" s="1">
        <v>17.48</v>
      </c>
      <c r="N1358" s="1" t="s">
        <v>33</v>
      </c>
      <c r="O1358" s="1" t="s">
        <v>34</v>
      </c>
      <c r="P1358" s="2">
        <v>41866</v>
      </c>
      <c r="Q1358" s="2" t="b">
        <f t="shared" si="65"/>
        <v>0</v>
      </c>
      <c r="V1358" s="2"/>
      <c r="W1358" s="2"/>
      <c r="X1358" s="2"/>
      <c r="Y1358" s="2"/>
      <c r="Z1358" s="2"/>
      <c r="AA1358" s="2"/>
      <c r="AB1358" s="2"/>
      <c r="AC1358" s="2"/>
      <c r="AD1358" s="2"/>
      <c r="AE1358" s="2"/>
      <c r="AF1358" s="2"/>
      <c r="AG1358" s="2"/>
      <c r="AH1358" s="2"/>
      <c r="AI1358" s="2"/>
    </row>
    <row r="1359" spans="1:35" ht="14.25" customHeight="1" x14ac:dyDescent="0.2">
      <c r="A1359" s="1">
        <v>11840</v>
      </c>
      <c r="B1359" s="1" t="s">
        <v>907</v>
      </c>
      <c r="C1359" s="1" t="s">
        <v>51</v>
      </c>
      <c r="D1359" s="2">
        <v>41865</v>
      </c>
      <c r="E1359" s="1" t="s">
        <v>38</v>
      </c>
      <c r="F1359" s="1" t="s">
        <v>1147</v>
      </c>
      <c r="G1359" s="1">
        <v>43</v>
      </c>
      <c r="H1359" s="1">
        <v>4.4800000000000004</v>
      </c>
      <c r="I1359" s="1">
        <f t="shared" si="63"/>
        <v>192.64000000000001</v>
      </c>
      <c r="J1359" t="str">
        <f t="shared" si="64"/>
        <v>Low</v>
      </c>
      <c r="K1359" s="1"/>
      <c r="L1359" s="1">
        <v>0.08</v>
      </c>
      <c r="M1359" s="1">
        <v>2.5</v>
      </c>
      <c r="N1359" s="1" t="s">
        <v>33</v>
      </c>
      <c r="O1359" s="1" t="s">
        <v>34</v>
      </c>
      <c r="P1359" s="2">
        <v>41866</v>
      </c>
      <c r="Q1359" s="2" t="b">
        <f t="shared" si="65"/>
        <v>0</v>
      </c>
      <c r="V1359" s="2"/>
      <c r="W1359" s="2"/>
      <c r="X1359" s="2"/>
      <c r="Y1359" s="2"/>
      <c r="Z1359" s="2"/>
      <c r="AA1359" s="2"/>
      <c r="AB1359" s="2"/>
      <c r="AC1359" s="2"/>
      <c r="AD1359" s="2"/>
      <c r="AE1359" s="2"/>
      <c r="AF1359" s="2"/>
      <c r="AG1359" s="2"/>
      <c r="AH1359" s="2"/>
      <c r="AI1359" s="2"/>
    </row>
    <row r="1360" spans="1:35" ht="14.25" customHeight="1" x14ac:dyDescent="0.2">
      <c r="A1360" s="1">
        <v>34177</v>
      </c>
      <c r="B1360" s="1" t="s">
        <v>1326</v>
      </c>
      <c r="C1360" s="1" t="s">
        <v>51</v>
      </c>
      <c r="D1360" s="2">
        <v>41866</v>
      </c>
      <c r="E1360" s="1" t="s">
        <v>31</v>
      </c>
      <c r="F1360" s="1" t="s">
        <v>1023</v>
      </c>
      <c r="G1360" s="1">
        <v>13</v>
      </c>
      <c r="H1360" s="1">
        <v>2.61</v>
      </c>
      <c r="I1360" s="1">
        <f t="shared" si="63"/>
        <v>33.93</v>
      </c>
      <c r="J1360" t="str">
        <f t="shared" si="64"/>
        <v>Low</v>
      </c>
      <c r="K1360" s="1"/>
      <c r="L1360" s="1">
        <v>0.02</v>
      </c>
      <c r="M1360" s="1">
        <v>0.5</v>
      </c>
      <c r="N1360" s="1" t="s">
        <v>33</v>
      </c>
      <c r="O1360" s="1" t="s">
        <v>34</v>
      </c>
      <c r="P1360" s="2">
        <v>41869</v>
      </c>
      <c r="Q1360" s="2" t="b">
        <f t="shared" si="65"/>
        <v>0</v>
      </c>
      <c r="V1360" s="2"/>
      <c r="W1360" s="2"/>
      <c r="X1360" s="2"/>
      <c r="Y1360" s="2"/>
      <c r="Z1360" s="2"/>
      <c r="AA1360" s="2"/>
      <c r="AB1360" s="2"/>
      <c r="AC1360" s="2"/>
      <c r="AD1360" s="2"/>
      <c r="AE1360" s="2"/>
      <c r="AF1360" s="2"/>
      <c r="AG1360" s="2"/>
      <c r="AH1360" s="2"/>
      <c r="AI1360" s="2"/>
    </row>
    <row r="1361" spans="1:35" ht="14.25" customHeight="1" x14ac:dyDescent="0.2">
      <c r="A1361" s="1">
        <v>34177</v>
      </c>
      <c r="B1361" s="1" t="s">
        <v>1326</v>
      </c>
      <c r="C1361" s="1" t="s">
        <v>21</v>
      </c>
      <c r="D1361" s="2">
        <v>41866</v>
      </c>
      <c r="E1361" s="1" t="s">
        <v>31</v>
      </c>
      <c r="F1361" s="1" t="s">
        <v>449</v>
      </c>
      <c r="G1361" s="1">
        <v>26</v>
      </c>
      <c r="H1361" s="1">
        <v>7.31</v>
      </c>
      <c r="I1361" s="1">
        <f t="shared" si="63"/>
        <v>190.06</v>
      </c>
      <c r="J1361" t="str">
        <f t="shared" si="64"/>
        <v>Low</v>
      </c>
      <c r="K1361" s="1"/>
      <c r="L1361" s="1">
        <v>0.1</v>
      </c>
      <c r="M1361" s="1">
        <v>0.49</v>
      </c>
      <c r="N1361" s="1" t="s">
        <v>33</v>
      </c>
      <c r="O1361" s="1" t="s">
        <v>34</v>
      </c>
      <c r="P1361" s="2">
        <v>41867</v>
      </c>
      <c r="Q1361" s="2" t="b">
        <f t="shared" si="65"/>
        <v>0</v>
      </c>
      <c r="V1361" s="2"/>
      <c r="W1361" s="2"/>
      <c r="X1361" s="2"/>
      <c r="Y1361" s="2"/>
      <c r="Z1361" s="2"/>
      <c r="AA1361" s="2"/>
      <c r="AB1361" s="2"/>
      <c r="AC1361" s="2"/>
      <c r="AD1361" s="2"/>
      <c r="AE1361" s="2"/>
      <c r="AF1361" s="2"/>
      <c r="AG1361" s="2"/>
      <c r="AH1361" s="2"/>
      <c r="AI1361" s="2"/>
    </row>
    <row r="1362" spans="1:35" ht="14.25" customHeight="1" x14ac:dyDescent="0.2">
      <c r="A1362" s="1">
        <v>34177</v>
      </c>
      <c r="B1362" s="1" t="s">
        <v>1326</v>
      </c>
      <c r="C1362" s="1" t="s">
        <v>51</v>
      </c>
      <c r="D1362" s="2">
        <v>41866</v>
      </c>
      <c r="E1362" s="1" t="s">
        <v>31</v>
      </c>
      <c r="F1362" s="1" t="s">
        <v>1036</v>
      </c>
      <c r="G1362" s="1">
        <v>50</v>
      </c>
      <c r="H1362" s="1">
        <v>20.99</v>
      </c>
      <c r="I1362" s="1">
        <f t="shared" si="63"/>
        <v>1049.5</v>
      </c>
      <c r="J1362" t="str">
        <f t="shared" si="64"/>
        <v>High</v>
      </c>
      <c r="K1362" s="1"/>
      <c r="L1362" s="1">
        <v>0.1</v>
      </c>
      <c r="M1362" s="1">
        <v>2.5</v>
      </c>
      <c r="N1362" s="1" t="s">
        <v>33</v>
      </c>
      <c r="O1362" s="1" t="s">
        <v>55</v>
      </c>
      <c r="P1362" s="2">
        <v>41867</v>
      </c>
      <c r="Q1362" s="2" t="b">
        <f t="shared" si="65"/>
        <v>0</v>
      </c>
      <c r="V1362" s="2"/>
      <c r="W1362" s="2"/>
      <c r="X1362" s="2"/>
      <c r="Y1362" s="2"/>
      <c r="Z1362" s="2"/>
      <c r="AA1362" s="2"/>
      <c r="AB1362" s="2"/>
      <c r="AC1362" s="2"/>
      <c r="AD1362" s="2"/>
      <c r="AE1362" s="2"/>
      <c r="AF1362" s="2"/>
      <c r="AG1362" s="2"/>
      <c r="AH1362" s="2"/>
      <c r="AI1362" s="2"/>
    </row>
    <row r="1363" spans="1:35" ht="14.25" customHeight="1" x14ac:dyDescent="0.2">
      <c r="A1363" s="1">
        <v>50310</v>
      </c>
      <c r="B1363" s="1" t="s">
        <v>1327</v>
      </c>
      <c r="C1363" s="1" t="s">
        <v>21</v>
      </c>
      <c r="D1363" s="2">
        <v>41866</v>
      </c>
      <c r="E1363" s="1" t="s">
        <v>101</v>
      </c>
      <c r="F1363" s="1" t="s">
        <v>800</v>
      </c>
      <c r="G1363" s="1">
        <v>42</v>
      </c>
      <c r="H1363" s="1">
        <v>42.98</v>
      </c>
      <c r="I1363" s="1">
        <f t="shared" si="63"/>
        <v>1805.1599999999999</v>
      </c>
      <c r="J1363" t="str">
        <f t="shared" si="64"/>
        <v>High</v>
      </c>
      <c r="K1363" s="1"/>
      <c r="L1363" s="1">
        <v>7.0000000000000007E-2</v>
      </c>
      <c r="M1363" s="1">
        <v>4.62</v>
      </c>
      <c r="N1363" s="1" t="s">
        <v>25</v>
      </c>
      <c r="O1363" s="1" t="s">
        <v>34</v>
      </c>
      <c r="P1363" s="2">
        <v>41868</v>
      </c>
      <c r="Q1363" s="2" t="b">
        <f t="shared" si="65"/>
        <v>0</v>
      </c>
      <c r="V1363" s="2"/>
      <c r="W1363" s="2"/>
      <c r="X1363" s="2"/>
      <c r="Y1363" s="2"/>
      <c r="Z1363" s="2"/>
      <c r="AA1363" s="2"/>
      <c r="AB1363" s="2"/>
      <c r="AC1363" s="2"/>
      <c r="AD1363" s="2"/>
      <c r="AE1363" s="2"/>
      <c r="AF1363" s="2"/>
      <c r="AG1363" s="2"/>
      <c r="AH1363" s="2"/>
      <c r="AI1363" s="2"/>
    </row>
    <row r="1364" spans="1:35" ht="14.25" customHeight="1" x14ac:dyDescent="0.2">
      <c r="A1364" s="1">
        <v>50310</v>
      </c>
      <c r="B1364" s="1" t="s">
        <v>1327</v>
      </c>
      <c r="C1364" s="1" t="s">
        <v>21</v>
      </c>
      <c r="D1364" s="2">
        <v>41866</v>
      </c>
      <c r="E1364" s="1" t="s">
        <v>101</v>
      </c>
      <c r="F1364" s="1" t="s">
        <v>854</v>
      </c>
      <c r="G1364" s="1">
        <v>43</v>
      </c>
      <c r="H1364" s="1">
        <v>89.99</v>
      </c>
      <c r="I1364" s="1">
        <f t="shared" si="63"/>
        <v>3869.5699999999997</v>
      </c>
      <c r="J1364" t="str">
        <f t="shared" si="64"/>
        <v>High</v>
      </c>
      <c r="K1364" s="1"/>
      <c r="L1364" s="1">
        <v>0.03</v>
      </c>
      <c r="M1364" s="1">
        <v>42</v>
      </c>
      <c r="N1364" s="1" t="s">
        <v>45</v>
      </c>
      <c r="O1364" s="1" t="s">
        <v>46</v>
      </c>
      <c r="P1364" s="2">
        <v>41869</v>
      </c>
      <c r="Q1364" s="2" t="b">
        <f t="shared" si="65"/>
        <v>0</v>
      </c>
      <c r="V1364" s="2"/>
      <c r="W1364" s="2"/>
      <c r="X1364" s="2"/>
      <c r="Y1364" s="2"/>
      <c r="Z1364" s="2"/>
      <c r="AA1364" s="2"/>
      <c r="AB1364" s="2"/>
      <c r="AC1364" s="2"/>
      <c r="AD1364" s="2"/>
      <c r="AE1364" s="2"/>
      <c r="AF1364" s="2"/>
      <c r="AG1364" s="2"/>
      <c r="AH1364" s="2"/>
      <c r="AI1364" s="2"/>
    </row>
    <row r="1365" spans="1:35" ht="14.25" customHeight="1" x14ac:dyDescent="0.2">
      <c r="A1365" s="1">
        <v>50310</v>
      </c>
      <c r="B1365" s="1" t="s">
        <v>1327</v>
      </c>
      <c r="C1365" s="1" t="s">
        <v>21</v>
      </c>
      <c r="D1365" s="2">
        <v>41866</v>
      </c>
      <c r="E1365" s="1" t="s">
        <v>101</v>
      </c>
      <c r="F1365" s="1" t="s">
        <v>1122</v>
      </c>
      <c r="G1365" s="1">
        <v>22</v>
      </c>
      <c r="H1365" s="1">
        <v>20.95</v>
      </c>
      <c r="I1365" s="1">
        <f t="shared" si="63"/>
        <v>460.9</v>
      </c>
      <c r="J1365" t="str">
        <f t="shared" si="64"/>
        <v>Low</v>
      </c>
      <c r="K1365" s="1"/>
      <c r="L1365" s="1">
        <v>0.03</v>
      </c>
      <c r="M1365" s="1">
        <v>4</v>
      </c>
      <c r="N1365" s="1" t="s">
        <v>33</v>
      </c>
      <c r="O1365" s="1" t="s">
        <v>34</v>
      </c>
      <c r="P1365" s="2">
        <v>41868</v>
      </c>
      <c r="Q1365" s="2" t="b">
        <f t="shared" si="65"/>
        <v>0</v>
      </c>
      <c r="V1365" s="2"/>
      <c r="W1365" s="2"/>
      <c r="X1365" s="2"/>
      <c r="Y1365" s="2"/>
      <c r="Z1365" s="2"/>
      <c r="AA1365" s="2"/>
      <c r="AB1365" s="2"/>
      <c r="AC1365" s="2"/>
      <c r="AD1365" s="2"/>
      <c r="AE1365" s="2"/>
      <c r="AF1365" s="2"/>
      <c r="AG1365" s="2"/>
      <c r="AH1365" s="2"/>
      <c r="AI1365" s="2"/>
    </row>
    <row r="1366" spans="1:35" ht="14.25" customHeight="1" x14ac:dyDescent="0.2">
      <c r="A1366" s="1">
        <v>30467</v>
      </c>
      <c r="B1366" s="1" t="s">
        <v>1237</v>
      </c>
      <c r="C1366" s="1" t="s">
        <v>21</v>
      </c>
      <c r="D1366" s="2">
        <v>41866</v>
      </c>
      <c r="E1366" s="1" t="s">
        <v>38</v>
      </c>
      <c r="F1366" s="1" t="s">
        <v>347</v>
      </c>
      <c r="G1366" s="1">
        <v>5</v>
      </c>
      <c r="H1366" s="1">
        <v>420.98</v>
      </c>
      <c r="I1366" s="1">
        <f t="shared" si="63"/>
        <v>2104.9</v>
      </c>
      <c r="J1366" t="str">
        <f t="shared" si="64"/>
        <v>High</v>
      </c>
      <c r="K1366" s="1"/>
      <c r="L1366" s="1">
        <v>0.05</v>
      </c>
      <c r="M1366" s="1">
        <v>19.989999999999998</v>
      </c>
      <c r="N1366" s="1" t="s">
        <v>33</v>
      </c>
      <c r="O1366" s="1" t="s">
        <v>34</v>
      </c>
      <c r="P1366" s="2">
        <v>41867</v>
      </c>
      <c r="Q1366" s="2" t="b">
        <f t="shared" si="65"/>
        <v>0</v>
      </c>
      <c r="V1366" s="2"/>
      <c r="W1366" s="2"/>
      <c r="X1366" s="2"/>
      <c r="Y1366" s="2"/>
      <c r="Z1366" s="2"/>
      <c r="AA1366" s="2"/>
      <c r="AB1366" s="2"/>
      <c r="AC1366" s="2"/>
      <c r="AD1366" s="2"/>
      <c r="AE1366" s="2"/>
      <c r="AF1366" s="2"/>
      <c r="AG1366" s="2"/>
      <c r="AH1366" s="2"/>
      <c r="AI1366" s="2"/>
    </row>
    <row r="1367" spans="1:35" ht="14.25" customHeight="1" x14ac:dyDescent="0.2">
      <c r="A1367" s="1">
        <v>26949</v>
      </c>
      <c r="B1367" s="1" t="s">
        <v>1328</v>
      </c>
      <c r="C1367" s="1" t="s">
        <v>21</v>
      </c>
      <c r="D1367" s="2">
        <v>41866</v>
      </c>
      <c r="E1367" s="1" t="s">
        <v>38</v>
      </c>
      <c r="F1367" s="1" t="s">
        <v>211</v>
      </c>
      <c r="G1367" s="1">
        <v>48</v>
      </c>
      <c r="H1367" s="1">
        <v>9.48</v>
      </c>
      <c r="I1367" s="1">
        <f t="shared" si="63"/>
        <v>455.04</v>
      </c>
      <c r="J1367" t="str">
        <f t="shared" si="64"/>
        <v>Low</v>
      </c>
      <c r="K1367" s="1"/>
      <c r="L1367" s="1">
        <v>0.06</v>
      </c>
      <c r="M1367" s="1">
        <v>7.29</v>
      </c>
      <c r="N1367" s="1" t="s">
        <v>33</v>
      </c>
      <c r="O1367" s="1" t="s">
        <v>84</v>
      </c>
      <c r="P1367" s="2">
        <v>41868</v>
      </c>
      <c r="Q1367" s="2" t="b">
        <f t="shared" si="65"/>
        <v>0</v>
      </c>
      <c r="V1367" s="2"/>
      <c r="W1367" s="2"/>
      <c r="X1367" s="2"/>
      <c r="Y1367" s="2"/>
      <c r="Z1367" s="2"/>
      <c r="AA1367" s="2"/>
      <c r="AB1367" s="2"/>
      <c r="AC1367" s="2"/>
      <c r="AD1367" s="2"/>
      <c r="AE1367" s="2"/>
      <c r="AF1367" s="2"/>
      <c r="AG1367" s="2"/>
      <c r="AH1367" s="2"/>
      <c r="AI1367" s="2"/>
    </row>
    <row r="1368" spans="1:35" ht="14.25" customHeight="1" x14ac:dyDescent="0.2">
      <c r="A1368" s="1">
        <v>56260</v>
      </c>
      <c r="B1368" s="1" t="s">
        <v>129</v>
      </c>
      <c r="C1368" s="1" t="s">
        <v>30</v>
      </c>
      <c r="D1368" s="2">
        <v>41866</v>
      </c>
      <c r="E1368" s="1" t="s">
        <v>22</v>
      </c>
      <c r="F1368" s="1" t="s">
        <v>1049</v>
      </c>
      <c r="G1368" s="1">
        <v>34</v>
      </c>
      <c r="H1368" s="1">
        <v>6.48</v>
      </c>
      <c r="I1368" s="1">
        <f t="shared" si="63"/>
        <v>220.32000000000002</v>
      </c>
      <c r="J1368" t="str">
        <f t="shared" si="64"/>
        <v>Low</v>
      </c>
      <c r="K1368" s="1"/>
      <c r="L1368" s="1">
        <v>0.03</v>
      </c>
      <c r="M1368" s="1">
        <v>7.91</v>
      </c>
      <c r="N1368" s="1" t="s">
        <v>33</v>
      </c>
      <c r="O1368" s="1" t="s">
        <v>34</v>
      </c>
      <c r="P1368" s="2">
        <v>41867</v>
      </c>
      <c r="Q1368" s="2" t="b">
        <f t="shared" si="65"/>
        <v>0</v>
      </c>
      <c r="V1368" s="2"/>
      <c r="W1368" s="2"/>
      <c r="X1368" s="2"/>
      <c r="Y1368" s="2"/>
      <c r="Z1368" s="2"/>
      <c r="AA1368" s="2"/>
      <c r="AB1368" s="2"/>
      <c r="AC1368" s="2"/>
      <c r="AD1368" s="2"/>
      <c r="AE1368" s="2"/>
      <c r="AF1368" s="2"/>
      <c r="AG1368" s="2"/>
      <c r="AH1368" s="2"/>
      <c r="AI1368" s="2"/>
    </row>
    <row r="1369" spans="1:35" ht="14.25" customHeight="1" x14ac:dyDescent="0.2">
      <c r="A1369" s="1">
        <v>15751</v>
      </c>
      <c r="B1369" s="1" t="s">
        <v>1329</v>
      </c>
      <c r="C1369" s="1" t="s">
        <v>51</v>
      </c>
      <c r="D1369" s="2">
        <v>41866</v>
      </c>
      <c r="E1369" s="1" t="s">
        <v>38</v>
      </c>
      <c r="F1369" s="1" t="s">
        <v>1311</v>
      </c>
      <c r="G1369" s="1">
        <v>37</v>
      </c>
      <c r="H1369" s="1">
        <v>4.9800000000000004</v>
      </c>
      <c r="I1369" s="1">
        <f t="shared" si="63"/>
        <v>184.26000000000002</v>
      </c>
      <c r="J1369" t="str">
        <f t="shared" si="64"/>
        <v>Low</v>
      </c>
      <c r="K1369" s="1"/>
      <c r="L1369" s="1">
        <v>0.02</v>
      </c>
      <c r="M1369" s="1">
        <v>0.49</v>
      </c>
      <c r="N1369" s="1" t="s">
        <v>33</v>
      </c>
      <c r="O1369" s="1" t="s">
        <v>34</v>
      </c>
      <c r="P1369" s="2">
        <v>41867</v>
      </c>
      <c r="Q1369" s="2" t="b">
        <f t="shared" si="65"/>
        <v>0</v>
      </c>
      <c r="V1369" s="2"/>
      <c r="W1369" s="2"/>
      <c r="X1369" s="2"/>
      <c r="Y1369" s="2"/>
      <c r="Z1369" s="2"/>
      <c r="AA1369" s="2"/>
      <c r="AB1369" s="2"/>
      <c r="AC1369" s="2"/>
      <c r="AD1369" s="2"/>
      <c r="AE1369" s="2"/>
      <c r="AF1369" s="2"/>
      <c r="AG1369" s="2"/>
      <c r="AH1369" s="2"/>
      <c r="AI1369" s="2"/>
    </row>
    <row r="1370" spans="1:35" ht="14.25" customHeight="1" x14ac:dyDescent="0.2">
      <c r="A1370" s="1">
        <v>15751</v>
      </c>
      <c r="B1370" s="1" t="s">
        <v>1329</v>
      </c>
      <c r="C1370" s="1" t="s">
        <v>51</v>
      </c>
      <c r="D1370" s="2">
        <v>41866</v>
      </c>
      <c r="E1370" s="1" t="s">
        <v>38</v>
      </c>
      <c r="F1370" s="1" t="s">
        <v>1330</v>
      </c>
      <c r="G1370" s="1">
        <v>21</v>
      </c>
      <c r="H1370" s="1">
        <v>20.99</v>
      </c>
      <c r="I1370" s="1">
        <f t="shared" si="63"/>
        <v>440.78999999999996</v>
      </c>
      <c r="J1370" t="str">
        <f t="shared" si="64"/>
        <v>Low</v>
      </c>
      <c r="K1370" s="1"/>
      <c r="L1370" s="1">
        <v>0.01</v>
      </c>
      <c r="M1370" s="1">
        <v>0.99</v>
      </c>
      <c r="N1370" s="1" t="s">
        <v>33</v>
      </c>
      <c r="O1370" s="1" t="s">
        <v>84</v>
      </c>
      <c r="P1370" s="2">
        <v>41867</v>
      </c>
      <c r="Q1370" s="2" t="b">
        <f t="shared" si="65"/>
        <v>0</v>
      </c>
      <c r="V1370" s="2"/>
      <c r="W1370" s="2"/>
      <c r="X1370" s="2"/>
      <c r="Y1370" s="2"/>
      <c r="Z1370" s="2"/>
      <c r="AA1370" s="2"/>
      <c r="AB1370" s="2"/>
      <c r="AC1370" s="2"/>
      <c r="AD1370" s="2"/>
      <c r="AE1370" s="2"/>
      <c r="AF1370" s="2"/>
      <c r="AG1370" s="2"/>
      <c r="AH1370" s="2"/>
      <c r="AI1370" s="2"/>
    </row>
    <row r="1371" spans="1:35" ht="14.25" customHeight="1" x14ac:dyDescent="0.2">
      <c r="A1371" s="1">
        <v>47910</v>
      </c>
      <c r="B1371" s="1" t="s">
        <v>825</v>
      </c>
      <c r="C1371" s="1" t="s">
        <v>30</v>
      </c>
      <c r="D1371" s="2">
        <v>41866</v>
      </c>
      <c r="E1371" s="1" t="s">
        <v>31</v>
      </c>
      <c r="F1371" s="1" t="s">
        <v>407</v>
      </c>
      <c r="G1371" s="1">
        <v>30</v>
      </c>
      <c r="H1371" s="1">
        <v>178.47</v>
      </c>
      <c r="I1371" s="1">
        <f t="shared" si="63"/>
        <v>5354.1</v>
      </c>
      <c r="J1371" t="str">
        <f t="shared" si="64"/>
        <v>High</v>
      </c>
      <c r="K1371" s="1"/>
      <c r="L1371" s="1">
        <v>0.08</v>
      </c>
      <c r="M1371" s="1">
        <v>19.989999999999998</v>
      </c>
      <c r="N1371" s="1" t="s">
        <v>33</v>
      </c>
      <c r="O1371" s="1" t="s">
        <v>34</v>
      </c>
      <c r="P1371" s="2">
        <v>41867</v>
      </c>
      <c r="Q1371" s="2" t="b">
        <f t="shared" si="65"/>
        <v>0</v>
      </c>
      <c r="V1371" s="2"/>
      <c r="W1371" s="2"/>
      <c r="X1371" s="2"/>
      <c r="Y1371" s="2"/>
      <c r="Z1371" s="2"/>
      <c r="AA1371" s="2"/>
      <c r="AB1371" s="2"/>
      <c r="AC1371" s="2"/>
      <c r="AD1371" s="2"/>
      <c r="AE1371" s="2"/>
      <c r="AF1371" s="2"/>
      <c r="AG1371" s="2"/>
      <c r="AH1371" s="2"/>
      <c r="AI1371" s="2"/>
    </row>
    <row r="1372" spans="1:35" ht="14.25" customHeight="1" x14ac:dyDescent="0.2">
      <c r="A1372" s="1">
        <v>38598</v>
      </c>
      <c r="B1372" s="1" t="s">
        <v>136</v>
      </c>
      <c r="C1372" s="1" t="s">
        <v>30</v>
      </c>
      <c r="D1372" s="2">
        <v>41866</v>
      </c>
      <c r="E1372" s="1" t="s">
        <v>43</v>
      </c>
      <c r="F1372" s="1" t="s">
        <v>105</v>
      </c>
      <c r="G1372" s="1">
        <v>17</v>
      </c>
      <c r="H1372" s="1">
        <v>880.98</v>
      </c>
      <c r="I1372" s="1">
        <f t="shared" si="63"/>
        <v>14976.66</v>
      </c>
      <c r="J1372" t="str">
        <f t="shared" si="64"/>
        <v>High</v>
      </c>
      <c r="K1372" s="1"/>
      <c r="L1372" s="1">
        <v>0.04</v>
      </c>
      <c r="M1372" s="1">
        <v>44.55</v>
      </c>
      <c r="N1372" s="1" t="s">
        <v>45</v>
      </c>
      <c r="O1372" s="1" t="s">
        <v>63</v>
      </c>
      <c r="P1372" s="2">
        <v>41870</v>
      </c>
      <c r="Q1372" s="2" t="b">
        <f t="shared" si="65"/>
        <v>0</v>
      </c>
      <c r="V1372" s="2"/>
      <c r="W1372" s="2"/>
      <c r="X1372" s="2"/>
      <c r="Y1372" s="2"/>
      <c r="Z1372" s="2"/>
      <c r="AA1372" s="2"/>
      <c r="AB1372" s="2"/>
      <c r="AC1372" s="2"/>
      <c r="AD1372" s="2"/>
      <c r="AE1372" s="2"/>
      <c r="AF1372" s="2"/>
      <c r="AG1372" s="2"/>
      <c r="AH1372" s="2"/>
      <c r="AI1372" s="2"/>
    </row>
    <row r="1373" spans="1:35" ht="14.25" customHeight="1" x14ac:dyDescent="0.2">
      <c r="A1373" s="1">
        <v>38598</v>
      </c>
      <c r="B1373" s="1" t="s">
        <v>136</v>
      </c>
      <c r="C1373" s="1" t="s">
        <v>21</v>
      </c>
      <c r="D1373" s="2">
        <v>41866</v>
      </c>
      <c r="E1373" s="1" t="s">
        <v>43</v>
      </c>
      <c r="F1373" s="1" t="s">
        <v>1331</v>
      </c>
      <c r="G1373" s="1">
        <v>24</v>
      </c>
      <c r="H1373" s="1">
        <v>13.4</v>
      </c>
      <c r="I1373" s="1">
        <f t="shared" si="63"/>
        <v>321.60000000000002</v>
      </c>
      <c r="J1373" t="str">
        <f t="shared" si="64"/>
        <v>Low</v>
      </c>
      <c r="K1373" s="1"/>
      <c r="L1373" s="1">
        <v>7.0000000000000007E-2</v>
      </c>
      <c r="M1373" s="1">
        <v>4.95</v>
      </c>
      <c r="N1373" s="1" t="s">
        <v>33</v>
      </c>
      <c r="O1373" s="1" t="s">
        <v>84</v>
      </c>
      <c r="P1373" s="2">
        <v>41871</v>
      </c>
      <c r="Q1373" s="2" t="b">
        <f t="shared" si="65"/>
        <v>0</v>
      </c>
      <c r="V1373" s="2"/>
      <c r="W1373" s="2"/>
      <c r="X1373" s="2"/>
      <c r="Y1373" s="2"/>
      <c r="Z1373" s="2"/>
      <c r="AA1373" s="2"/>
      <c r="AB1373" s="2"/>
      <c r="AC1373" s="2"/>
      <c r="AD1373" s="2"/>
      <c r="AE1373" s="2"/>
      <c r="AF1373" s="2"/>
      <c r="AG1373" s="2"/>
      <c r="AH1373" s="2"/>
      <c r="AI1373" s="2"/>
    </row>
    <row r="1374" spans="1:35" ht="14.25" customHeight="1" x14ac:dyDescent="0.2">
      <c r="A1374" s="1">
        <v>38598</v>
      </c>
      <c r="B1374" s="1" t="s">
        <v>136</v>
      </c>
      <c r="C1374" s="1" t="s">
        <v>51</v>
      </c>
      <c r="D1374" s="2">
        <v>41866</v>
      </c>
      <c r="E1374" s="1" t="s">
        <v>43</v>
      </c>
      <c r="F1374" s="1" t="s">
        <v>826</v>
      </c>
      <c r="G1374" s="1">
        <v>27</v>
      </c>
      <c r="H1374" s="1">
        <v>15.99</v>
      </c>
      <c r="I1374" s="1">
        <f t="shared" si="63"/>
        <v>431.73</v>
      </c>
      <c r="J1374" t="str">
        <f t="shared" si="64"/>
        <v>Low</v>
      </c>
      <c r="K1374" s="1"/>
      <c r="L1374" s="1">
        <v>0.01</v>
      </c>
      <c r="M1374" s="1">
        <v>11.28</v>
      </c>
      <c r="N1374" s="1" t="s">
        <v>33</v>
      </c>
      <c r="O1374" s="1" t="s">
        <v>72</v>
      </c>
      <c r="P1374" s="2">
        <v>41873</v>
      </c>
      <c r="Q1374" s="2" t="b">
        <f t="shared" si="65"/>
        <v>0</v>
      </c>
      <c r="V1374" s="2"/>
      <c r="W1374" s="2"/>
      <c r="X1374" s="2"/>
      <c r="Y1374" s="2"/>
      <c r="Z1374" s="2"/>
      <c r="AA1374" s="2"/>
      <c r="AB1374" s="2"/>
      <c r="AC1374" s="2"/>
      <c r="AD1374" s="2"/>
      <c r="AE1374" s="2"/>
      <c r="AF1374" s="2"/>
      <c r="AG1374" s="2"/>
      <c r="AH1374" s="2"/>
      <c r="AI1374" s="2"/>
    </row>
    <row r="1375" spans="1:35" ht="14.25" customHeight="1" x14ac:dyDescent="0.2">
      <c r="A1375" s="1">
        <v>9893</v>
      </c>
      <c r="B1375" s="1" t="s">
        <v>1190</v>
      </c>
      <c r="C1375" s="1" t="s">
        <v>21</v>
      </c>
      <c r="D1375" s="2">
        <v>41867</v>
      </c>
      <c r="E1375" s="1" t="s">
        <v>101</v>
      </c>
      <c r="F1375" s="1" t="s">
        <v>355</v>
      </c>
      <c r="G1375" s="1">
        <v>1</v>
      </c>
      <c r="H1375" s="1">
        <v>160.97999999999999</v>
      </c>
      <c r="I1375" s="1">
        <f t="shared" si="63"/>
        <v>160.97999999999999</v>
      </c>
      <c r="J1375" t="str">
        <f t="shared" si="64"/>
        <v>Low</v>
      </c>
      <c r="K1375" s="1"/>
      <c r="L1375" s="1">
        <v>0.02</v>
      </c>
      <c r="M1375" s="1">
        <v>30</v>
      </c>
      <c r="N1375" s="1" t="s">
        <v>45</v>
      </c>
      <c r="O1375" s="1" t="s">
        <v>46</v>
      </c>
      <c r="P1375" s="2">
        <v>41870</v>
      </c>
      <c r="Q1375" s="2" t="b">
        <f t="shared" si="65"/>
        <v>0</v>
      </c>
      <c r="V1375" s="2"/>
      <c r="W1375" s="2"/>
      <c r="X1375" s="2"/>
      <c r="Y1375" s="2"/>
      <c r="Z1375" s="2"/>
      <c r="AA1375" s="2"/>
      <c r="AB1375" s="2"/>
      <c r="AC1375" s="2"/>
      <c r="AD1375" s="2"/>
      <c r="AE1375" s="2"/>
      <c r="AF1375" s="2"/>
      <c r="AG1375" s="2"/>
      <c r="AH1375" s="2"/>
      <c r="AI1375" s="2"/>
    </row>
    <row r="1376" spans="1:35" ht="14.25" customHeight="1" x14ac:dyDescent="0.2">
      <c r="A1376" s="1">
        <v>29346</v>
      </c>
      <c r="B1376" s="1" t="s">
        <v>905</v>
      </c>
      <c r="C1376" s="1" t="s">
        <v>51</v>
      </c>
      <c r="D1376" s="2">
        <v>41867</v>
      </c>
      <c r="E1376" s="1" t="s">
        <v>43</v>
      </c>
      <c r="F1376" s="1" t="s">
        <v>265</v>
      </c>
      <c r="G1376" s="1">
        <v>2</v>
      </c>
      <c r="H1376" s="1">
        <v>11.58</v>
      </c>
      <c r="I1376" s="1">
        <f t="shared" si="63"/>
        <v>23.16</v>
      </c>
      <c r="J1376" t="str">
        <f t="shared" si="64"/>
        <v>Low</v>
      </c>
      <c r="K1376" s="1"/>
      <c r="L1376" s="1">
        <v>0.1</v>
      </c>
      <c r="M1376" s="1">
        <v>6.97</v>
      </c>
      <c r="N1376" s="1" t="s">
        <v>33</v>
      </c>
      <c r="O1376" s="1" t="s">
        <v>34</v>
      </c>
      <c r="P1376" s="2">
        <v>41871</v>
      </c>
      <c r="Q1376" s="2" t="b">
        <f t="shared" si="65"/>
        <v>0</v>
      </c>
      <c r="V1376" s="2"/>
      <c r="W1376" s="2"/>
      <c r="X1376" s="2"/>
      <c r="Y1376" s="2"/>
      <c r="Z1376" s="2"/>
      <c r="AA1376" s="2"/>
      <c r="AB1376" s="2"/>
      <c r="AC1376" s="2"/>
      <c r="AD1376" s="2"/>
      <c r="AE1376" s="2"/>
      <c r="AF1376" s="2"/>
      <c r="AG1376" s="2"/>
      <c r="AH1376" s="2"/>
      <c r="AI1376" s="2"/>
    </row>
    <row r="1377" spans="1:35" ht="14.25" customHeight="1" x14ac:dyDescent="0.2">
      <c r="A1377" s="1">
        <v>23392</v>
      </c>
      <c r="B1377" s="1" t="s">
        <v>727</v>
      </c>
      <c r="C1377" s="1" t="s">
        <v>51</v>
      </c>
      <c r="D1377" s="2">
        <v>41867</v>
      </c>
      <c r="E1377" s="1" t="s">
        <v>101</v>
      </c>
      <c r="F1377" s="1" t="s">
        <v>1332</v>
      </c>
      <c r="G1377" s="1">
        <v>24</v>
      </c>
      <c r="H1377" s="1">
        <v>209.37</v>
      </c>
      <c r="I1377" s="1">
        <f t="shared" si="63"/>
        <v>5024.88</v>
      </c>
      <c r="J1377" t="str">
        <f t="shared" si="64"/>
        <v>High</v>
      </c>
      <c r="K1377" s="1"/>
      <c r="L1377" s="1">
        <v>0</v>
      </c>
      <c r="M1377" s="1">
        <v>69</v>
      </c>
      <c r="N1377" s="1" t="s">
        <v>33</v>
      </c>
      <c r="O1377" s="1" t="s">
        <v>26</v>
      </c>
      <c r="P1377" s="2">
        <v>41869</v>
      </c>
      <c r="Q1377" s="2" t="b">
        <f t="shared" si="65"/>
        <v>0</v>
      </c>
      <c r="V1377" s="2"/>
      <c r="W1377" s="2"/>
      <c r="X1377" s="2"/>
      <c r="Y1377" s="2"/>
      <c r="Z1377" s="2"/>
      <c r="AA1377" s="2"/>
      <c r="AB1377" s="2"/>
      <c r="AC1377" s="2"/>
      <c r="AD1377" s="2"/>
      <c r="AE1377" s="2"/>
      <c r="AF1377" s="2"/>
      <c r="AG1377" s="2"/>
      <c r="AH1377" s="2"/>
      <c r="AI1377" s="2"/>
    </row>
    <row r="1378" spans="1:35" ht="14.25" customHeight="1" x14ac:dyDescent="0.2">
      <c r="A1378" s="1">
        <v>37830</v>
      </c>
      <c r="B1378" s="1" t="s">
        <v>1070</v>
      </c>
      <c r="C1378" s="1" t="s">
        <v>21</v>
      </c>
      <c r="D1378" s="2">
        <v>41867</v>
      </c>
      <c r="E1378" s="1" t="s">
        <v>22</v>
      </c>
      <c r="F1378" s="1" t="s">
        <v>1333</v>
      </c>
      <c r="G1378" s="1">
        <v>39</v>
      </c>
      <c r="H1378" s="1">
        <v>25.99</v>
      </c>
      <c r="I1378" s="1">
        <f t="shared" si="63"/>
        <v>1013.6099999999999</v>
      </c>
      <c r="J1378" t="str">
        <f t="shared" si="64"/>
        <v>High</v>
      </c>
      <c r="K1378" s="1"/>
      <c r="L1378" s="1">
        <v>0.05</v>
      </c>
      <c r="M1378" s="1">
        <v>5.37</v>
      </c>
      <c r="N1378" s="1" t="s">
        <v>25</v>
      </c>
      <c r="O1378" s="1" t="s">
        <v>34</v>
      </c>
      <c r="P1378" s="2">
        <v>41869</v>
      </c>
      <c r="Q1378" s="2" t="b">
        <f t="shared" si="65"/>
        <v>0</v>
      </c>
      <c r="V1378" s="2"/>
      <c r="W1378" s="2"/>
      <c r="X1378" s="2"/>
      <c r="Y1378" s="2"/>
      <c r="Z1378" s="2"/>
      <c r="AA1378" s="2"/>
      <c r="AB1378" s="2"/>
      <c r="AC1378" s="2"/>
      <c r="AD1378" s="2"/>
      <c r="AE1378" s="2"/>
      <c r="AF1378" s="2"/>
      <c r="AG1378" s="2"/>
      <c r="AH1378" s="2"/>
      <c r="AI1378" s="2"/>
    </row>
    <row r="1379" spans="1:35" ht="14.25" customHeight="1" x14ac:dyDescent="0.2">
      <c r="A1379" s="1">
        <v>46469</v>
      </c>
      <c r="B1379" s="1" t="s">
        <v>513</v>
      </c>
      <c r="C1379" s="1" t="s">
        <v>51</v>
      </c>
      <c r="D1379" s="2">
        <v>41867</v>
      </c>
      <c r="E1379" s="1" t="s">
        <v>38</v>
      </c>
      <c r="F1379" s="1" t="s">
        <v>1334</v>
      </c>
      <c r="G1379" s="1">
        <v>17</v>
      </c>
      <c r="H1379" s="1">
        <v>70.98</v>
      </c>
      <c r="I1379" s="1">
        <f t="shared" si="63"/>
        <v>1206.6600000000001</v>
      </c>
      <c r="J1379" t="str">
        <f t="shared" si="64"/>
        <v>High</v>
      </c>
      <c r="K1379" s="1"/>
      <c r="L1379" s="1">
        <v>0.05</v>
      </c>
      <c r="M1379" s="1">
        <v>30</v>
      </c>
      <c r="N1379" s="1" t="s">
        <v>45</v>
      </c>
      <c r="O1379" s="1" t="s">
        <v>46</v>
      </c>
      <c r="P1379" s="2">
        <v>41869</v>
      </c>
      <c r="Q1379" s="2" t="b">
        <f t="shared" si="65"/>
        <v>0</v>
      </c>
      <c r="V1379" s="2"/>
      <c r="W1379" s="2"/>
      <c r="X1379" s="2"/>
      <c r="Y1379" s="2"/>
      <c r="Z1379" s="2"/>
      <c r="AA1379" s="2"/>
      <c r="AB1379" s="2"/>
      <c r="AC1379" s="2"/>
      <c r="AD1379" s="2"/>
      <c r="AE1379" s="2"/>
      <c r="AF1379" s="2"/>
      <c r="AG1379" s="2"/>
      <c r="AH1379" s="2"/>
      <c r="AI1379" s="2"/>
    </row>
    <row r="1380" spans="1:35" ht="14.25" customHeight="1" x14ac:dyDescent="0.2">
      <c r="A1380" s="1">
        <v>46469</v>
      </c>
      <c r="B1380" s="1" t="s">
        <v>513</v>
      </c>
      <c r="C1380" s="1" t="s">
        <v>51</v>
      </c>
      <c r="D1380" s="2">
        <v>41867</v>
      </c>
      <c r="E1380" s="1" t="s">
        <v>38</v>
      </c>
      <c r="F1380" s="1" t="s">
        <v>1335</v>
      </c>
      <c r="G1380" s="1">
        <v>18</v>
      </c>
      <c r="H1380" s="1">
        <v>4.9800000000000004</v>
      </c>
      <c r="I1380" s="1">
        <f t="shared" si="63"/>
        <v>89.640000000000015</v>
      </c>
      <c r="J1380" t="str">
        <f t="shared" si="64"/>
        <v>Low</v>
      </c>
      <c r="K1380" s="1"/>
      <c r="L1380" s="1">
        <v>0.05</v>
      </c>
      <c r="M1380" s="1">
        <v>4.7</v>
      </c>
      <c r="N1380" s="1" t="s">
        <v>33</v>
      </c>
      <c r="O1380" s="1" t="s">
        <v>34</v>
      </c>
      <c r="P1380" s="2">
        <v>41869</v>
      </c>
      <c r="Q1380" s="2" t="b">
        <f t="shared" si="65"/>
        <v>0</v>
      </c>
      <c r="V1380" s="2"/>
      <c r="W1380" s="2"/>
      <c r="X1380" s="2"/>
      <c r="Y1380" s="2"/>
      <c r="Z1380" s="2"/>
      <c r="AA1380" s="2"/>
      <c r="AB1380" s="2"/>
      <c r="AC1380" s="2"/>
      <c r="AD1380" s="2"/>
      <c r="AE1380" s="2"/>
      <c r="AF1380" s="2"/>
      <c r="AG1380" s="2"/>
      <c r="AH1380" s="2"/>
      <c r="AI1380" s="2"/>
    </row>
    <row r="1381" spans="1:35" ht="14.25" customHeight="1" x14ac:dyDescent="0.2">
      <c r="A1381" s="1">
        <v>55840</v>
      </c>
      <c r="B1381" s="1" t="s">
        <v>1336</v>
      </c>
      <c r="C1381" s="1" t="s">
        <v>51</v>
      </c>
      <c r="D1381" s="2">
        <v>41868</v>
      </c>
      <c r="E1381" s="1" t="s">
        <v>101</v>
      </c>
      <c r="F1381" s="1" t="s">
        <v>1337</v>
      </c>
      <c r="G1381" s="1">
        <v>11</v>
      </c>
      <c r="H1381" s="1">
        <v>4.9800000000000004</v>
      </c>
      <c r="I1381" s="1">
        <f t="shared" si="63"/>
        <v>54.78</v>
      </c>
      <c r="J1381" t="str">
        <f t="shared" si="64"/>
        <v>Low</v>
      </c>
      <c r="K1381" s="1"/>
      <c r="L1381" s="1">
        <v>0.04</v>
      </c>
      <c r="M1381" s="1">
        <v>4.8600000000000003</v>
      </c>
      <c r="N1381" s="1" t="s">
        <v>33</v>
      </c>
      <c r="O1381" s="1" t="s">
        <v>34</v>
      </c>
      <c r="P1381" s="2">
        <v>41868</v>
      </c>
      <c r="Q1381" s="2" t="b">
        <f t="shared" si="65"/>
        <v>0</v>
      </c>
      <c r="V1381" s="2"/>
      <c r="W1381" s="2"/>
      <c r="X1381" s="2"/>
      <c r="Y1381" s="2"/>
      <c r="Z1381" s="2"/>
      <c r="AA1381" s="2"/>
      <c r="AB1381" s="2"/>
      <c r="AC1381" s="2"/>
      <c r="AD1381" s="2"/>
      <c r="AE1381" s="2"/>
      <c r="AF1381" s="2"/>
      <c r="AG1381" s="2"/>
      <c r="AH1381" s="2"/>
      <c r="AI1381" s="2"/>
    </row>
    <row r="1382" spans="1:35" ht="14.25" customHeight="1" x14ac:dyDescent="0.2">
      <c r="A1382" s="1">
        <v>40647</v>
      </c>
      <c r="B1382" s="1" t="s">
        <v>630</v>
      </c>
      <c r="C1382" s="1" t="s">
        <v>51</v>
      </c>
      <c r="D1382" s="2">
        <v>41868</v>
      </c>
      <c r="E1382" s="1" t="s">
        <v>31</v>
      </c>
      <c r="F1382" s="1" t="s">
        <v>976</v>
      </c>
      <c r="G1382" s="1">
        <v>47</v>
      </c>
      <c r="H1382" s="1">
        <v>40.99</v>
      </c>
      <c r="I1382" s="1">
        <f t="shared" si="63"/>
        <v>1926.5300000000002</v>
      </c>
      <c r="J1382" t="str">
        <f t="shared" si="64"/>
        <v>High</v>
      </c>
      <c r="K1382" s="1"/>
      <c r="L1382" s="1">
        <v>0.03</v>
      </c>
      <c r="M1382" s="1">
        <v>19.989999999999998</v>
      </c>
      <c r="N1382" s="1" t="s">
        <v>33</v>
      </c>
      <c r="O1382" s="1" t="s">
        <v>34</v>
      </c>
      <c r="P1382" s="2">
        <v>41869</v>
      </c>
      <c r="Q1382" s="2" t="b">
        <f t="shared" si="65"/>
        <v>0</v>
      </c>
      <c r="V1382" s="2"/>
      <c r="W1382" s="2"/>
      <c r="X1382" s="2"/>
      <c r="Y1382" s="2"/>
      <c r="Z1382" s="2"/>
      <c r="AA1382" s="2"/>
      <c r="AB1382" s="2"/>
      <c r="AC1382" s="2"/>
      <c r="AD1382" s="2"/>
      <c r="AE1382" s="2"/>
      <c r="AF1382" s="2"/>
      <c r="AG1382" s="2"/>
      <c r="AH1382" s="2"/>
      <c r="AI1382" s="2"/>
    </row>
    <row r="1383" spans="1:35" ht="14.25" customHeight="1" x14ac:dyDescent="0.2">
      <c r="A1383" s="1">
        <v>10437</v>
      </c>
      <c r="B1383" s="1" t="s">
        <v>1251</v>
      </c>
      <c r="C1383" s="1" t="s">
        <v>30</v>
      </c>
      <c r="D1383" s="2">
        <v>41869</v>
      </c>
      <c r="E1383" s="1" t="s">
        <v>38</v>
      </c>
      <c r="F1383" s="1" t="s">
        <v>137</v>
      </c>
      <c r="G1383" s="1">
        <v>50</v>
      </c>
      <c r="H1383" s="1">
        <v>15.99</v>
      </c>
      <c r="I1383" s="1">
        <f t="shared" si="63"/>
        <v>799.5</v>
      </c>
      <c r="J1383" t="str">
        <f t="shared" si="64"/>
        <v>Low</v>
      </c>
      <c r="K1383" s="1"/>
      <c r="L1383" s="1">
        <v>0.01</v>
      </c>
      <c r="M1383" s="1">
        <v>13.18</v>
      </c>
      <c r="N1383" s="1" t="s">
        <v>33</v>
      </c>
      <c r="O1383" s="1" t="s">
        <v>34</v>
      </c>
      <c r="P1383" s="2">
        <v>41871</v>
      </c>
      <c r="Q1383" s="2" t="b">
        <f t="shared" si="65"/>
        <v>0</v>
      </c>
      <c r="V1383" s="2"/>
      <c r="W1383" s="2"/>
      <c r="X1383" s="2"/>
      <c r="Y1383" s="2"/>
      <c r="Z1383" s="2"/>
      <c r="AA1383" s="2"/>
      <c r="AB1383" s="2"/>
      <c r="AC1383" s="2"/>
      <c r="AD1383" s="2"/>
      <c r="AE1383" s="2"/>
      <c r="AF1383" s="2"/>
      <c r="AG1383" s="2"/>
      <c r="AH1383" s="2"/>
      <c r="AI1383" s="2"/>
    </row>
    <row r="1384" spans="1:35" ht="14.25" customHeight="1" x14ac:dyDescent="0.2">
      <c r="A1384" s="1">
        <v>53254</v>
      </c>
      <c r="B1384" s="1" t="s">
        <v>933</v>
      </c>
      <c r="C1384" s="1" t="s">
        <v>21</v>
      </c>
      <c r="D1384" s="2">
        <v>41869</v>
      </c>
      <c r="E1384" s="1" t="s">
        <v>101</v>
      </c>
      <c r="F1384" s="1" t="s">
        <v>568</v>
      </c>
      <c r="G1384" s="1">
        <v>34</v>
      </c>
      <c r="H1384" s="1">
        <v>175.99</v>
      </c>
      <c r="I1384" s="1">
        <f t="shared" si="63"/>
        <v>5983.66</v>
      </c>
      <c r="J1384" t="str">
        <f t="shared" si="64"/>
        <v>High</v>
      </c>
      <c r="K1384" s="1"/>
      <c r="L1384" s="1">
        <v>0</v>
      </c>
      <c r="M1384" s="1">
        <v>4.99</v>
      </c>
      <c r="N1384" s="1" t="s">
        <v>33</v>
      </c>
      <c r="O1384" s="1" t="s">
        <v>34</v>
      </c>
      <c r="P1384" s="2">
        <v>41872</v>
      </c>
      <c r="Q1384" s="2" t="b">
        <f t="shared" si="65"/>
        <v>0</v>
      </c>
      <c r="V1384" s="2"/>
      <c r="W1384" s="2"/>
      <c r="X1384" s="2"/>
      <c r="Y1384" s="2"/>
      <c r="Z1384" s="2"/>
      <c r="AA1384" s="2"/>
      <c r="AB1384" s="2"/>
      <c r="AC1384" s="2"/>
      <c r="AD1384" s="2"/>
      <c r="AE1384" s="2"/>
      <c r="AF1384" s="2"/>
      <c r="AG1384" s="2"/>
      <c r="AH1384" s="2"/>
      <c r="AI1384" s="2"/>
    </row>
    <row r="1385" spans="1:35" ht="14.25" customHeight="1" x14ac:dyDescent="0.2">
      <c r="A1385" s="1">
        <v>21861</v>
      </c>
      <c r="B1385" s="1" t="s">
        <v>1338</v>
      </c>
      <c r="C1385" s="1" t="s">
        <v>30</v>
      </c>
      <c r="D1385" s="2">
        <v>41869</v>
      </c>
      <c r="E1385" s="1" t="s">
        <v>38</v>
      </c>
      <c r="F1385" s="1" t="s">
        <v>615</v>
      </c>
      <c r="G1385" s="1">
        <v>5</v>
      </c>
      <c r="H1385" s="1">
        <v>47.98</v>
      </c>
      <c r="I1385" s="1">
        <f t="shared" si="63"/>
        <v>239.89999999999998</v>
      </c>
      <c r="J1385" t="str">
        <f t="shared" si="64"/>
        <v>Low</v>
      </c>
      <c r="K1385" s="1"/>
      <c r="L1385" s="1">
        <v>0.06</v>
      </c>
      <c r="M1385" s="1">
        <v>3.61</v>
      </c>
      <c r="N1385" s="1" t="s">
        <v>33</v>
      </c>
      <c r="O1385" s="1" t="s">
        <v>84</v>
      </c>
      <c r="P1385" s="2">
        <v>41871</v>
      </c>
      <c r="Q1385" s="2" t="b">
        <f t="shared" si="65"/>
        <v>0</v>
      </c>
      <c r="V1385" s="2"/>
      <c r="W1385" s="2"/>
      <c r="X1385" s="2"/>
      <c r="Y1385" s="2"/>
      <c r="Z1385" s="2"/>
      <c r="AA1385" s="2"/>
      <c r="AB1385" s="2"/>
      <c r="AC1385" s="2"/>
      <c r="AD1385" s="2"/>
      <c r="AE1385" s="2"/>
      <c r="AF1385" s="2"/>
      <c r="AG1385" s="2"/>
      <c r="AH1385" s="2"/>
      <c r="AI1385" s="2"/>
    </row>
    <row r="1386" spans="1:35" ht="14.25" customHeight="1" x14ac:dyDescent="0.2">
      <c r="A1386" s="1">
        <v>13536</v>
      </c>
      <c r="B1386" s="1" t="s">
        <v>983</v>
      </c>
      <c r="C1386" s="1" t="s">
        <v>51</v>
      </c>
      <c r="D1386" s="2">
        <v>41869</v>
      </c>
      <c r="E1386" s="1" t="s">
        <v>101</v>
      </c>
      <c r="F1386" s="1" t="s">
        <v>1010</v>
      </c>
      <c r="G1386" s="1">
        <v>23</v>
      </c>
      <c r="H1386" s="1">
        <v>5.18</v>
      </c>
      <c r="I1386" s="1">
        <f t="shared" si="63"/>
        <v>119.13999999999999</v>
      </c>
      <c r="J1386" t="str">
        <f t="shared" si="64"/>
        <v>Low</v>
      </c>
      <c r="K1386" s="1"/>
      <c r="L1386" s="1">
        <v>0.05</v>
      </c>
      <c r="M1386" s="1">
        <v>2.04</v>
      </c>
      <c r="N1386" s="1" t="s">
        <v>33</v>
      </c>
      <c r="O1386" s="1" t="s">
        <v>55</v>
      </c>
      <c r="P1386" s="2">
        <v>41871</v>
      </c>
      <c r="Q1386" s="2" t="b">
        <f t="shared" si="65"/>
        <v>0</v>
      </c>
      <c r="V1386" s="2"/>
      <c r="W1386" s="2"/>
      <c r="X1386" s="2"/>
      <c r="Y1386" s="2"/>
      <c r="Z1386" s="2"/>
      <c r="AA1386" s="2"/>
      <c r="AB1386" s="2"/>
      <c r="AC1386" s="2"/>
      <c r="AD1386" s="2"/>
      <c r="AE1386" s="2"/>
      <c r="AF1386" s="2"/>
      <c r="AG1386" s="2"/>
      <c r="AH1386" s="2"/>
      <c r="AI1386" s="2"/>
    </row>
    <row r="1387" spans="1:35" ht="14.25" customHeight="1" x14ac:dyDescent="0.2">
      <c r="A1387" s="1">
        <v>2790</v>
      </c>
      <c r="B1387" s="1" t="s">
        <v>1109</v>
      </c>
      <c r="C1387" s="1" t="s">
        <v>51</v>
      </c>
      <c r="D1387" s="2">
        <v>41869</v>
      </c>
      <c r="E1387" s="1" t="s">
        <v>31</v>
      </c>
      <c r="F1387" s="1" t="s">
        <v>1034</v>
      </c>
      <c r="G1387" s="1">
        <v>7</v>
      </c>
      <c r="H1387" s="1">
        <v>5.44</v>
      </c>
      <c r="I1387" s="1">
        <f t="shared" si="63"/>
        <v>38.080000000000005</v>
      </c>
      <c r="J1387" t="str">
        <f t="shared" si="64"/>
        <v>Low</v>
      </c>
      <c r="K1387" s="1"/>
      <c r="L1387" s="1">
        <v>0.01</v>
      </c>
      <c r="M1387" s="1">
        <v>7.46</v>
      </c>
      <c r="N1387" s="1" t="s">
        <v>33</v>
      </c>
      <c r="O1387" s="1" t="s">
        <v>34</v>
      </c>
      <c r="P1387" s="2">
        <v>41870</v>
      </c>
      <c r="Q1387" s="2" t="b">
        <f t="shared" si="65"/>
        <v>0</v>
      </c>
      <c r="V1387" s="2"/>
      <c r="W1387" s="2"/>
      <c r="X1387" s="2"/>
      <c r="Y1387" s="2"/>
      <c r="Z1387" s="2"/>
      <c r="AA1387" s="2"/>
      <c r="AB1387" s="2"/>
      <c r="AC1387" s="2"/>
      <c r="AD1387" s="2"/>
      <c r="AE1387" s="2"/>
      <c r="AF1387" s="2"/>
      <c r="AG1387" s="2"/>
      <c r="AH1387" s="2"/>
      <c r="AI1387" s="2"/>
    </row>
    <row r="1388" spans="1:35" ht="14.25" customHeight="1" x14ac:dyDescent="0.2">
      <c r="A1388" s="1">
        <v>2790</v>
      </c>
      <c r="B1388" s="1" t="s">
        <v>1109</v>
      </c>
      <c r="C1388" s="1" t="s">
        <v>51</v>
      </c>
      <c r="D1388" s="2">
        <v>41869</v>
      </c>
      <c r="E1388" s="1" t="s">
        <v>31</v>
      </c>
      <c r="F1388" s="1" t="s">
        <v>1339</v>
      </c>
      <c r="G1388" s="1">
        <v>41</v>
      </c>
      <c r="H1388" s="1">
        <v>549.99</v>
      </c>
      <c r="I1388" s="1">
        <f t="shared" si="63"/>
        <v>22549.59</v>
      </c>
      <c r="J1388" t="str">
        <f t="shared" si="64"/>
        <v>High</v>
      </c>
      <c r="K1388" s="1"/>
      <c r="L1388" s="1">
        <v>0.02</v>
      </c>
      <c r="M1388" s="1">
        <v>49</v>
      </c>
      <c r="N1388" s="1" t="s">
        <v>45</v>
      </c>
      <c r="O1388" s="1" t="s">
        <v>46</v>
      </c>
      <c r="P1388" s="2">
        <v>41871</v>
      </c>
      <c r="Q1388" s="2" t="b">
        <f t="shared" si="65"/>
        <v>0</v>
      </c>
      <c r="V1388" s="2"/>
      <c r="W1388" s="2"/>
      <c r="X1388" s="2"/>
      <c r="Y1388" s="2"/>
      <c r="Z1388" s="2"/>
      <c r="AA1388" s="2"/>
      <c r="AB1388" s="2"/>
      <c r="AC1388" s="2"/>
      <c r="AD1388" s="2"/>
      <c r="AE1388" s="2"/>
      <c r="AF1388" s="2"/>
      <c r="AG1388" s="2"/>
      <c r="AH1388" s="2"/>
      <c r="AI1388" s="2"/>
    </row>
    <row r="1389" spans="1:35" ht="14.25" customHeight="1" x14ac:dyDescent="0.2">
      <c r="A1389" s="1">
        <v>2790</v>
      </c>
      <c r="B1389" s="1" t="s">
        <v>1109</v>
      </c>
      <c r="C1389" s="1" t="s">
        <v>30</v>
      </c>
      <c r="D1389" s="2">
        <v>41869</v>
      </c>
      <c r="E1389" s="1" t="s">
        <v>31</v>
      </c>
      <c r="F1389" s="1" t="s">
        <v>876</v>
      </c>
      <c r="G1389" s="1">
        <v>15</v>
      </c>
      <c r="H1389" s="1">
        <v>22.01</v>
      </c>
      <c r="I1389" s="1">
        <f t="shared" si="63"/>
        <v>330.15000000000003</v>
      </c>
      <c r="J1389" t="str">
        <f t="shared" si="64"/>
        <v>Low</v>
      </c>
      <c r="K1389" s="1"/>
      <c r="L1389" s="1">
        <v>0.03</v>
      </c>
      <c r="M1389" s="1">
        <v>5.53</v>
      </c>
      <c r="N1389" s="1" t="s">
        <v>25</v>
      </c>
      <c r="O1389" s="1" t="s">
        <v>84</v>
      </c>
      <c r="P1389" s="2">
        <v>41870</v>
      </c>
      <c r="Q1389" s="2" t="b">
        <f t="shared" si="65"/>
        <v>0</v>
      </c>
      <c r="V1389" s="2"/>
      <c r="W1389" s="2"/>
      <c r="X1389" s="2"/>
      <c r="Y1389" s="2"/>
      <c r="Z1389" s="2"/>
      <c r="AA1389" s="2"/>
      <c r="AB1389" s="2"/>
      <c r="AC1389" s="2"/>
      <c r="AD1389" s="2"/>
      <c r="AE1389" s="2"/>
      <c r="AF1389" s="2"/>
      <c r="AG1389" s="2"/>
      <c r="AH1389" s="2"/>
      <c r="AI1389" s="2"/>
    </row>
    <row r="1390" spans="1:35" ht="14.25" customHeight="1" x14ac:dyDescent="0.2">
      <c r="A1390" s="1">
        <v>2790</v>
      </c>
      <c r="B1390" s="1" t="s">
        <v>1109</v>
      </c>
      <c r="C1390" s="1" t="s">
        <v>21</v>
      </c>
      <c r="D1390" s="2">
        <v>41869</v>
      </c>
      <c r="E1390" s="1" t="s">
        <v>31</v>
      </c>
      <c r="F1390" s="1" t="s">
        <v>1340</v>
      </c>
      <c r="G1390" s="1">
        <v>15</v>
      </c>
      <c r="H1390" s="1">
        <v>34.76</v>
      </c>
      <c r="I1390" s="1">
        <f t="shared" si="63"/>
        <v>521.4</v>
      </c>
      <c r="J1390" t="str">
        <f t="shared" si="64"/>
        <v>Low</v>
      </c>
      <c r="K1390" s="1"/>
      <c r="L1390" s="1">
        <v>0.09</v>
      </c>
      <c r="M1390" s="1">
        <v>8.2200000000000006</v>
      </c>
      <c r="N1390" s="1" t="s">
        <v>33</v>
      </c>
      <c r="O1390" s="1" t="s">
        <v>34</v>
      </c>
      <c r="P1390" s="2">
        <v>41871</v>
      </c>
      <c r="Q1390" s="2" t="b">
        <f t="shared" si="65"/>
        <v>0</v>
      </c>
      <c r="V1390" s="2"/>
      <c r="W1390" s="2"/>
      <c r="X1390" s="2"/>
      <c r="Y1390" s="2"/>
      <c r="Z1390" s="2"/>
      <c r="AA1390" s="2"/>
      <c r="AB1390" s="2"/>
      <c r="AC1390" s="2"/>
      <c r="AD1390" s="2"/>
      <c r="AE1390" s="2"/>
      <c r="AF1390" s="2"/>
      <c r="AG1390" s="2"/>
      <c r="AH1390" s="2"/>
      <c r="AI1390" s="2"/>
    </row>
    <row r="1391" spans="1:35" ht="14.25" customHeight="1" x14ac:dyDescent="0.2">
      <c r="A1391" s="1">
        <v>45410</v>
      </c>
      <c r="B1391" s="1" t="s">
        <v>391</v>
      </c>
      <c r="C1391" s="1" t="s">
        <v>30</v>
      </c>
      <c r="D1391" s="2">
        <v>41870</v>
      </c>
      <c r="E1391" s="1" t="s">
        <v>43</v>
      </c>
      <c r="F1391" s="1" t="s">
        <v>1341</v>
      </c>
      <c r="G1391" s="1">
        <v>19</v>
      </c>
      <c r="H1391" s="1">
        <v>54.1</v>
      </c>
      <c r="I1391" s="1">
        <f t="shared" si="63"/>
        <v>1027.9000000000001</v>
      </c>
      <c r="J1391" t="str">
        <f t="shared" si="64"/>
        <v>High</v>
      </c>
      <c r="K1391" s="1"/>
      <c r="L1391" s="1">
        <v>0.1</v>
      </c>
      <c r="M1391" s="1">
        <v>19.989999999999998</v>
      </c>
      <c r="N1391" s="1" t="s">
        <v>33</v>
      </c>
      <c r="O1391" s="1" t="s">
        <v>34</v>
      </c>
      <c r="P1391" s="2">
        <v>41875</v>
      </c>
      <c r="Q1391" s="2" t="b">
        <f t="shared" si="65"/>
        <v>0</v>
      </c>
      <c r="V1391" s="2"/>
      <c r="W1391" s="2"/>
      <c r="X1391" s="2"/>
      <c r="Y1391" s="2"/>
      <c r="Z1391" s="2"/>
      <c r="AA1391" s="2"/>
      <c r="AB1391" s="2"/>
      <c r="AC1391" s="2"/>
      <c r="AD1391" s="2"/>
      <c r="AE1391" s="2"/>
      <c r="AF1391" s="2"/>
      <c r="AG1391" s="2"/>
      <c r="AH1391" s="2"/>
      <c r="AI1391" s="2"/>
    </row>
    <row r="1392" spans="1:35" ht="14.25" customHeight="1" x14ac:dyDescent="0.2">
      <c r="A1392" s="1">
        <v>1762</v>
      </c>
      <c r="B1392" s="1" t="s">
        <v>1342</v>
      </c>
      <c r="C1392" s="1" t="s">
        <v>21</v>
      </c>
      <c r="D1392" s="2">
        <v>41870</v>
      </c>
      <c r="E1392" s="1" t="s">
        <v>22</v>
      </c>
      <c r="F1392" s="1" t="s">
        <v>351</v>
      </c>
      <c r="G1392" s="1">
        <v>29</v>
      </c>
      <c r="H1392" s="1">
        <v>31.78</v>
      </c>
      <c r="I1392" s="1">
        <f t="shared" si="63"/>
        <v>921.62</v>
      </c>
      <c r="J1392" t="str">
        <f t="shared" si="64"/>
        <v>Low</v>
      </c>
      <c r="K1392" s="1"/>
      <c r="L1392" s="1">
        <v>7.0000000000000007E-2</v>
      </c>
      <c r="M1392" s="1">
        <v>1.99</v>
      </c>
      <c r="N1392" s="1" t="s">
        <v>33</v>
      </c>
      <c r="O1392" s="1" t="s">
        <v>84</v>
      </c>
      <c r="P1392" s="2">
        <v>41872</v>
      </c>
      <c r="Q1392" s="2" t="b">
        <f t="shared" si="65"/>
        <v>0</v>
      </c>
      <c r="V1392" s="2"/>
      <c r="W1392" s="2"/>
      <c r="X1392" s="2"/>
      <c r="Y1392" s="2"/>
      <c r="Z1392" s="2"/>
      <c r="AA1392" s="2"/>
      <c r="AB1392" s="2"/>
      <c r="AC1392" s="2"/>
      <c r="AD1392" s="2"/>
      <c r="AE1392" s="2"/>
      <c r="AF1392" s="2"/>
      <c r="AG1392" s="2"/>
      <c r="AH1392" s="2"/>
      <c r="AI1392" s="2"/>
    </row>
    <row r="1393" spans="1:35" ht="14.25" customHeight="1" x14ac:dyDescent="0.2">
      <c r="A1393" s="1">
        <v>1762</v>
      </c>
      <c r="B1393" s="1" t="s">
        <v>1342</v>
      </c>
      <c r="C1393" s="1" t="s">
        <v>51</v>
      </c>
      <c r="D1393" s="2">
        <v>41870</v>
      </c>
      <c r="E1393" s="1" t="s">
        <v>22</v>
      </c>
      <c r="F1393" s="1" t="s">
        <v>865</v>
      </c>
      <c r="G1393" s="1">
        <v>11</v>
      </c>
      <c r="H1393" s="1">
        <v>5.98</v>
      </c>
      <c r="I1393" s="1">
        <f t="shared" si="63"/>
        <v>65.78</v>
      </c>
      <c r="J1393" t="str">
        <f t="shared" si="64"/>
        <v>Low</v>
      </c>
      <c r="K1393" s="1"/>
      <c r="L1393" s="1">
        <v>0</v>
      </c>
      <c r="M1393" s="1">
        <v>2.5</v>
      </c>
      <c r="N1393" s="1" t="s">
        <v>33</v>
      </c>
      <c r="O1393" s="1" t="s">
        <v>34</v>
      </c>
      <c r="P1393" s="2">
        <v>41871</v>
      </c>
      <c r="Q1393" s="2" t="b">
        <f t="shared" si="65"/>
        <v>0</v>
      </c>
      <c r="V1393" s="2"/>
      <c r="W1393" s="2"/>
      <c r="X1393" s="2"/>
      <c r="Y1393" s="2"/>
      <c r="Z1393" s="2"/>
      <c r="AA1393" s="2"/>
      <c r="AB1393" s="2"/>
      <c r="AC1393" s="2"/>
      <c r="AD1393" s="2"/>
      <c r="AE1393" s="2"/>
      <c r="AF1393" s="2"/>
      <c r="AG1393" s="2"/>
      <c r="AH1393" s="2"/>
      <c r="AI1393" s="2"/>
    </row>
    <row r="1394" spans="1:35" ht="14.25" customHeight="1" x14ac:dyDescent="0.2">
      <c r="A1394" s="1">
        <v>1762</v>
      </c>
      <c r="B1394" s="1" t="s">
        <v>1342</v>
      </c>
      <c r="C1394" s="1" t="s">
        <v>30</v>
      </c>
      <c r="D1394" s="2">
        <v>41870</v>
      </c>
      <c r="E1394" s="1" t="s">
        <v>22</v>
      </c>
      <c r="F1394" s="1" t="s">
        <v>114</v>
      </c>
      <c r="G1394" s="1">
        <v>43</v>
      </c>
      <c r="H1394" s="1">
        <v>35.99</v>
      </c>
      <c r="I1394" s="1">
        <f t="shared" si="63"/>
        <v>1547.5700000000002</v>
      </c>
      <c r="J1394" t="str">
        <f t="shared" si="64"/>
        <v>High</v>
      </c>
      <c r="K1394" s="1"/>
      <c r="L1394" s="1">
        <v>0.1</v>
      </c>
      <c r="M1394" s="1">
        <v>1.1000000000000001</v>
      </c>
      <c r="N1394" s="1" t="s">
        <v>25</v>
      </c>
      <c r="O1394" s="1" t="s">
        <v>34</v>
      </c>
      <c r="P1394" s="2">
        <v>41871</v>
      </c>
      <c r="Q1394" s="2" t="b">
        <f t="shared" si="65"/>
        <v>0</v>
      </c>
      <c r="V1394" s="2"/>
      <c r="W1394" s="2"/>
      <c r="X1394" s="2"/>
      <c r="Y1394" s="2"/>
      <c r="Z1394" s="2"/>
      <c r="AA1394" s="2"/>
      <c r="AB1394" s="2"/>
      <c r="AC1394" s="2"/>
      <c r="AD1394" s="2"/>
      <c r="AE1394" s="2"/>
      <c r="AF1394" s="2"/>
      <c r="AG1394" s="2"/>
      <c r="AH1394" s="2"/>
      <c r="AI1394" s="2"/>
    </row>
    <row r="1395" spans="1:35" ht="14.25" customHeight="1" x14ac:dyDescent="0.2">
      <c r="A1395" s="1">
        <v>19175</v>
      </c>
      <c r="B1395" s="1" t="s">
        <v>486</v>
      </c>
      <c r="C1395" s="1" t="s">
        <v>21</v>
      </c>
      <c r="D1395" s="2">
        <v>41870</v>
      </c>
      <c r="E1395" s="1" t="s">
        <v>43</v>
      </c>
      <c r="F1395" s="1" t="s">
        <v>1343</v>
      </c>
      <c r="G1395" s="1">
        <v>19</v>
      </c>
      <c r="H1395" s="1">
        <v>65.989999999999995</v>
      </c>
      <c r="I1395" s="1">
        <f t="shared" si="63"/>
        <v>1253.81</v>
      </c>
      <c r="J1395" t="str">
        <f t="shared" si="64"/>
        <v>High</v>
      </c>
      <c r="K1395" s="1"/>
      <c r="L1395" s="1">
        <v>0.01</v>
      </c>
      <c r="M1395" s="1">
        <v>5.31</v>
      </c>
      <c r="N1395" s="1" t="s">
        <v>33</v>
      </c>
      <c r="O1395" s="1" t="s">
        <v>34</v>
      </c>
      <c r="P1395" s="2">
        <v>41877</v>
      </c>
      <c r="Q1395" s="2" t="b">
        <f t="shared" si="65"/>
        <v>0</v>
      </c>
      <c r="V1395" s="2"/>
      <c r="W1395" s="2"/>
      <c r="X1395" s="2"/>
      <c r="Y1395" s="2"/>
      <c r="Z1395" s="2"/>
      <c r="AA1395" s="2"/>
      <c r="AB1395" s="2"/>
      <c r="AC1395" s="2"/>
      <c r="AD1395" s="2"/>
      <c r="AE1395" s="2"/>
      <c r="AF1395" s="2"/>
      <c r="AG1395" s="2"/>
      <c r="AH1395" s="2"/>
      <c r="AI1395" s="2"/>
    </row>
    <row r="1396" spans="1:35" ht="14.25" customHeight="1" x14ac:dyDescent="0.2">
      <c r="A1396" s="1">
        <v>33888</v>
      </c>
      <c r="B1396" s="1" t="s">
        <v>605</v>
      </c>
      <c r="C1396" s="1" t="s">
        <v>51</v>
      </c>
      <c r="D1396" s="2">
        <v>41871</v>
      </c>
      <c r="E1396" s="1" t="s">
        <v>22</v>
      </c>
      <c r="F1396" s="1" t="s">
        <v>753</v>
      </c>
      <c r="G1396" s="1">
        <v>31</v>
      </c>
      <c r="H1396" s="1">
        <v>11.5</v>
      </c>
      <c r="I1396" s="1">
        <f t="shared" si="63"/>
        <v>356.5</v>
      </c>
      <c r="J1396" t="str">
        <f t="shared" si="64"/>
        <v>Low</v>
      </c>
      <c r="K1396" s="1"/>
      <c r="L1396" s="1">
        <v>0.04</v>
      </c>
      <c r="M1396" s="1">
        <v>7.19</v>
      </c>
      <c r="N1396" s="1" t="s">
        <v>33</v>
      </c>
      <c r="O1396" s="1" t="s">
        <v>34</v>
      </c>
      <c r="P1396" s="2">
        <v>41874</v>
      </c>
      <c r="Q1396" s="2" t="b">
        <f t="shared" si="65"/>
        <v>0</v>
      </c>
      <c r="V1396" s="2"/>
      <c r="W1396" s="2"/>
      <c r="X1396" s="2"/>
      <c r="Y1396" s="2"/>
      <c r="Z1396" s="2"/>
      <c r="AA1396" s="2"/>
      <c r="AB1396" s="2"/>
      <c r="AC1396" s="2"/>
      <c r="AD1396" s="2"/>
      <c r="AE1396" s="2"/>
      <c r="AF1396" s="2"/>
      <c r="AG1396" s="2"/>
      <c r="AH1396" s="2"/>
      <c r="AI1396" s="2"/>
    </row>
    <row r="1397" spans="1:35" ht="14.25" customHeight="1" x14ac:dyDescent="0.2">
      <c r="A1397" s="1">
        <v>33888</v>
      </c>
      <c r="B1397" s="1" t="s">
        <v>605</v>
      </c>
      <c r="C1397" s="1" t="s">
        <v>30</v>
      </c>
      <c r="D1397" s="2">
        <v>41871</v>
      </c>
      <c r="E1397" s="1" t="s">
        <v>22</v>
      </c>
      <c r="F1397" s="1" t="s">
        <v>1344</v>
      </c>
      <c r="G1397" s="1">
        <v>3</v>
      </c>
      <c r="H1397" s="1">
        <v>15.7</v>
      </c>
      <c r="I1397" s="1">
        <f t="shared" si="63"/>
        <v>47.099999999999994</v>
      </c>
      <c r="J1397" t="str">
        <f t="shared" si="64"/>
        <v>Low</v>
      </c>
      <c r="K1397" s="1"/>
      <c r="L1397" s="1">
        <v>0.02</v>
      </c>
      <c r="M1397" s="1">
        <v>11.25</v>
      </c>
      <c r="N1397" s="1" t="s">
        <v>33</v>
      </c>
      <c r="O1397" s="1" t="s">
        <v>34</v>
      </c>
      <c r="P1397" s="2">
        <v>41872</v>
      </c>
      <c r="Q1397" s="2" t="b">
        <f t="shared" si="65"/>
        <v>0</v>
      </c>
      <c r="V1397" s="2"/>
      <c r="W1397" s="2"/>
      <c r="X1397" s="2"/>
      <c r="Y1397" s="2"/>
      <c r="Z1397" s="2"/>
      <c r="AA1397" s="2"/>
      <c r="AB1397" s="2"/>
      <c r="AC1397" s="2"/>
      <c r="AD1397" s="2"/>
      <c r="AE1397" s="2"/>
      <c r="AF1397" s="2"/>
      <c r="AG1397" s="2"/>
      <c r="AH1397" s="2"/>
      <c r="AI1397" s="2"/>
    </row>
    <row r="1398" spans="1:35" ht="14.25" customHeight="1" x14ac:dyDescent="0.2">
      <c r="A1398" s="1">
        <v>33888</v>
      </c>
      <c r="B1398" s="1" t="s">
        <v>605</v>
      </c>
      <c r="C1398" s="1" t="s">
        <v>21</v>
      </c>
      <c r="D1398" s="2">
        <v>41871</v>
      </c>
      <c r="E1398" s="1" t="s">
        <v>22</v>
      </c>
      <c r="F1398" s="1" t="s">
        <v>1345</v>
      </c>
      <c r="G1398" s="1">
        <v>47</v>
      </c>
      <c r="H1398" s="1">
        <v>225.02</v>
      </c>
      <c r="I1398" s="1">
        <f t="shared" si="63"/>
        <v>10575.94</v>
      </c>
      <c r="J1398" t="str">
        <f t="shared" si="64"/>
        <v>High</v>
      </c>
      <c r="K1398" s="1"/>
      <c r="L1398" s="1">
        <v>0.05</v>
      </c>
      <c r="M1398" s="1">
        <v>28.66</v>
      </c>
      <c r="N1398" s="1" t="s">
        <v>45</v>
      </c>
      <c r="O1398" s="1" t="s">
        <v>46</v>
      </c>
      <c r="P1398" s="2">
        <v>41873</v>
      </c>
      <c r="Q1398" s="2" t="b">
        <f t="shared" si="65"/>
        <v>0</v>
      </c>
      <c r="V1398" s="2"/>
      <c r="W1398" s="2"/>
      <c r="X1398" s="2"/>
      <c r="Y1398" s="2"/>
      <c r="Z1398" s="2"/>
      <c r="AA1398" s="2"/>
      <c r="AB1398" s="2"/>
      <c r="AC1398" s="2"/>
      <c r="AD1398" s="2"/>
      <c r="AE1398" s="2"/>
      <c r="AF1398" s="2"/>
      <c r="AG1398" s="2"/>
      <c r="AH1398" s="2"/>
      <c r="AI1398" s="2"/>
    </row>
    <row r="1399" spans="1:35" ht="14.25" customHeight="1" x14ac:dyDescent="0.2">
      <c r="A1399" s="1">
        <v>43779</v>
      </c>
      <c r="B1399" s="1" t="s">
        <v>617</v>
      </c>
      <c r="C1399" s="1" t="s">
        <v>51</v>
      </c>
      <c r="D1399" s="2">
        <v>41872</v>
      </c>
      <c r="E1399" s="1" t="s">
        <v>31</v>
      </c>
      <c r="F1399" s="1" t="s">
        <v>90</v>
      </c>
      <c r="G1399" s="1">
        <v>20</v>
      </c>
      <c r="H1399" s="1">
        <v>209.84</v>
      </c>
      <c r="I1399" s="1">
        <f t="shared" si="63"/>
        <v>4196.8</v>
      </c>
      <c r="J1399" t="str">
        <f t="shared" si="64"/>
        <v>High</v>
      </c>
      <c r="K1399" s="1"/>
      <c r="L1399" s="1">
        <v>0.09</v>
      </c>
      <c r="M1399" s="1">
        <v>21.21</v>
      </c>
      <c r="N1399" s="1" t="s">
        <v>33</v>
      </c>
      <c r="O1399" s="1" t="s">
        <v>26</v>
      </c>
      <c r="P1399" s="2">
        <v>41875</v>
      </c>
      <c r="Q1399" s="2" t="b">
        <f t="shared" si="65"/>
        <v>0</v>
      </c>
      <c r="V1399" s="2"/>
      <c r="W1399" s="2"/>
      <c r="X1399" s="2"/>
      <c r="Y1399" s="2"/>
      <c r="Z1399" s="2"/>
      <c r="AA1399" s="2"/>
      <c r="AB1399" s="2"/>
      <c r="AC1399" s="2"/>
      <c r="AD1399" s="2"/>
      <c r="AE1399" s="2"/>
      <c r="AF1399" s="2"/>
      <c r="AG1399" s="2"/>
      <c r="AH1399" s="2"/>
      <c r="AI1399" s="2"/>
    </row>
    <row r="1400" spans="1:35" ht="14.25" customHeight="1" x14ac:dyDescent="0.2">
      <c r="A1400" s="1">
        <v>43301</v>
      </c>
      <c r="B1400" s="1" t="s">
        <v>1346</v>
      </c>
      <c r="C1400" s="1" t="s">
        <v>51</v>
      </c>
      <c r="D1400" s="2">
        <v>41872</v>
      </c>
      <c r="E1400" s="1" t="s">
        <v>38</v>
      </c>
      <c r="F1400" s="1" t="s">
        <v>1347</v>
      </c>
      <c r="G1400" s="1">
        <v>33</v>
      </c>
      <c r="H1400" s="1">
        <v>100.89</v>
      </c>
      <c r="I1400" s="1">
        <f t="shared" si="63"/>
        <v>3329.37</v>
      </c>
      <c r="J1400" t="str">
        <f t="shared" si="64"/>
        <v>High</v>
      </c>
      <c r="K1400" s="1"/>
      <c r="L1400" s="1">
        <v>0</v>
      </c>
      <c r="M1400" s="1">
        <v>42</v>
      </c>
      <c r="N1400" s="1" t="s">
        <v>45</v>
      </c>
      <c r="O1400" s="1" t="s">
        <v>46</v>
      </c>
      <c r="P1400" s="2">
        <v>41873</v>
      </c>
      <c r="Q1400" s="2" t="b">
        <f t="shared" si="65"/>
        <v>0</v>
      </c>
      <c r="V1400" s="2"/>
      <c r="W1400" s="2"/>
      <c r="X1400" s="2"/>
      <c r="Y1400" s="2"/>
      <c r="Z1400" s="2"/>
      <c r="AA1400" s="2"/>
      <c r="AB1400" s="2"/>
      <c r="AC1400" s="2"/>
      <c r="AD1400" s="2"/>
      <c r="AE1400" s="2"/>
      <c r="AF1400" s="2"/>
      <c r="AG1400" s="2"/>
      <c r="AH1400" s="2"/>
      <c r="AI1400" s="2"/>
    </row>
    <row r="1401" spans="1:35" ht="14.25" customHeight="1" x14ac:dyDescent="0.2">
      <c r="A1401" s="1">
        <v>43301</v>
      </c>
      <c r="B1401" s="1" t="s">
        <v>1346</v>
      </c>
      <c r="C1401" s="1" t="s">
        <v>30</v>
      </c>
      <c r="D1401" s="2">
        <v>41872</v>
      </c>
      <c r="E1401" s="1" t="s">
        <v>38</v>
      </c>
      <c r="F1401" s="1" t="s">
        <v>1348</v>
      </c>
      <c r="G1401" s="1">
        <v>43</v>
      </c>
      <c r="H1401" s="1">
        <v>48.91</v>
      </c>
      <c r="I1401" s="1">
        <f t="shared" si="63"/>
        <v>2103.1299999999997</v>
      </c>
      <c r="J1401" t="str">
        <f t="shared" si="64"/>
        <v>High</v>
      </c>
      <c r="K1401" s="1"/>
      <c r="L1401" s="1">
        <v>0.01</v>
      </c>
      <c r="M1401" s="1">
        <v>35</v>
      </c>
      <c r="N1401" s="1" t="s">
        <v>33</v>
      </c>
      <c r="O1401" s="1" t="s">
        <v>26</v>
      </c>
      <c r="P1401" s="2">
        <v>41874</v>
      </c>
      <c r="Q1401" s="2" t="b">
        <f t="shared" si="65"/>
        <v>0</v>
      </c>
      <c r="V1401" s="2"/>
      <c r="W1401" s="2"/>
      <c r="X1401" s="2"/>
      <c r="Y1401" s="2"/>
      <c r="Z1401" s="2"/>
      <c r="AA1401" s="2"/>
      <c r="AB1401" s="2"/>
      <c r="AC1401" s="2"/>
      <c r="AD1401" s="2"/>
      <c r="AE1401" s="2"/>
      <c r="AF1401" s="2"/>
      <c r="AG1401" s="2"/>
      <c r="AH1401" s="2"/>
      <c r="AI1401" s="2"/>
    </row>
    <row r="1402" spans="1:35" ht="14.25" customHeight="1" x14ac:dyDescent="0.2">
      <c r="A1402" s="1">
        <v>2433</v>
      </c>
      <c r="B1402" s="1" t="s">
        <v>343</v>
      </c>
      <c r="C1402" s="1" t="s">
        <v>21</v>
      </c>
      <c r="D1402" s="2">
        <v>41872</v>
      </c>
      <c r="E1402" s="1" t="s">
        <v>22</v>
      </c>
      <c r="F1402" s="1" t="s">
        <v>443</v>
      </c>
      <c r="G1402" s="1">
        <v>14</v>
      </c>
      <c r="H1402" s="1">
        <v>2036.48</v>
      </c>
      <c r="I1402" s="1">
        <f t="shared" si="63"/>
        <v>28510.720000000001</v>
      </c>
      <c r="J1402" t="str">
        <f t="shared" si="64"/>
        <v>High</v>
      </c>
      <c r="K1402" s="1"/>
      <c r="L1402" s="1">
        <v>7.0000000000000007E-2</v>
      </c>
      <c r="M1402" s="1">
        <v>14.7</v>
      </c>
      <c r="N1402" s="1" t="s">
        <v>45</v>
      </c>
      <c r="O1402" s="1" t="s">
        <v>46</v>
      </c>
      <c r="P1402" s="2">
        <v>41872</v>
      </c>
      <c r="Q1402" s="2" t="b">
        <f t="shared" si="65"/>
        <v>0</v>
      </c>
      <c r="V1402" s="2"/>
      <c r="W1402" s="2"/>
      <c r="X1402" s="2"/>
      <c r="Y1402" s="2"/>
      <c r="Z1402" s="2"/>
      <c r="AA1402" s="2"/>
      <c r="AB1402" s="2"/>
      <c r="AC1402" s="2"/>
      <c r="AD1402" s="2"/>
      <c r="AE1402" s="2"/>
      <c r="AF1402" s="2"/>
      <c r="AG1402" s="2"/>
      <c r="AH1402" s="2"/>
      <c r="AI1402" s="2"/>
    </row>
    <row r="1403" spans="1:35" ht="14.25" customHeight="1" x14ac:dyDescent="0.2">
      <c r="A1403" s="1">
        <v>9187</v>
      </c>
      <c r="B1403" s="1" t="s">
        <v>1349</v>
      </c>
      <c r="C1403" s="1" t="s">
        <v>51</v>
      </c>
      <c r="D1403" s="2">
        <v>41872</v>
      </c>
      <c r="E1403" s="1" t="s">
        <v>31</v>
      </c>
      <c r="F1403" s="1" t="s">
        <v>1350</v>
      </c>
      <c r="G1403" s="1">
        <v>40</v>
      </c>
      <c r="H1403" s="1">
        <v>4.37</v>
      </c>
      <c r="I1403" s="1">
        <f t="shared" si="63"/>
        <v>174.8</v>
      </c>
      <c r="J1403" t="str">
        <f t="shared" si="64"/>
        <v>Low</v>
      </c>
      <c r="K1403" s="1"/>
      <c r="L1403" s="1">
        <v>0.04</v>
      </c>
      <c r="M1403" s="1">
        <v>5.15</v>
      </c>
      <c r="N1403" s="1" t="s">
        <v>33</v>
      </c>
      <c r="O1403" s="1" t="s">
        <v>34</v>
      </c>
      <c r="P1403" s="2">
        <v>41873</v>
      </c>
      <c r="Q1403" s="2" t="b">
        <f t="shared" si="65"/>
        <v>0</v>
      </c>
      <c r="V1403" s="2"/>
      <c r="W1403" s="2"/>
      <c r="X1403" s="2"/>
      <c r="Y1403" s="2"/>
      <c r="Z1403" s="2"/>
      <c r="AA1403" s="2"/>
      <c r="AB1403" s="2"/>
      <c r="AC1403" s="2"/>
      <c r="AD1403" s="2"/>
      <c r="AE1403" s="2"/>
      <c r="AF1403" s="2"/>
      <c r="AG1403" s="2"/>
      <c r="AH1403" s="2"/>
      <c r="AI1403" s="2"/>
    </row>
    <row r="1404" spans="1:35" ht="14.25" customHeight="1" x14ac:dyDescent="0.2">
      <c r="A1404" s="1">
        <v>9187</v>
      </c>
      <c r="B1404" s="1" t="s">
        <v>1349</v>
      </c>
      <c r="C1404" s="1" t="s">
        <v>21</v>
      </c>
      <c r="D1404" s="2">
        <v>41872</v>
      </c>
      <c r="E1404" s="1" t="s">
        <v>31</v>
      </c>
      <c r="F1404" s="1" t="s">
        <v>1205</v>
      </c>
      <c r="G1404" s="1">
        <v>8</v>
      </c>
      <c r="H1404" s="1">
        <v>155.99</v>
      </c>
      <c r="I1404" s="1">
        <f t="shared" si="63"/>
        <v>1247.92</v>
      </c>
      <c r="J1404" t="str">
        <f t="shared" si="64"/>
        <v>High</v>
      </c>
      <c r="K1404" s="1"/>
      <c r="L1404" s="1">
        <v>0.09</v>
      </c>
      <c r="M1404" s="1">
        <v>8.99</v>
      </c>
      <c r="N1404" s="1" t="s">
        <v>33</v>
      </c>
      <c r="O1404" s="1" t="s">
        <v>34</v>
      </c>
      <c r="P1404" s="2">
        <v>41874</v>
      </c>
      <c r="Q1404" s="2" t="b">
        <f t="shared" si="65"/>
        <v>0</v>
      </c>
      <c r="V1404" s="2"/>
      <c r="W1404" s="2"/>
      <c r="X1404" s="2"/>
      <c r="Y1404" s="2"/>
      <c r="Z1404" s="2"/>
      <c r="AA1404" s="2"/>
      <c r="AB1404" s="2"/>
      <c r="AC1404" s="2"/>
      <c r="AD1404" s="2"/>
      <c r="AE1404" s="2"/>
      <c r="AF1404" s="2"/>
      <c r="AG1404" s="2"/>
      <c r="AH1404" s="2"/>
      <c r="AI1404" s="2"/>
    </row>
    <row r="1405" spans="1:35" ht="14.25" customHeight="1" x14ac:dyDescent="0.2">
      <c r="A1405" s="1">
        <v>41825</v>
      </c>
      <c r="B1405" s="1" t="s">
        <v>229</v>
      </c>
      <c r="C1405" s="1" t="s">
        <v>21</v>
      </c>
      <c r="D1405" s="2">
        <v>41873</v>
      </c>
      <c r="E1405" s="1" t="s">
        <v>38</v>
      </c>
      <c r="F1405" s="1" t="s">
        <v>731</v>
      </c>
      <c r="G1405" s="1">
        <v>50</v>
      </c>
      <c r="H1405" s="1">
        <v>150.88999999999999</v>
      </c>
      <c r="I1405" s="1">
        <f t="shared" si="63"/>
        <v>7544.4999999999991</v>
      </c>
      <c r="J1405" t="str">
        <f t="shared" si="64"/>
        <v>High</v>
      </c>
      <c r="K1405" s="1"/>
      <c r="L1405" s="1">
        <v>0.03</v>
      </c>
      <c r="M1405" s="1">
        <v>60.2</v>
      </c>
      <c r="N1405" s="1" t="s">
        <v>45</v>
      </c>
      <c r="O1405" s="1" t="s">
        <v>46</v>
      </c>
      <c r="P1405" s="2">
        <v>41873</v>
      </c>
      <c r="Q1405" s="2" t="b">
        <f t="shared" si="65"/>
        <v>0</v>
      </c>
      <c r="V1405" s="2"/>
      <c r="W1405" s="2"/>
      <c r="X1405" s="2"/>
      <c r="Y1405" s="2"/>
      <c r="Z1405" s="2"/>
      <c r="AA1405" s="2"/>
      <c r="AB1405" s="2"/>
      <c r="AC1405" s="2"/>
      <c r="AD1405" s="2"/>
      <c r="AE1405" s="2"/>
      <c r="AF1405" s="2"/>
      <c r="AG1405" s="2"/>
      <c r="AH1405" s="2"/>
      <c r="AI1405" s="2"/>
    </row>
    <row r="1406" spans="1:35" ht="14.25" customHeight="1" x14ac:dyDescent="0.2">
      <c r="A1406" s="1">
        <v>44196</v>
      </c>
      <c r="B1406" s="1" t="s">
        <v>319</v>
      </c>
      <c r="C1406" s="1" t="s">
        <v>30</v>
      </c>
      <c r="D1406" s="2">
        <v>41873</v>
      </c>
      <c r="E1406" s="1" t="s">
        <v>22</v>
      </c>
      <c r="F1406" s="1" t="s">
        <v>1343</v>
      </c>
      <c r="G1406" s="1">
        <v>12</v>
      </c>
      <c r="H1406" s="1">
        <v>65.989999999999995</v>
      </c>
      <c r="I1406" s="1">
        <f t="shared" si="63"/>
        <v>791.87999999999988</v>
      </c>
      <c r="J1406" t="str">
        <f t="shared" si="64"/>
        <v>Low</v>
      </c>
      <c r="K1406" s="1"/>
      <c r="L1406" s="1">
        <v>0.09</v>
      </c>
      <c r="M1406" s="1">
        <v>5.31</v>
      </c>
      <c r="N1406" s="1" t="s">
        <v>33</v>
      </c>
      <c r="O1406" s="1" t="s">
        <v>34</v>
      </c>
      <c r="P1406" s="2">
        <v>41874</v>
      </c>
      <c r="Q1406" s="2" t="b">
        <f t="shared" si="65"/>
        <v>0</v>
      </c>
      <c r="V1406" s="2"/>
      <c r="W1406" s="2"/>
      <c r="X1406" s="2"/>
      <c r="Y1406" s="2"/>
      <c r="Z1406" s="2"/>
      <c r="AA1406" s="2"/>
      <c r="AB1406" s="2"/>
      <c r="AC1406" s="2"/>
      <c r="AD1406" s="2"/>
      <c r="AE1406" s="2"/>
      <c r="AF1406" s="2"/>
      <c r="AG1406" s="2"/>
      <c r="AH1406" s="2"/>
      <c r="AI1406" s="2"/>
    </row>
    <row r="1407" spans="1:35" ht="14.25" customHeight="1" x14ac:dyDescent="0.2">
      <c r="A1407" s="1">
        <v>57542</v>
      </c>
      <c r="B1407" s="1" t="s">
        <v>935</v>
      </c>
      <c r="C1407" s="1" t="s">
        <v>51</v>
      </c>
      <c r="D1407" s="2">
        <v>41873</v>
      </c>
      <c r="E1407" s="1" t="s">
        <v>31</v>
      </c>
      <c r="F1407" s="1" t="s">
        <v>535</v>
      </c>
      <c r="G1407" s="1">
        <v>23</v>
      </c>
      <c r="H1407" s="1">
        <v>55.48</v>
      </c>
      <c r="I1407" s="1">
        <f t="shared" si="63"/>
        <v>1276.04</v>
      </c>
      <c r="J1407" t="str">
        <f t="shared" si="64"/>
        <v>High</v>
      </c>
      <c r="K1407" s="1"/>
      <c r="L1407" s="1">
        <v>0.04</v>
      </c>
      <c r="M1407" s="1">
        <v>6.79</v>
      </c>
      <c r="N1407" s="1" t="s">
        <v>33</v>
      </c>
      <c r="O1407" s="1" t="s">
        <v>34</v>
      </c>
      <c r="P1407" s="2">
        <v>41875</v>
      </c>
      <c r="Q1407" s="2" t="b">
        <f t="shared" si="65"/>
        <v>0</v>
      </c>
      <c r="V1407" s="2"/>
      <c r="W1407" s="2"/>
      <c r="X1407" s="2"/>
      <c r="Y1407" s="2"/>
      <c r="Z1407" s="2"/>
      <c r="AA1407" s="2"/>
      <c r="AB1407" s="2"/>
      <c r="AC1407" s="2"/>
      <c r="AD1407" s="2"/>
      <c r="AE1407" s="2"/>
      <c r="AF1407" s="2"/>
      <c r="AG1407" s="2"/>
      <c r="AH1407" s="2"/>
      <c r="AI1407" s="2"/>
    </row>
    <row r="1408" spans="1:35" ht="14.25" customHeight="1" x14ac:dyDescent="0.2">
      <c r="A1408" s="1">
        <v>41827</v>
      </c>
      <c r="B1408" s="1" t="s">
        <v>1351</v>
      </c>
      <c r="C1408" s="1" t="s">
        <v>30</v>
      </c>
      <c r="D1408" s="2">
        <v>41873</v>
      </c>
      <c r="E1408" s="1" t="s">
        <v>38</v>
      </c>
      <c r="F1408" s="1" t="s">
        <v>311</v>
      </c>
      <c r="G1408" s="1">
        <v>43</v>
      </c>
      <c r="H1408" s="1">
        <v>73.98</v>
      </c>
      <c r="I1408" s="1">
        <f t="shared" si="63"/>
        <v>3181.1400000000003</v>
      </c>
      <c r="J1408" t="str">
        <f t="shared" si="64"/>
        <v>High</v>
      </c>
      <c r="K1408" s="1"/>
      <c r="L1408" s="1">
        <v>0.02</v>
      </c>
      <c r="M1408" s="1">
        <v>4</v>
      </c>
      <c r="N1408" s="1" t="s">
        <v>33</v>
      </c>
      <c r="O1408" s="1" t="s">
        <v>34</v>
      </c>
      <c r="P1408" s="2">
        <v>41874</v>
      </c>
      <c r="Q1408" s="2" t="b">
        <f t="shared" si="65"/>
        <v>0</v>
      </c>
      <c r="V1408" s="2"/>
      <c r="W1408" s="2"/>
      <c r="X1408" s="2"/>
      <c r="Y1408" s="2"/>
      <c r="Z1408" s="2"/>
      <c r="AA1408" s="2"/>
      <c r="AB1408" s="2"/>
      <c r="AC1408" s="2"/>
      <c r="AD1408" s="2"/>
      <c r="AE1408" s="2"/>
      <c r="AF1408" s="2"/>
      <c r="AG1408" s="2"/>
      <c r="AH1408" s="2"/>
      <c r="AI1408" s="2"/>
    </row>
    <row r="1409" spans="1:35" ht="14.25" customHeight="1" x14ac:dyDescent="0.2">
      <c r="A1409" s="1">
        <v>44196</v>
      </c>
      <c r="B1409" s="1" t="s">
        <v>319</v>
      </c>
      <c r="C1409" s="1" t="s">
        <v>51</v>
      </c>
      <c r="D1409" s="2">
        <v>41873</v>
      </c>
      <c r="E1409" s="1" t="s">
        <v>22</v>
      </c>
      <c r="F1409" s="1" t="s">
        <v>1010</v>
      </c>
      <c r="G1409" s="1">
        <v>10</v>
      </c>
      <c r="H1409" s="1">
        <v>5.18</v>
      </c>
      <c r="I1409" s="1">
        <f t="shared" si="63"/>
        <v>51.8</v>
      </c>
      <c r="J1409" t="str">
        <f t="shared" si="64"/>
        <v>Low</v>
      </c>
      <c r="K1409" s="1"/>
      <c r="L1409" s="1">
        <v>0.01</v>
      </c>
      <c r="M1409" s="1">
        <v>2.04</v>
      </c>
      <c r="N1409" s="1" t="s">
        <v>33</v>
      </c>
      <c r="O1409" s="1" t="s">
        <v>55</v>
      </c>
      <c r="P1409" s="2">
        <v>41875</v>
      </c>
      <c r="Q1409" s="2" t="b">
        <f t="shared" si="65"/>
        <v>0</v>
      </c>
      <c r="V1409" s="2"/>
      <c r="W1409" s="2"/>
      <c r="X1409" s="2"/>
      <c r="Y1409" s="2"/>
      <c r="Z1409" s="2"/>
      <c r="AA1409" s="2"/>
      <c r="AB1409" s="2"/>
      <c r="AC1409" s="2"/>
      <c r="AD1409" s="2"/>
      <c r="AE1409" s="2"/>
      <c r="AF1409" s="2"/>
      <c r="AG1409" s="2"/>
      <c r="AH1409" s="2"/>
      <c r="AI1409" s="2"/>
    </row>
    <row r="1410" spans="1:35" ht="14.25" customHeight="1" x14ac:dyDescent="0.2">
      <c r="A1410" s="1">
        <v>24162</v>
      </c>
      <c r="B1410" s="1" t="s">
        <v>1352</v>
      </c>
      <c r="C1410" s="1" t="s">
        <v>51</v>
      </c>
      <c r="D1410" s="2">
        <v>41873</v>
      </c>
      <c r="E1410" s="1" t="s">
        <v>22</v>
      </c>
      <c r="F1410" s="1" t="s">
        <v>1353</v>
      </c>
      <c r="G1410" s="1">
        <v>1</v>
      </c>
      <c r="H1410" s="1">
        <v>9.68</v>
      </c>
      <c r="I1410" s="1">
        <f t="shared" ref="I1410:I1473" si="66">G1410*H1410</f>
        <v>9.68</v>
      </c>
      <c r="J1410" t="str">
        <f t="shared" ref="J1410:J1473" si="67">IF(I1410&lt;1000,"Low","High")</f>
        <v>Low</v>
      </c>
      <c r="K1410" s="1"/>
      <c r="L1410" s="1">
        <v>0.08</v>
      </c>
      <c r="M1410" s="1">
        <v>2.0299999999999998</v>
      </c>
      <c r="N1410" s="1" t="s">
        <v>33</v>
      </c>
      <c r="O1410" s="1" t="s">
        <v>55</v>
      </c>
      <c r="P1410" s="2">
        <v>41875</v>
      </c>
      <c r="Q1410" s="2" t="b">
        <f t="shared" ref="Q1410:Q1473" si="68">AND(N1410="Express Air",O1410="Large Box")</f>
        <v>0</v>
      </c>
      <c r="V1410" s="2"/>
      <c r="W1410" s="2"/>
      <c r="X1410" s="2"/>
      <c r="Y1410" s="2"/>
      <c r="Z1410" s="2"/>
      <c r="AA1410" s="2"/>
      <c r="AB1410" s="2"/>
      <c r="AC1410" s="2"/>
      <c r="AD1410" s="2"/>
      <c r="AE1410" s="2"/>
      <c r="AF1410" s="2"/>
      <c r="AG1410" s="2"/>
      <c r="AH1410" s="2"/>
      <c r="AI1410" s="2"/>
    </row>
    <row r="1411" spans="1:35" ht="14.25" customHeight="1" x14ac:dyDescent="0.2">
      <c r="A1411" s="1">
        <v>24162</v>
      </c>
      <c r="B1411" s="1" t="s">
        <v>1352</v>
      </c>
      <c r="C1411" s="1" t="s">
        <v>30</v>
      </c>
      <c r="D1411" s="2">
        <v>41873</v>
      </c>
      <c r="E1411" s="1" t="s">
        <v>22</v>
      </c>
      <c r="F1411" s="1" t="s">
        <v>96</v>
      </c>
      <c r="G1411" s="1">
        <v>12</v>
      </c>
      <c r="H1411" s="1">
        <v>150.97999999999999</v>
      </c>
      <c r="I1411" s="1">
        <f t="shared" si="66"/>
        <v>1811.7599999999998</v>
      </c>
      <c r="J1411" t="str">
        <f t="shared" si="67"/>
        <v>High</v>
      </c>
      <c r="K1411" s="1"/>
      <c r="L1411" s="1">
        <v>0.04</v>
      </c>
      <c r="M1411" s="1">
        <v>16.010000000000002</v>
      </c>
      <c r="N1411" s="1" t="s">
        <v>45</v>
      </c>
      <c r="O1411" s="1" t="s">
        <v>63</v>
      </c>
      <c r="P1411" s="2">
        <v>41874</v>
      </c>
      <c r="Q1411" s="2" t="b">
        <f t="shared" si="68"/>
        <v>0</v>
      </c>
      <c r="V1411" s="2"/>
      <c r="W1411" s="2"/>
      <c r="X1411" s="2"/>
      <c r="Y1411" s="2"/>
      <c r="Z1411" s="2"/>
      <c r="AA1411" s="2"/>
      <c r="AB1411" s="2"/>
      <c r="AC1411" s="2"/>
      <c r="AD1411" s="2"/>
      <c r="AE1411" s="2"/>
      <c r="AF1411" s="2"/>
      <c r="AG1411" s="2"/>
      <c r="AH1411" s="2"/>
      <c r="AI1411" s="2"/>
    </row>
    <row r="1412" spans="1:35" ht="14.25" customHeight="1" x14ac:dyDescent="0.2">
      <c r="A1412" s="1">
        <v>52897</v>
      </c>
      <c r="B1412" s="1" t="s">
        <v>70</v>
      </c>
      <c r="C1412" s="1" t="s">
        <v>30</v>
      </c>
      <c r="D1412" s="2">
        <v>41873</v>
      </c>
      <c r="E1412" s="1" t="s">
        <v>101</v>
      </c>
      <c r="F1412" s="1" t="s">
        <v>761</v>
      </c>
      <c r="G1412" s="1">
        <v>40</v>
      </c>
      <c r="H1412" s="1">
        <v>47.9</v>
      </c>
      <c r="I1412" s="1">
        <f t="shared" si="66"/>
        <v>1916</v>
      </c>
      <c r="J1412" t="str">
        <f t="shared" si="67"/>
        <v>High</v>
      </c>
      <c r="K1412" s="1"/>
      <c r="L1412" s="1">
        <v>0</v>
      </c>
      <c r="M1412" s="1">
        <v>5.86</v>
      </c>
      <c r="N1412" s="1" t="s">
        <v>33</v>
      </c>
      <c r="O1412" s="1" t="s">
        <v>34</v>
      </c>
      <c r="P1412" s="2">
        <v>41875</v>
      </c>
      <c r="Q1412" s="2" t="b">
        <f t="shared" si="68"/>
        <v>0</v>
      </c>
      <c r="V1412" s="2"/>
      <c r="W1412" s="2"/>
      <c r="X1412" s="2"/>
      <c r="Y1412" s="2"/>
      <c r="Z1412" s="2"/>
      <c r="AA1412" s="2"/>
      <c r="AB1412" s="2"/>
      <c r="AC1412" s="2"/>
      <c r="AD1412" s="2"/>
      <c r="AE1412" s="2"/>
      <c r="AF1412" s="2"/>
      <c r="AG1412" s="2"/>
      <c r="AH1412" s="2"/>
      <c r="AI1412" s="2"/>
    </row>
    <row r="1413" spans="1:35" ht="14.25" customHeight="1" x14ac:dyDescent="0.2">
      <c r="A1413" s="1">
        <v>25031</v>
      </c>
      <c r="B1413" s="1" t="s">
        <v>904</v>
      </c>
      <c r="C1413" s="1" t="s">
        <v>21</v>
      </c>
      <c r="D1413" s="2">
        <v>41874</v>
      </c>
      <c r="E1413" s="1" t="s">
        <v>31</v>
      </c>
      <c r="F1413" s="1" t="s">
        <v>1332</v>
      </c>
      <c r="G1413" s="1">
        <v>24</v>
      </c>
      <c r="H1413" s="1">
        <v>209.37</v>
      </c>
      <c r="I1413" s="1">
        <f t="shared" si="66"/>
        <v>5024.88</v>
      </c>
      <c r="J1413" t="str">
        <f t="shared" si="67"/>
        <v>High</v>
      </c>
      <c r="K1413" s="1"/>
      <c r="L1413" s="1">
        <v>0.1</v>
      </c>
      <c r="M1413" s="1">
        <v>69</v>
      </c>
      <c r="N1413" s="1" t="s">
        <v>33</v>
      </c>
      <c r="O1413" s="1" t="s">
        <v>26</v>
      </c>
      <c r="P1413" s="2">
        <v>41876</v>
      </c>
      <c r="Q1413" s="2" t="b">
        <f t="shared" si="68"/>
        <v>0</v>
      </c>
      <c r="V1413" s="2"/>
      <c r="W1413" s="2"/>
      <c r="X1413" s="2"/>
      <c r="Y1413" s="2"/>
      <c r="Z1413" s="2"/>
      <c r="AA1413" s="2"/>
      <c r="AB1413" s="2"/>
      <c r="AC1413" s="2"/>
      <c r="AD1413" s="2"/>
      <c r="AE1413" s="2"/>
      <c r="AF1413" s="2"/>
      <c r="AG1413" s="2"/>
      <c r="AH1413" s="2"/>
      <c r="AI1413" s="2"/>
    </row>
    <row r="1414" spans="1:35" ht="14.25" customHeight="1" x14ac:dyDescent="0.2">
      <c r="A1414" s="1">
        <v>25031</v>
      </c>
      <c r="B1414" s="1" t="s">
        <v>904</v>
      </c>
      <c r="C1414" s="1" t="s">
        <v>51</v>
      </c>
      <c r="D1414" s="2">
        <v>41874</v>
      </c>
      <c r="E1414" s="1" t="s">
        <v>31</v>
      </c>
      <c r="F1414" s="1" t="s">
        <v>1335</v>
      </c>
      <c r="G1414" s="1">
        <v>20</v>
      </c>
      <c r="H1414" s="1">
        <v>4.9800000000000004</v>
      </c>
      <c r="I1414" s="1">
        <f t="shared" si="66"/>
        <v>99.600000000000009</v>
      </c>
      <c r="J1414" t="str">
        <f t="shared" si="67"/>
        <v>Low</v>
      </c>
      <c r="K1414" s="1"/>
      <c r="L1414" s="1">
        <v>7.0000000000000007E-2</v>
      </c>
      <c r="M1414" s="1">
        <v>4.7</v>
      </c>
      <c r="N1414" s="1" t="s">
        <v>33</v>
      </c>
      <c r="O1414" s="1" t="s">
        <v>34</v>
      </c>
      <c r="P1414" s="2">
        <v>41875</v>
      </c>
      <c r="Q1414" s="2" t="b">
        <f t="shared" si="68"/>
        <v>0</v>
      </c>
      <c r="V1414" s="2"/>
      <c r="W1414" s="2"/>
      <c r="X1414" s="2"/>
      <c r="Y1414" s="2"/>
      <c r="Z1414" s="2"/>
      <c r="AA1414" s="2"/>
      <c r="AB1414" s="2"/>
      <c r="AC1414" s="2"/>
      <c r="AD1414" s="2"/>
      <c r="AE1414" s="2"/>
      <c r="AF1414" s="2"/>
      <c r="AG1414" s="2"/>
      <c r="AH1414" s="2"/>
      <c r="AI1414" s="2"/>
    </row>
    <row r="1415" spans="1:35" ht="14.25" customHeight="1" x14ac:dyDescent="0.2">
      <c r="A1415" s="1">
        <v>10886</v>
      </c>
      <c r="B1415" s="1" t="s">
        <v>577</v>
      </c>
      <c r="C1415" s="1" t="s">
        <v>21</v>
      </c>
      <c r="D1415" s="2">
        <v>41874</v>
      </c>
      <c r="E1415" s="1" t="s">
        <v>38</v>
      </c>
      <c r="F1415" s="1" t="s">
        <v>322</v>
      </c>
      <c r="G1415" s="1">
        <v>36</v>
      </c>
      <c r="H1415" s="1">
        <v>1.74</v>
      </c>
      <c r="I1415" s="1">
        <f t="shared" si="66"/>
        <v>62.64</v>
      </c>
      <c r="J1415" t="str">
        <f t="shared" si="67"/>
        <v>Low</v>
      </c>
      <c r="K1415" s="1"/>
      <c r="L1415" s="1">
        <v>0.04</v>
      </c>
      <c r="M1415" s="1">
        <v>4.08</v>
      </c>
      <c r="N1415" s="1" t="s">
        <v>33</v>
      </c>
      <c r="O1415" s="1" t="s">
        <v>84</v>
      </c>
      <c r="P1415" s="2">
        <v>41876</v>
      </c>
      <c r="Q1415" s="2" t="b">
        <f t="shared" si="68"/>
        <v>0</v>
      </c>
      <c r="V1415" s="2"/>
      <c r="W1415" s="2"/>
      <c r="X1415" s="2"/>
      <c r="Y1415" s="2"/>
      <c r="Z1415" s="2"/>
      <c r="AA1415" s="2"/>
      <c r="AB1415" s="2"/>
      <c r="AC1415" s="2"/>
      <c r="AD1415" s="2"/>
      <c r="AE1415" s="2"/>
      <c r="AF1415" s="2"/>
      <c r="AG1415" s="2"/>
      <c r="AH1415" s="2"/>
      <c r="AI1415" s="2"/>
    </row>
    <row r="1416" spans="1:35" ht="14.25" customHeight="1" x14ac:dyDescent="0.2">
      <c r="A1416" s="1">
        <v>10886</v>
      </c>
      <c r="B1416" s="1" t="s">
        <v>577</v>
      </c>
      <c r="C1416" s="1" t="s">
        <v>51</v>
      </c>
      <c r="D1416" s="2">
        <v>41874</v>
      </c>
      <c r="E1416" s="1" t="s">
        <v>38</v>
      </c>
      <c r="F1416" s="1" t="s">
        <v>272</v>
      </c>
      <c r="G1416" s="1">
        <v>47</v>
      </c>
      <c r="H1416" s="1">
        <v>119.99</v>
      </c>
      <c r="I1416" s="1">
        <f t="shared" si="66"/>
        <v>5639.53</v>
      </c>
      <c r="J1416" t="str">
        <f t="shared" si="67"/>
        <v>High</v>
      </c>
      <c r="K1416" s="1"/>
      <c r="L1416" s="1">
        <v>0.01</v>
      </c>
      <c r="M1416" s="1">
        <v>56.14</v>
      </c>
      <c r="N1416" s="1" t="s">
        <v>45</v>
      </c>
      <c r="O1416" s="1" t="s">
        <v>63</v>
      </c>
      <c r="P1416" s="2">
        <v>41875</v>
      </c>
      <c r="Q1416" s="2" t="b">
        <f t="shared" si="68"/>
        <v>0</v>
      </c>
      <c r="V1416" s="2"/>
      <c r="W1416" s="2"/>
      <c r="X1416" s="2"/>
      <c r="Y1416" s="2"/>
      <c r="Z1416" s="2"/>
      <c r="AA1416" s="2"/>
      <c r="AB1416" s="2"/>
      <c r="AC1416" s="2"/>
      <c r="AD1416" s="2"/>
      <c r="AE1416" s="2"/>
      <c r="AF1416" s="2"/>
      <c r="AG1416" s="2"/>
      <c r="AH1416" s="2"/>
      <c r="AI1416" s="2"/>
    </row>
    <row r="1417" spans="1:35" ht="14.25" customHeight="1" x14ac:dyDescent="0.2">
      <c r="A1417" s="1">
        <v>43206</v>
      </c>
      <c r="B1417" s="1" t="s">
        <v>639</v>
      </c>
      <c r="C1417" s="1" t="s">
        <v>21</v>
      </c>
      <c r="D1417" s="2">
        <v>41874</v>
      </c>
      <c r="E1417" s="1" t="s">
        <v>101</v>
      </c>
      <c r="F1417" s="1" t="s">
        <v>890</v>
      </c>
      <c r="G1417" s="1">
        <v>16</v>
      </c>
      <c r="H1417" s="1">
        <v>35.409999999999997</v>
      </c>
      <c r="I1417" s="1">
        <f t="shared" si="66"/>
        <v>566.55999999999995</v>
      </c>
      <c r="J1417" t="str">
        <f t="shared" si="67"/>
        <v>Low</v>
      </c>
      <c r="K1417" s="1"/>
      <c r="L1417" s="1">
        <v>0</v>
      </c>
      <c r="M1417" s="1">
        <v>1.99</v>
      </c>
      <c r="N1417" s="1" t="s">
        <v>25</v>
      </c>
      <c r="O1417" s="1" t="s">
        <v>84</v>
      </c>
      <c r="P1417" s="2">
        <v>41875</v>
      </c>
      <c r="Q1417" s="2" t="b">
        <f t="shared" si="68"/>
        <v>0</v>
      </c>
      <c r="V1417" s="2"/>
      <c r="W1417" s="2"/>
      <c r="X1417" s="2"/>
      <c r="Y1417" s="2"/>
      <c r="Z1417" s="2"/>
      <c r="AA1417" s="2"/>
      <c r="AB1417" s="2"/>
      <c r="AC1417" s="2"/>
      <c r="AD1417" s="2"/>
      <c r="AE1417" s="2"/>
      <c r="AF1417" s="2"/>
      <c r="AG1417" s="2"/>
      <c r="AH1417" s="2"/>
      <c r="AI1417" s="2"/>
    </row>
    <row r="1418" spans="1:35" ht="14.25" customHeight="1" x14ac:dyDescent="0.2">
      <c r="A1418" s="1">
        <v>6112</v>
      </c>
      <c r="B1418" s="1" t="s">
        <v>1354</v>
      </c>
      <c r="C1418" s="1" t="s">
        <v>21</v>
      </c>
      <c r="D1418" s="2">
        <v>41874</v>
      </c>
      <c r="E1418" s="1" t="s">
        <v>101</v>
      </c>
      <c r="F1418" s="1" t="s">
        <v>387</v>
      </c>
      <c r="G1418" s="1">
        <v>10</v>
      </c>
      <c r="H1418" s="1">
        <v>146.05000000000001</v>
      </c>
      <c r="I1418" s="1">
        <f t="shared" si="66"/>
        <v>1460.5</v>
      </c>
      <c r="J1418" t="str">
        <f t="shared" si="67"/>
        <v>High</v>
      </c>
      <c r="K1418" s="1"/>
      <c r="L1418" s="1">
        <v>0.02</v>
      </c>
      <c r="M1418" s="1">
        <v>80.2</v>
      </c>
      <c r="N1418" s="1" t="s">
        <v>45</v>
      </c>
      <c r="O1418" s="1" t="s">
        <v>63</v>
      </c>
      <c r="P1418" s="2">
        <v>41874</v>
      </c>
      <c r="Q1418" s="2" t="b">
        <f t="shared" si="68"/>
        <v>0</v>
      </c>
      <c r="V1418" s="2"/>
      <c r="W1418" s="2"/>
      <c r="X1418" s="2"/>
      <c r="Y1418" s="2"/>
      <c r="Z1418" s="2"/>
      <c r="AA1418" s="2"/>
      <c r="AB1418" s="2"/>
      <c r="AC1418" s="2"/>
      <c r="AD1418" s="2"/>
      <c r="AE1418" s="2"/>
      <c r="AF1418" s="2"/>
      <c r="AG1418" s="2"/>
      <c r="AH1418" s="2"/>
      <c r="AI1418" s="2"/>
    </row>
    <row r="1419" spans="1:35" ht="14.25" customHeight="1" x14ac:dyDescent="0.2">
      <c r="A1419" s="1">
        <v>6112</v>
      </c>
      <c r="B1419" s="1" t="s">
        <v>1354</v>
      </c>
      <c r="C1419" s="1" t="s">
        <v>30</v>
      </c>
      <c r="D1419" s="2">
        <v>41874</v>
      </c>
      <c r="E1419" s="1" t="s">
        <v>101</v>
      </c>
      <c r="F1419" s="1" t="s">
        <v>1204</v>
      </c>
      <c r="G1419" s="1">
        <v>31</v>
      </c>
      <c r="H1419" s="1">
        <v>65.989999999999995</v>
      </c>
      <c r="I1419" s="1">
        <f t="shared" si="66"/>
        <v>2045.6899999999998</v>
      </c>
      <c r="J1419" t="str">
        <f t="shared" si="67"/>
        <v>High</v>
      </c>
      <c r="K1419" s="1"/>
      <c r="L1419" s="1">
        <v>0.06</v>
      </c>
      <c r="M1419" s="1">
        <v>5.92</v>
      </c>
      <c r="N1419" s="1" t="s">
        <v>33</v>
      </c>
      <c r="O1419" s="1" t="s">
        <v>34</v>
      </c>
      <c r="P1419" s="2">
        <v>41875</v>
      </c>
      <c r="Q1419" s="2" t="b">
        <f t="shared" si="68"/>
        <v>0</v>
      </c>
      <c r="V1419" s="2"/>
      <c r="W1419" s="2"/>
      <c r="X1419" s="2"/>
      <c r="Y1419" s="2"/>
      <c r="Z1419" s="2"/>
      <c r="AA1419" s="2"/>
      <c r="AB1419" s="2"/>
      <c r="AC1419" s="2"/>
      <c r="AD1419" s="2"/>
      <c r="AE1419" s="2"/>
      <c r="AF1419" s="2"/>
      <c r="AG1419" s="2"/>
      <c r="AH1419" s="2"/>
      <c r="AI1419" s="2"/>
    </row>
    <row r="1420" spans="1:35" ht="14.25" customHeight="1" x14ac:dyDescent="0.2">
      <c r="A1420" s="1">
        <v>31111</v>
      </c>
      <c r="B1420" s="1" t="s">
        <v>1355</v>
      </c>
      <c r="C1420" s="1" t="s">
        <v>21</v>
      </c>
      <c r="D1420" s="2">
        <v>41875</v>
      </c>
      <c r="E1420" s="1" t="s">
        <v>22</v>
      </c>
      <c r="F1420" s="1" t="s">
        <v>99</v>
      </c>
      <c r="G1420" s="1">
        <v>27</v>
      </c>
      <c r="H1420" s="1">
        <v>7.64</v>
      </c>
      <c r="I1420" s="1">
        <f t="shared" si="66"/>
        <v>206.28</v>
      </c>
      <c r="J1420" t="str">
        <f t="shared" si="67"/>
        <v>Low</v>
      </c>
      <c r="K1420" s="1"/>
      <c r="L1420" s="1">
        <v>0.03</v>
      </c>
      <c r="M1420" s="1">
        <v>5.83</v>
      </c>
      <c r="N1420" s="1" t="s">
        <v>33</v>
      </c>
      <c r="O1420" s="1" t="s">
        <v>55</v>
      </c>
      <c r="P1420" s="2">
        <v>41877</v>
      </c>
      <c r="Q1420" s="2" t="b">
        <f t="shared" si="68"/>
        <v>0</v>
      </c>
      <c r="V1420" s="2"/>
      <c r="W1420" s="2"/>
      <c r="X1420" s="2"/>
      <c r="Y1420" s="2"/>
      <c r="Z1420" s="2"/>
      <c r="AA1420" s="2"/>
      <c r="AB1420" s="2"/>
      <c r="AC1420" s="2"/>
      <c r="AD1420" s="2"/>
      <c r="AE1420" s="2"/>
      <c r="AF1420" s="2"/>
      <c r="AG1420" s="2"/>
      <c r="AH1420" s="2"/>
      <c r="AI1420" s="2"/>
    </row>
    <row r="1421" spans="1:35" ht="14.25" customHeight="1" x14ac:dyDescent="0.2">
      <c r="A1421" s="1">
        <v>28897</v>
      </c>
      <c r="B1421" s="1" t="s">
        <v>1356</v>
      </c>
      <c r="C1421" s="1" t="s">
        <v>21</v>
      </c>
      <c r="D1421" s="2">
        <v>41875</v>
      </c>
      <c r="E1421" s="1" t="s">
        <v>101</v>
      </c>
      <c r="F1421" s="1" t="s">
        <v>502</v>
      </c>
      <c r="G1421" s="1">
        <v>35</v>
      </c>
      <c r="H1421" s="1">
        <v>4.0599999999999996</v>
      </c>
      <c r="I1421" s="1">
        <f t="shared" si="66"/>
        <v>142.1</v>
      </c>
      <c r="J1421" t="str">
        <f t="shared" si="67"/>
        <v>Low</v>
      </c>
      <c r="K1421" s="1"/>
      <c r="L1421" s="1">
        <v>0.02</v>
      </c>
      <c r="M1421" s="1">
        <v>6.89</v>
      </c>
      <c r="N1421" s="1" t="s">
        <v>33</v>
      </c>
      <c r="O1421" s="1" t="s">
        <v>34</v>
      </c>
      <c r="P1421" s="2">
        <v>41877</v>
      </c>
      <c r="Q1421" s="2" t="b">
        <f t="shared" si="68"/>
        <v>0</v>
      </c>
      <c r="V1421" s="2"/>
      <c r="W1421" s="2"/>
      <c r="X1421" s="2"/>
      <c r="Y1421" s="2"/>
      <c r="Z1421" s="2"/>
      <c r="AA1421" s="2"/>
      <c r="AB1421" s="2"/>
      <c r="AC1421" s="2"/>
      <c r="AD1421" s="2"/>
      <c r="AE1421" s="2"/>
      <c r="AF1421" s="2"/>
      <c r="AG1421" s="2"/>
      <c r="AH1421" s="2"/>
      <c r="AI1421" s="2"/>
    </row>
    <row r="1422" spans="1:35" ht="14.25" customHeight="1" x14ac:dyDescent="0.2">
      <c r="A1422" s="1">
        <v>28897</v>
      </c>
      <c r="B1422" s="1" t="s">
        <v>1356</v>
      </c>
      <c r="C1422" s="1" t="s">
        <v>51</v>
      </c>
      <c r="D1422" s="2">
        <v>41875</v>
      </c>
      <c r="E1422" s="1" t="s">
        <v>101</v>
      </c>
      <c r="F1422" s="1" t="s">
        <v>1357</v>
      </c>
      <c r="G1422" s="1">
        <v>14</v>
      </c>
      <c r="H1422" s="1">
        <v>60.98</v>
      </c>
      <c r="I1422" s="1">
        <f t="shared" si="66"/>
        <v>853.71999999999991</v>
      </c>
      <c r="J1422" t="str">
        <f t="shared" si="67"/>
        <v>Low</v>
      </c>
      <c r="K1422" s="1"/>
      <c r="L1422" s="1">
        <v>7.0000000000000007E-2</v>
      </c>
      <c r="M1422" s="1">
        <v>19.989999999999998</v>
      </c>
      <c r="N1422" s="1" t="s">
        <v>33</v>
      </c>
      <c r="O1422" s="1" t="s">
        <v>34</v>
      </c>
      <c r="P1422" s="2">
        <v>41877</v>
      </c>
      <c r="Q1422" s="2" t="b">
        <f t="shared" si="68"/>
        <v>0</v>
      </c>
      <c r="V1422" s="2"/>
      <c r="W1422" s="2"/>
      <c r="X1422" s="2"/>
      <c r="Y1422" s="2"/>
      <c r="Z1422" s="2"/>
      <c r="AA1422" s="2"/>
      <c r="AB1422" s="2"/>
      <c r="AC1422" s="2"/>
      <c r="AD1422" s="2"/>
      <c r="AE1422" s="2"/>
      <c r="AF1422" s="2"/>
      <c r="AG1422" s="2"/>
      <c r="AH1422" s="2"/>
      <c r="AI1422" s="2"/>
    </row>
    <row r="1423" spans="1:35" ht="14.25" customHeight="1" x14ac:dyDescent="0.2">
      <c r="A1423" s="1">
        <v>53441</v>
      </c>
      <c r="B1423" s="1" t="s">
        <v>204</v>
      </c>
      <c r="C1423" s="1" t="s">
        <v>21</v>
      </c>
      <c r="D1423" s="2">
        <v>41875</v>
      </c>
      <c r="E1423" s="1" t="s">
        <v>101</v>
      </c>
      <c r="F1423" s="1" t="s">
        <v>1083</v>
      </c>
      <c r="G1423" s="1">
        <v>7</v>
      </c>
      <c r="H1423" s="1">
        <v>48.04</v>
      </c>
      <c r="I1423" s="1">
        <f t="shared" si="66"/>
        <v>336.28</v>
      </c>
      <c r="J1423" t="str">
        <f t="shared" si="67"/>
        <v>Low</v>
      </c>
      <c r="K1423" s="1"/>
      <c r="L1423" s="1">
        <v>0.01</v>
      </c>
      <c r="M1423" s="1">
        <v>5.79</v>
      </c>
      <c r="N1423" s="1" t="s">
        <v>33</v>
      </c>
      <c r="O1423" s="1" t="s">
        <v>34</v>
      </c>
      <c r="P1423" s="2">
        <v>41876</v>
      </c>
      <c r="Q1423" s="2" t="b">
        <f t="shared" si="68"/>
        <v>0</v>
      </c>
      <c r="V1423" s="2"/>
      <c r="W1423" s="2"/>
      <c r="X1423" s="2"/>
      <c r="Y1423" s="2"/>
      <c r="Z1423" s="2"/>
      <c r="AA1423" s="2"/>
      <c r="AB1423" s="2"/>
      <c r="AC1423" s="2"/>
      <c r="AD1423" s="2"/>
      <c r="AE1423" s="2"/>
      <c r="AF1423" s="2"/>
      <c r="AG1423" s="2"/>
      <c r="AH1423" s="2"/>
      <c r="AI1423" s="2"/>
    </row>
    <row r="1424" spans="1:35" ht="14.25" customHeight="1" x14ac:dyDescent="0.2">
      <c r="A1424" s="1">
        <v>49799</v>
      </c>
      <c r="B1424" s="1" t="s">
        <v>545</v>
      </c>
      <c r="C1424" s="1" t="s">
        <v>30</v>
      </c>
      <c r="D1424" s="2">
        <v>41875</v>
      </c>
      <c r="E1424" s="1" t="s">
        <v>31</v>
      </c>
      <c r="F1424" s="1" t="s">
        <v>330</v>
      </c>
      <c r="G1424" s="1">
        <v>4</v>
      </c>
      <c r="H1424" s="1">
        <v>376.13</v>
      </c>
      <c r="I1424" s="1">
        <f t="shared" si="66"/>
        <v>1504.52</v>
      </c>
      <c r="J1424" t="str">
        <f t="shared" si="67"/>
        <v>High</v>
      </c>
      <c r="K1424" s="1"/>
      <c r="L1424" s="1">
        <v>0.05</v>
      </c>
      <c r="M1424" s="1">
        <v>85.63</v>
      </c>
      <c r="N1424" s="1" t="s">
        <v>45</v>
      </c>
      <c r="O1424" s="1" t="s">
        <v>63</v>
      </c>
      <c r="P1424" s="2">
        <v>41877</v>
      </c>
      <c r="Q1424" s="2" t="b">
        <f t="shared" si="68"/>
        <v>0</v>
      </c>
      <c r="V1424" s="2"/>
      <c r="W1424" s="2"/>
      <c r="X1424" s="2"/>
      <c r="Y1424" s="2"/>
      <c r="Z1424" s="2"/>
      <c r="AA1424" s="2"/>
      <c r="AB1424" s="2"/>
      <c r="AC1424" s="2"/>
      <c r="AD1424" s="2"/>
      <c r="AE1424" s="2"/>
      <c r="AF1424" s="2"/>
      <c r="AG1424" s="2"/>
      <c r="AH1424" s="2"/>
      <c r="AI1424" s="2"/>
    </row>
    <row r="1425" spans="1:35" ht="14.25" customHeight="1" x14ac:dyDescent="0.2">
      <c r="A1425" s="1">
        <v>49799</v>
      </c>
      <c r="B1425" s="1" t="s">
        <v>545</v>
      </c>
      <c r="C1425" s="1" t="s">
        <v>21</v>
      </c>
      <c r="D1425" s="2">
        <v>41875</v>
      </c>
      <c r="E1425" s="1" t="s">
        <v>31</v>
      </c>
      <c r="F1425" s="1" t="s">
        <v>536</v>
      </c>
      <c r="G1425" s="1">
        <v>12</v>
      </c>
      <c r="H1425" s="1">
        <v>195.99</v>
      </c>
      <c r="I1425" s="1">
        <f t="shared" si="66"/>
        <v>2351.88</v>
      </c>
      <c r="J1425" t="str">
        <f t="shared" si="67"/>
        <v>High</v>
      </c>
      <c r="K1425" s="1"/>
      <c r="L1425" s="1">
        <v>0</v>
      </c>
      <c r="M1425" s="1">
        <v>8.99</v>
      </c>
      <c r="N1425" s="1" t="s">
        <v>33</v>
      </c>
      <c r="O1425" s="1" t="s">
        <v>34</v>
      </c>
      <c r="P1425" s="2">
        <v>41876</v>
      </c>
      <c r="Q1425" s="2" t="b">
        <f t="shared" si="68"/>
        <v>0</v>
      </c>
      <c r="V1425" s="2"/>
      <c r="W1425" s="2"/>
      <c r="X1425" s="2"/>
      <c r="Y1425" s="2"/>
      <c r="Z1425" s="2"/>
      <c r="AA1425" s="2"/>
      <c r="AB1425" s="2"/>
      <c r="AC1425" s="2"/>
      <c r="AD1425" s="2"/>
      <c r="AE1425" s="2"/>
      <c r="AF1425" s="2"/>
      <c r="AG1425" s="2"/>
      <c r="AH1425" s="2"/>
      <c r="AI1425" s="2"/>
    </row>
    <row r="1426" spans="1:35" ht="14.25" customHeight="1" x14ac:dyDescent="0.2">
      <c r="A1426" s="1">
        <v>19429</v>
      </c>
      <c r="B1426" s="1" t="s">
        <v>395</v>
      </c>
      <c r="C1426" s="1" t="s">
        <v>21</v>
      </c>
      <c r="D1426" s="2">
        <v>41875</v>
      </c>
      <c r="E1426" s="1" t="s">
        <v>22</v>
      </c>
      <c r="F1426" s="1" t="s">
        <v>1317</v>
      </c>
      <c r="G1426" s="1">
        <v>2</v>
      </c>
      <c r="H1426" s="1">
        <v>124.49</v>
      </c>
      <c r="I1426" s="1">
        <f t="shared" si="66"/>
        <v>248.98</v>
      </c>
      <c r="J1426" t="str">
        <f t="shared" si="67"/>
        <v>Low</v>
      </c>
      <c r="K1426" s="1"/>
      <c r="L1426" s="1">
        <v>0.05</v>
      </c>
      <c r="M1426" s="1">
        <v>51.94</v>
      </c>
      <c r="N1426" s="1" t="s">
        <v>45</v>
      </c>
      <c r="O1426" s="1" t="s">
        <v>63</v>
      </c>
      <c r="P1426" s="2">
        <v>41875</v>
      </c>
      <c r="Q1426" s="2" t="b">
        <f t="shared" si="68"/>
        <v>0</v>
      </c>
      <c r="V1426" s="2"/>
      <c r="W1426" s="2"/>
      <c r="X1426" s="2"/>
      <c r="Y1426" s="2"/>
      <c r="Z1426" s="2"/>
      <c r="AA1426" s="2"/>
      <c r="AB1426" s="2"/>
      <c r="AC1426" s="2"/>
      <c r="AD1426" s="2"/>
      <c r="AE1426" s="2"/>
      <c r="AF1426" s="2"/>
      <c r="AG1426" s="2"/>
      <c r="AH1426" s="2"/>
      <c r="AI1426" s="2"/>
    </row>
    <row r="1427" spans="1:35" ht="14.25" customHeight="1" x14ac:dyDescent="0.2">
      <c r="A1427" s="1">
        <v>29350</v>
      </c>
      <c r="B1427" s="1" t="s">
        <v>653</v>
      </c>
      <c r="C1427" s="1" t="s">
        <v>51</v>
      </c>
      <c r="D1427" s="2">
        <v>41876</v>
      </c>
      <c r="E1427" s="1" t="s">
        <v>31</v>
      </c>
      <c r="F1427" s="1" t="s">
        <v>689</v>
      </c>
      <c r="G1427" s="1">
        <v>10</v>
      </c>
      <c r="H1427" s="1">
        <v>15.14</v>
      </c>
      <c r="I1427" s="1">
        <f t="shared" si="66"/>
        <v>151.4</v>
      </c>
      <c r="J1427" t="str">
        <f t="shared" si="67"/>
        <v>Low</v>
      </c>
      <c r="K1427" s="1"/>
      <c r="L1427" s="1">
        <v>0.1</v>
      </c>
      <c r="M1427" s="1">
        <v>4.53</v>
      </c>
      <c r="N1427" s="1" t="s">
        <v>33</v>
      </c>
      <c r="O1427" s="1" t="s">
        <v>34</v>
      </c>
      <c r="P1427" s="2">
        <v>41879</v>
      </c>
      <c r="Q1427" s="2" t="b">
        <f t="shared" si="68"/>
        <v>0</v>
      </c>
      <c r="V1427" s="2"/>
      <c r="W1427" s="2"/>
      <c r="X1427" s="2"/>
      <c r="Y1427" s="2"/>
      <c r="Z1427" s="2"/>
      <c r="AA1427" s="2"/>
      <c r="AB1427" s="2"/>
      <c r="AC1427" s="2"/>
      <c r="AD1427" s="2"/>
      <c r="AE1427" s="2"/>
      <c r="AF1427" s="2"/>
      <c r="AG1427" s="2"/>
      <c r="AH1427" s="2"/>
      <c r="AI1427" s="2"/>
    </row>
    <row r="1428" spans="1:35" ht="14.25" customHeight="1" x14ac:dyDescent="0.2">
      <c r="A1428" s="1">
        <v>29350</v>
      </c>
      <c r="B1428" s="1" t="s">
        <v>653</v>
      </c>
      <c r="C1428" s="1" t="s">
        <v>30</v>
      </c>
      <c r="D1428" s="2">
        <v>41876</v>
      </c>
      <c r="E1428" s="1" t="s">
        <v>31</v>
      </c>
      <c r="F1428" s="1" t="s">
        <v>1358</v>
      </c>
      <c r="G1428" s="1">
        <v>47</v>
      </c>
      <c r="H1428" s="1">
        <v>52.4</v>
      </c>
      <c r="I1428" s="1">
        <f t="shared" si="66"/>
        <v>2462.7999999999997</v>
      </c>
      <c r="J1428" t="str">
        <f t="shared" si="67"/>
        <v>High</v>
      </c>
      <c r="K1428" s="1"/>
      <c r="L1428" s="1">
        <v>0.05</v>
      </c>
      <c r="M1428" s="1">
        <v>16.11</v>
      </c>
      <c r="N1428" s="1" t="s">
        <v>33</v>
      </c>
      <c r="O1428" s="1" t="s">
        <v>34</v>
      </c>
      <c r="P1428" s="2">
        <v>41878</v>
      </c>
      <c r="Q1428" s="2" t="b">
        <f t="shared" si="68"/>
        <v>0</v>
      </c>
      <c r="V1428" s="2"/>
      <c r="W1428" s="2"/>
      <c r="X1428" s="2"/>
      <c r="Y1428" s="2"/>
      <c r="Z1428" s="2"/>
      <c r="AA1428" s="2"/>
      <c r="AB1428" s="2"/>
      <c r="AC1428" s="2"/>
      <c r="AD1428" s="2"/>
      <c r="AE1428" s="2"/>
      <c r="AF1428" s="2"/>
      <c r="AG1428" s="2"/>
      <c r="AH1428" s="2"/>
      <c r="AI1428" s="2"/>
    </row>
    <row r="1429" spans="1:35" ht="14.25" customHeight="1" x14ac:dyDescent="0.2">
      <c r="A1429" s="1">
        <v>29350</v>
      </c>
      <c r="B1429" s="1" t="s">
        <v>653</v>
      </c>
      <c r="C1429" s="1" t="s">
        <v>51</v>
      </c>
      <c r="D1429" s="2">
        <v>41876</v>
      </c>
      <c r="E1429" s="1" t="s">
        <v>31</v>
      </c>
      <c r="F1429" s="1" t="s">
        <v>773</v>
      </c>
      <c r="G1429" s="1">
        <v>46</v>
      </c>
      <c r="H1429" s="1">
        <v>36.549999999999997</v>
      </c>
      <c r="I1429" s="1">
        <f t="shared" si="66"/>
        <v>1681.3</v>
      </c>
      <c r="J1429" t="str">
        <f t="shared" si="67"/>
        <v>High</v>
      </c>
      <c r="K1429" s="1"/>
      <c r="L1429" s="1">
        <v>0.05</v>
      </c>
      <c r="M1429" s="1">
        <v>13.89</v>
      </c>
      <c r="N1429" s="1" t="s">
        <v>25</v>
      </c>
      <c r="O1429" s="1" t="s">
        <v>55</v>
      </c>
      <c r="P1429" s="2">
        <v>41877</v>
      </c>
      <c r="Q1429" s="2" t="b">
        <f t="shared" si="68"/>
        <v>0</v>
      </c>
      <c r="V1429" s="2"/>
      <c r="W1429" s="2"/>
      <c r="X1429" s="2"/>
      <c r="Y1429" s="2"/>
      <c r="Z1429" s="2"/>
      <c r="AA1429" s="2"/>
      <c r="AB1429" s="2"/>
      <c r="AC1429" s="2"/>
      <c r="AD1429" s="2"/>
      <c r="AE1429" s="2"/>
      <c r="AF1429" s="2"/>
      <c r="AG1429" s="2"/>
      <c r="AH1429" s="2"/>
      <c r="AI1429" s="2"/>
    </row>
    <row r="1430" spans="1:35" ht="14.25" customHeight="1" x14ac:dyDescent="0.2">
      <c r="A1430" s="1">
        <v>17670</v>
      </c>
      <c r="B1430" s="1" t="s">
        <v>334</v>
      </c>
      <c r="C1430" s="1" t="s">
        <v>21</v>
      </c>
      <c r="D1430" s="2">
        <v>41876</v>
      </c>
      <c r="E1430" s="1" t="s">
        <v>101</v>
      </c>
      <c r="F1430" s="1" t="s">
        <v>1023</v>
      </c>
      <c r="G1430" s="1">
        <v>14</v>
      </c>
      <c r="H1430" s="1">
        <v>2.61</v>
      </c>
      <c r="I1430" s="1">
        <f t="shared" si="66"/>
        <v>36.54</v>
      </c>
      <c r="J1430" t="str">
        <f t="shared" si="67"/>
        <v>Low</v>
      </c>
      <c r="K1430" s="1"/>
      <c r="L1430" s="1">
        <v>7.0000000000000007E-2</v>
      </c>
      <c r="M1430" s="1">
        <v>0.5</v>
      </c>
      <c r="N1430" s="1" t="s">
        <v>33</v>
      </c>
      <c r="O1430" s="1" t="s">
        <v>34</v>
      </c>
      <c r="P1430" s="2">
        <v>41878</v>
      </c>
      <c r="Q1430" s="2" t="b">
        <f t="shared" si="68"/>
        <v>0</v>
      </c>
      <c r="V1430" s="2"/>
      <c r="W1430" s="2"/>
      <c r="X1430" s="2"/>
      <c r="Y1430" s="2"/>
      <c r="Z1430" s="2"/>
      <c r="AA1430" s="2"/>
      <c r="AB1430" s="2"/>
      <c r="AC1430" s="2"/>
      <c r="AD1430" s="2"/>
      <c r="AE1430" s="2"/>
      <c r="AF1430" s="2"/>
      <c r="AG1430" s="2"/>
      <c r="AH1430" s="2"/>
      <c r="AI1430" s="2"/>
    </row>
    <row r="1431" spans="1:35" ht="14.25" customHeight="1" x14ac:dyDescent="0.2">
      <c r="A1431" s="1">
        <v>28486</v>
      </c>
      <c r="B1431" s="1" t="s">
        <v>618</v>
      </c>
      <c r="C1431" s="1" t="s">
        <v>30</v>
      </c>
      <c r="D1431" s="2">
        <v>41877</v>
      </c>
      <c r="E1431" s="1" t="s">
        <v>31</v>
      </c>
      <c r="F1431" s="1" t="s">
        <v>911</v>
      </c>
      <c r="G1431" s="1">
        <v>2</v>
      </c>
      <c r="H1431" s="1">
        <v>415.88</v>
      </c>
      <c r="I1431" s="1">
        <f t="shared" si="66"/>
        <v>831.76</v>
      </c>
      <c r="J1431" t="str">
        <f t="shared" si="67"/>
        <v>Low</v>
      </c>
      <c r="K1431" s="1"/>
      <c r="L1431" s="1">
        <v>0.08</v>
      </c>
      <c r="M1431" s="1">
        <v>11.37</v>
      </c>
      <c r="N1431" s="1" t="s">
        <v>33</v>
      </c>
      <c r="O1431" s="1" t="s">
        <v>34</v>
      </c>
      <c r="P1431" s="2">
        <v>41878</v>
      </c>
      <c r="Q1431" s="2" t="b">
        <f t="shared" si="68"/>
        <v>0</v>
      </c>
      <c r="V1431" s="2"/>
      <c r="W1431" s="2"/>
      <c r="X1431" s="2"/>
      <c r="Y1431" s="2"/>
      <c r="Z1431" s="2"/>
      <c r="AA1431" s="2"/>
      <c r="AB1431" s="2"/>
      <c r="AC1431" s="2"/>
      <c r="AD1431" s="2"/>
      <c r="AE1431" s="2"/>
      <c r="AF1431" s="2"/>
      <c r="AG1431" s="2"/>
      <c r="AH1431" s="2"/>
      <c r="AI1431" s="2"/>
    </row>
    <row r="1432" spans="1:35" ht="14.25" customHeight="1" x14ac:dyDescent="0.2">
      <c r="A1432" s="1">
        <v>13927</v>
      </c>
      <c r="B1432" s="1" t="s">
        <v>1041</v>
      </c>
      <c r="C1432" s="1" t="s">
        <v>21</v>
      </c>
      <c r="D1432" s="2">
        <v>41877</v>
      </c>
      <c r="E1432" s="1" t="s">
        <v>43</v>
      </c>
      <c r="F1432" s="1" t="s">
        <v>1359</v>
      </c>
      <c r="G1432" s="1">
        <v>26</v>
      </c>
      <c r="H1432" s="1">
        <v>6.48</v>
      </c>
      <c r="I1432" s="1">
        <f t="shared" si="66"/>
        <v>168.48000000000002</v>
      </c>
      <c r="J1432" t="str">
        <f t="shared" si="67"/>
        <v>Low</v>
      </c>
      <c r="K1432" s="1"/>
      <c r="L1432" s="1">
        <v>0.04</v>
      </c>
      <c r="M1432" s="1">
        <v>5.16</v>
      </c>
      <c r="N1432" s="1" t="s">
        <v>25</v>
      </c>
      <c r="O1432" s="1" t="s">
        <v>34</v>
      </c>
      <c r="P1432" s="2">
        <v>41884</v>
      </c>
      <c r="Q1432" s="2" t="b">
        <f t="shared" si="68"/>
        <v>0</v>
      </c>
      <c r="V1432" s="2"/>
      <c r="W1432" s="2"/>
      <c r="X1432" s="2"/>
      <c r="Y1432" s="2"/>
      <c r="Z1432" s="2"/>
      <c r="AA1432" s="2"/>
      <c r="AB1432" s="2"/>
      <c r="AC1432" s="2"/>
      <c r="AD1432" s="2"/>
      <c r="AE1432" s="2"/>
      <c r="AF1432" s="2"/>
      <c r="AG1432" s="2"/>
      <c r="AH1432" s="2"/>
      <c r="AI1432" s="2"/>
    </row>
    <row r="1433" spans="1:35" ht="14.25" customHeight="1" x14ac:dyDescent="0.2">
      <c r="A1433" s="1">
        <v>21985</v>
      </c>
      <c r="B1433" s="1" t="s">
        <v>715</v>
      </c>
      <c r="C1433" s="1" t="s">
        <v>30</v>
      </c>
      <c r="D1433" s="2">
        <v>41877</v>
      </c>
      <c r="E1433" s="1" t="s">
        <v>38</v>
      </c>
      <c r="F1433" s="1" t="s">
        <v>845</v>
      </c>
      <c r="G1433" s="1">
        <v>1</v>
      </c>
      <c r="H1433" s="1">
        <v>226.67</v>
      </c>
      <c r="I1433" s="1">
        <f t="shared" si="66"/>
        <v>226.67</v>
      </c>
      <c r="J1433" t="str">
        <f t="shared" si="67"/>
        <v>Low</v>
      </c>
      <c r="K1433" s="1"/>
      <c r="L1433" s="1">
        <v>7.0000000000000007E-2</v>
      </c>
      <c r="M1433" s="1">
        <v>28.16</v>
      </c>
      <c r="N1433" s="1" t="s">
        <v>45</v>
      </c>
      <c r="O1433" s="1" t="s">
        <v>46</v>
      </c>
      <c r="P1433" s="2">
        <v>41878</v>
      </c>
      <c r="Q1433" s="2" t="b">
        <f t="shared" si="68"/>
        <v>0</v>
      </c>
      <c r="V1433" s="2"/>
      <c r="W1433" s="2"/>
      <c r="X1433" s="2"/>
      <c r="Y1433" s="2"/>
      <c r="Z1433" s="2"/>
      <c r="AA1433" s="2"/>
      <c r="AB1433" s="2"/>
      <c r="AC1433" s="2"/>
      <c r="AD1433" s="2"/>
      <c r="AE1433" s="2"/>
      <c r="AF1433" s="2"/>
      <c r="AG1433" s="2"/>
      <c r="AH1433" s="2"/>
      <c r="AI1433" s="2"/>
    </row>
    <row r="1434" spans="1:35" ht="14.25" customHeight="1" x14ac:dyDescent="0.2">
      <c r="A1434" s="1">
        <v>21985</v>
      </c>
      <c r="B1434" s="1" t="s">
        <v>715</v>
      </c>
      <c r="C1434" s="1" t="s">
        <v>21</v>
      </c>
      <c r="D1434" s="2">
        <v>41877</v>
      </c>
      <c r="E1434" s="1" t="s">
        <v>38</v>
      </c>
      <c r="F1434" s="1" t="s">
        <v>521</v>
      </c>
      <c r="G1434" s="1">
        <v>45</v>
      </c>
      <c r="H1434" s="1">
        <v>20.98</v>
      </c>
      <c r="I1434" s="1">
        <f t="shared" si="66"/>
        <v>944.1</v>
      </c>
      <c r="J1434" t="str">
        <f t="shared" si="67"/>
        <v>Low</v>
      </c>
      <c r="K1434" s="1"/>
      <c r="L1434" s="1">
        <v>0.08</v>
      </c>
      <c r="M1434" s="1">
        <v>53.03</v>
      </c>
      <c r="N1434" s="1" t="s">
        <v>45</v>
      </c>
      <c r="O1434" s="1" t="s">
        <v>46</v>
      </c>
      <c r="P1434" s="2">
        <v>41879</v>
      </c>
      <c r="Q1434" s="2" t="b">
        <f t="shared" si="68"/>
        <v>0</v>
      </c>
      <c r="V1434" s="2"/>
      <c r="W1434" s="2"/>
      <c r="X1434" s="2"/>
      <c r="Y1434" s="2"/>
      <c r="Z1434" s="2"/>
      <c r="AA1434" s="2"/>
      <c r="AB1434" s="2"/>
      <c r="AC1434" s="2"/>
      <c r="AD1434" s="2"/>
      <c r="AE1434" s="2"/>
      <c r="AF1434" s="2"/>
      <c r="AG1434" s="2"/>
      <c r="AH1434" s="2"/>
      <c r="AI1434" s="2"/>
    </row>
    <row r="1435" spans="1:35" ht="14.25" customHeight="1" x14ac:dyDescent="0.2">
      <c r="A1435" s="1">
        <v>15108</v>
      </c>
      <c r="B1435" s="1" t="s">
        <v>570</v>
      </c>
      <c r="C1435" s="1" t="s">
        <v>51</v>
      </c>
      <c r="D1435" s="2">
        <v>41878</v>
      </c>
      <c r="E1435" s="1" t="s">
        <v>31</v>
      </c>
      <c r="F1435" s="1" t="s">
        <v>868</v>
      </c>
      <c r="G1435" s="1">
        <v>50</v>
      </c>
      <c r="H1435" s="1">
        <v>40.99</v>
      </c>
      <c r="I1435" s="1">
        <f t="shared" si="66"/>
        <v>2049.5</v>
      </c>
      <c r="J1435" t="str">
        <f t="shared" si="67"/>
        <v>High</v>
      </c>
      <c r="K1435" s="1"/>
      <c r="L1435" s="1">
        <v>0.02</v>
      </c>
      <c r="M1435" s="1">
        <v>17.48</v>
      </c>
      <c r="N1435" s="1" t="s">
        <v>33</v>
      </c>
      <c r="O1435" s="1" t="s">
        <v>34</v>
      </c>
      <c r="P1435" s="2">
        <v>41880</v>
      </c>
      <c r="Q1435" s="2" t="b">
        <f t="shared" si="68"/>
        <v>0</v>
      </c>
      <c r="V1435" s="2"/>
      <c r="W1435" s="2"/>
      <c r="X1435" s="2"/>
      <c r="Y1435" s="2"/>
      <c r="Z1435" s="2"/>
      <c r="AA1435" s="2"/>
      <c r="AB1435" s="2"/>
      <c r="AC1435" s="2"/>
      <c r="AD1435" s="2"/>
      <c r="AE1435" s="2"/>
      <c r="AF1435" s="2"/>
      <c r="AG1435" s="2"/>
      <c r="AH1435" s="2"/>
      <c r="AI1435" s="2"/>
    </row>
    <row r="1436" spans="1:35" ht="14.25" customHeight="1" x14ac:dyDescent="0.2">
      <c r="A1436" s="1">
        <v>32611</v>
      </c>
      <c r="B1436" s="1" t="s">
        <v>899</v>
      </c>
      <c r="C1436" s="1" t="s">
        <v>21</v>
      </c>
      <c r="D1436" s="2">
        <v>41878</v>
      </c>
      <c r="E1436" s="1" t="s">
        <v>101</v>
      </c>
      <c r="F1436" s="1" t="s">
        <v>1001</v>
      </c>
      <c r="G1436" s="1">
        <v>16</v>
      </c>
      <c r="H1436" s="1">
        <v>2.08</v>
      </c>
      <c r="I1436" s="1">
        <f t="shared" si="66"/>
        <v>33.28</v>
      </c>
      <c r="J1436" t="str">
        <f t="shared" si="67"/>
        <v>Low</v>
      </c>
      <c r="K1436" s="1"/>
      <c r="L1436" s="1">
        <v>0.04</v>
      </c>
      <c r="M1436" s="1">
        <v>1.49</v>
      </c>
      <c r="N1436" s="1" t="s">
        <v>33</v>
      </c>
      <c r="O1436" s="1" t="s">
        <v>34</v>
      </c>
      <c r="P1436" s="2">
        <v>41880</v>
      </c>
      <c r="Q1436" s="2" t="b">
        <f t="shared" si="68"/>
        <v>0</v>
      </c>
      <c r="V1436" s="2"/>
      <c r="W1436" s="2"/>
      <c r="X1436" s="2"/>
      <c r="Y1436" s="2"/>
      <c r="Z1436" s="2"/>
      <c r="AA1436" s="2"/>
      <c r="AB1436" s="2"/>
      <c r="AC1436" s="2"/>
      <c r="AD1436" s="2"/>
      <c r="AE1436" s="2"/>
      <c r="AF1436" s="2"/>
      <c r="AG1436" s="2"/>
      <c r="AH1436" s="2"/>
      <c r="AI1436" s="2"/>
    </row>
    <row r="1437" spans="1:35" ht="14.25" customHeight="1" x14ac:dyDescent="0.2">
      <c r="A1437" s="1">
        <v>32611</v>
      </c>
      <c r="B1437" s="1" t="s">
        <v>899</v>
      </c>
      <c r="C1437" s="1" t="s">
        <v>30</v>
      </c>
      <c r="D1437" s="2">
        <v>41878</v>
      </c>
      <c r="E1437" s="1" t="s">
        <v>101</v>
      </c>
      <c r="F1437" s="1" t="s">
        <v>1287</v>
      </c>
      <c r="G1437" s="1">
        <v>19</v>
      </c>
      <c r="H1437" s="1">
        <v>180.98</v>
      </c>
      <c r="I1437" s="1">
        <f t="shared" si="66"/>
        <v>3438.62</v>
      </c>
      <c r="J1437" t="str">
        <f t="shared" si="67"/>
        <v>High</v>
      </c>
      <c r="K1437" s="1"/>
      <c r="L1437" s="1">
        <v>0</v>
      </c>
      <c r="M1437" s="1">
        <v>30</v>
      </c>
      <c r="N1437" s="1" t="s">
        <v>45</v>
      </c>
      <c r="O1437" s="1" t="s">
        <v>46</v>
      </c>
      <c r="P1437" s="2">
        <v>41879</v>
      </c>
      <c r="Q1437" s="2" t="b">
        <f t="shared" si="68"/>
        <v>0</v>
      </c>
      <c r="V1437" s="2"/>
      <c r="W1437" s="2"/>
      <c r="X1437" s="2"/>
      <c r="Y1437" s="2"/>
      <c r="Z1437" s="2"/>
      <c r="AA1437" s="2"/>
      <c r="AB1437" s="2"/>
      <c r="AC1437" s="2"/>
      <c r="AD1437" s="2"/>
      <c r="AE1437" s="2"/>
      <c r="AF1437" s="2"/>
      <c r="AG1437" s="2"/>
      <c r="AH1437" s="2"/>
      <c r="AI1437" s="2"/>
    </row>
    <row r="1438" spans="1:35" ht="14.25" customHeight="1" x14ac:dyDescent="0.2">
      <c r="A1438" s="1">
        <v>32611</v>
      </c>
      <c r="B1438" s="1" t="s">
        <v>899</v>
      </c>
      <c r="C1438" s="1" t="s">
        <v>21</v>
      </c>
      <c r="D1438" s="2">
        <v>41878</v>
      </c>
      <c r="E1438" s="1" t="s">
        <v>101</v>
      </c>
      <c r="F1438" s="1" t="s">
        <v>1360</v>
      </c>
      <c r="G1438" s="1">
        <v>18</v>
      </c>
      <c r="H1438" s="1">
        <v>53.98</v>
      </c>
      <c r="I1438" s="1">
        <f t="shared" si="66"/>
        <v>971.64</v>
      </c>
      <c r="J1438" t="str">
        <f t="shared" si="67"/>
        <v>Low</v>
      </c>
      <c r="K1438" s="1"/>
      <c r="L1438" s="1">
        <v>0.02</v>
      </c>
      <c r="M1438" s="1">
        <v>5.5</v>
      </c>
      <c r="N1438" s="1" t="s">
        <v>25</v>
      </c>
      <c r="O1438" s="1" t="s">
        <v>34</v>
      </c>
      <c r="P1438" s="2">
        <v>41879</v>
      </c>
      <c r="Q1438" s="2" t="b">
        <f t="shared" si="68"/>
        <v>0</v>
      </c>
      <c r="V1438" s="2"/>
      <c r="W1438" s="2"/>
      <c r="X1438" s="2"/>
      <c r="Y1438" s="2"/>
      <c r="Z1438" s="2"/>
      <c r="AA1438" s="2"/>
      <c r="AB1438" s="2"/>
      <c r="AC1438" s="2"/>
      <c r="AD1438" s="2"/>
      <c r="AE1438" s="2"/>
      <c r="AF1438" s="2"/>
      <c r="AG1438" s="2"/>
      <c r="AH1438" s="2"/>
      <c r="AI1438" s="2"/>
    </row>
    <row r="1439" spans="1:35" ht="14.25" customHeight="1" x14ac:dyDescent="0.2">
      <c r="A1439" s="1">
        <v>32611</v>
      </c>
      <c r="B1439" s="1" t="s">
        <v>899</v>
      </c>
      <c r="C1439" s="1" t="s">
        <v>51</v>
      </c>
      <c r="D1439" s="2">
        <v>41878</v>
      </c>
      <c r="E1439" s="1" t="s">
        <v>101</v>
      </c>
      <c r="F1439" s="1" t="s">
        <v>1361</v>
      </c>
      <c r="G1439" s="1">
        <v>15</v>
      </c>
      <c r="H1439" s="1">
        <v>4.9800000000000004</v>
      </c>
      <c r="I1439" s="1">
        <f t="shared" si="66"/>
        <v>74.7</v>
      </c>
      <c r="J1439" t="str">
        <f t="shared" si="67"/>
        <v>Low</v>
      </c>
      <c r="K1439" s="1"/>
      <c r="L1439" s="1">
        <v>0.05</v>
      </c>
      <c r="M1439" s="1">
        <v>5.0199999999999996</v>
      </c>
      <c r="N1439" s="1" t="s">
        <v>33</v>
      </c>
      <c r="O1439" s="1" t="s">
        <v>34</v>
      </c>
      <c r="P1439" s="2">
        <v>41878</v>
      </c>
      <c r="Q1439" s="2" t="b">
        <f t="shared" si="68"/>
        <v>0</v>
      </c>
      <c r="V1439" s="2"/>
      <c r="W1439" s="2"/>
      <c r="X1439" s="2"/>
      <c r="Y1439" s="2"/>
      <c r="Z1439" s="2"/>
      <c r="AA1439" s="2"/>
      <c r="AB1439" s="2"/>
      <c r="AC1439" s="2"/>
      <c r="AD1439" s="2"/>
      <c r="AE1439" s="2"/>
      <c r="AF1439" s="2"/>
      <c r="AG1439" s="2"/>
      <c r="AH1439" s="2"/>
      <c r="AI1439" s="2"/>
    </row>
    <row r="1440" spans="1:35" ht="14.25" customHeight="1" x14ac:dyDescent="0.2">
      <c r="A1440" s="1">
        <v>47813</v>
      </c>
      <c r="B1440" s="1" t="s">
        <v>1111</v>
      </c>
      <c r="C1440" s="1" t="s">
        <v>30</v>
      </c>
      <c r="D1440" s="2">
        <v>41878</v>
      </c>
      <c r="E1440" s="1" t="s">
        <v>31</v>
      </c>
      <c r="F1440" s="1" t="s">
        <v>416</v>
      </c>
      <c r="G1440" s="1">
        <v>50</v>
      </c>
      <c r="H1440" s="1">
        <v>6.68</v>
      </c>
      <c r="I1440" s="1">
        <f t="shared" si="66"/>
        <v>334</v>
      </c>
      <c r="J1440" t="str">
        <f t="shared" si="67"/>
        <v>Low</v>
      </c>
      <c r="K1440" s="1"/>
      <c r="L1440" s="1">
        <v>0</v>
      </c>
      <c r="M1440" s="1">
        <v>5.66</v>
      </c>
      <c r="N1440" s="1" t="s">
        <v>33</v>
      </c>
      <c r="O1440" s="1" t="s">
        <v>34</v>
      </c>
      <c r="P1440" s="2">
        <v>41880</v>
      </c>
      <c r="Q1440" s="2" t="b">
        <f t="shared" si="68"/>
        <v>0</v>
      </c>
      <c r="V1440" s="2"/>
      <c r="W1440" s="2"/>
      <c r="X1440" s="2"/>
      <c r="Y1440" s="2"/>
      <c r="Z1440" s="2"/>
      <c r="AA1440" s="2"/>
      <c r="AB1440" s="2"/>
      <c r="AC1440" s="2"/>
      <c r="AD1440" s="2"/>
      <c r="AE1440" s="2"/>
      <c r="AF1440" s="2"/>
      <c r="AG1440" s="2"/>
      <c r="AH1440" s="2"/>
      <c r="AI1440" s="2"/>
    </row>
    <row r="1441" spans="1:35" ht="14.25" customHeight="1" x14ac:dyDescent="0.2">
      <c r="A1441" s="1">
        <v>10658</v>
      </c>
      <c r="B1441" s="1" t="s">
        <v>1362</v>
      </c>
      <c r="C1441" s="1" t="s">
        <v>21</v>
      </c>
      <c r="D1441" s="2">
        <v>41878</v>
      </c>
      <c r="E1441" s="1" t="s">
        <v>43</v>
      </c>
      <c r="F1441" s="1" t="s">
        <v>1363</v>
      </c>
      <c r="G1441" s="1">
        <v>31</v>
      </c>
      <c r="H1441" s="1">
        <v>8.5</v>
      </c>
      <c r="I1441" s="1">
        <f t="shared" si="66"/>
        <v>263.5</v>
      </c>
      <c r="J1441" t="str">
        <f t="shared" si="67"/>
        <v>Low</v>
      </c>
      <c r="K1441" s="1"/>
      <c r="L1441" s="1">
        <v>0.04</v>
      </c>
      <c r="M1441" s="1">
        <v>1.99</v>
      </c>
      <c r="N1441" s="1" t="s">
        <v>33</v>
      </c>
      <c r="O1441" s="1" t="s">
        <v>84</v>
      </c>
      <c r="P1441" s="2">
        <v>41882</v>
      </c>
      <c r="Q1441" s="2" t="b">
        <f t="shared" si="68"/>
        <v>0</v>
      </c>
      <c r="V1441" s="2"/>
      <c r="W1441" s="2"/>
      <c r="X1441" s="2"/>
      <c r="Y1441" s="2"/>
      <c r="Z1441" s="2"/>
      <c r="AA1441" s="2"/>
      <c r="AB1441" s="2"/>
      <c r="AC1441" s="2"/>
      <c r="AD1441" s="2"/>
      <c r="AE1441" s="2"/>
      <c r="AF1441" s="2"/>
      <c r="AG1441" s="2"/>
      <c r="AH1441" s="2"/>
      <c r="AI1441" s="2"/>
    </row>
    <row r="1442" spans="1:35" ht="14.25" customHeight="1" x14ac:dyDescent="0.2">
      <c r="A1442" s="1">
        <v>10658</v>
      </c>
      <c r="B1442" s="1" t="s">
        <v>1362</v>
      </c>
      <c r="C1442" s="1" t="s">
        <v>51</v>
      </c>
      <c r="D1442" s="2">
        <v>41878</v>
      </c>
      <c r="E1442" s="1" t="s">
        <v>43</v>
      </c>
      <c r="F1442" s="1" t="s">
        <v>262</v>
      </c>
      <c r="G1442" s="1">
        <v>12</v>
      </c>
      <c r="H1442" s="1">
        <v>15.99</v>
      </c>
      <c r="I1442" s="1">
        <f t="shared" si="66"/>
        <v>191.88</v>
      </c>
      <c r="J1442" t="str">
        <f t="shared" si="67"/>
        <v>Low</v>
      </c>
      <c r="K1442" s="1"/>
      <c r="L1442" s="1">
        <v>0.1</v>
      </c>
      <c r="M1442" s="1">
        <v>9.4</v>
      </c>
      <c r="N1442" s="1" t="s">
        <v>33</v>
      </c>
      <c r="O1442" s="1" t="s">
        <v>34</v>
      </c>
      <c r="P1442" s="2">
        <v>41878</v>
      </c>
      <c r="Q1442" s="2" t="b">
        <f t="shared" si="68"/>
        <v>0</v>
      </c>
      <c r="V1442" s="2"/>
      <c r="W1442" s="2"/>
      <c r="X1442" s="2"/>
      <c r="Y1442" s="2"/>
      <c r="Z1442" s="2"/>
      <c r="AA1442" s="2"/>
      <c r="AB1442" s="2"/>
      <c r="AC1442" s="2"/>
      <c r="AD1442" s="2"/>
      <c r="AE1442" s="2"/>
      <c r="AF1442" s="2"/>
      <c r="AG1442" s="2"/>
      <c r="AH1442" s="2"/>
      <c r="AI1442" s="2"/>
    </row>
    <row r="1443" spans="1:35" ht="14.25" customHeight="1" x14ac:dyDescent="0.2">
      <c r="A1443" s="1">
        <v>10658</v>
      </c>
      <c r="B1443" s="1" t="s">
        <v>1362</v>
      </c>
      <c r="C1443" s="1" t="s">
        <v>51</v>
      </c>
      <c r="D1443" s="2">
        <v>41878</v>
      </c>
      <c r="E1443" s="1" t="s">
        <v>43</v>
      </c>
      <c r="F1443" s="1" t="s">
        <v>1364</v>
      </c>
      <c r="G1443" s="1">
        <v>17</v>
      </c>
      <c r="H1443" s="1">
        <v>95.99</v>
      </c>
      <c r="I1443" s="1">
        <f t="shared" si="66"/>
        <v>1631.83</v>
      </c>
      <c r="J1443" t="str">
        <f t="shared" si="67"/>
        <v>High</v>
      </c>
      <c r="K1443" s="1"/>
      <c r="L1443" s="1">
        <v>0.09</v>
      </c>
      <c r="M1443" s="1">
        <v>8.99</v>
      </c>
      <c r="N1443" s="1" t="s">
        <v>33</v>
      </c>
      <c r="O1443" s="1" t="s">
        <v>34</v>
      </c>
      <c r="P1443" s="2">
        <v>41885</v>
      </c>
      <c r="Q1443" s="2" t="b">
        <f t="shared" si="68"/>
        <v>0</v>
      </c>
      <c r="V1443" s="2"/>
      <c r="W1443" s="2"/>
      <c r="X1443" s="2"/>
      <c r="Y1443" s="2"/>
      <c r="Z1443" s="2"/>
      <c r="AA1443" s="2"/>
      <c r="AB1443" s="2"/>
      <c r="AC1443" s="2"/>
      <c r="AD1443" s="2"/>
      <c r="AE1443" s="2"/>
      <c r="AF1443" s="2"/>
      <c r="AG1443" s="2"/>
      <c r="AH1443" s="2"/>
      <c r="AI1443" s="2"/>
    </row>
    <row r="1444" spans="1:35" ht="14.25" customHeight="1" x14ac:dyDescent="0.2">
      <c r="A1444" s="1">
        <v>37281</v>
      </c>
      <c r="B1444" s="1" t="s">
        <v>832</v>
      </c>
      <c r="C1444" s="1" t="s">
        <v>21</v>
      </c>
      <c r="D1444" s="2">
        <v>41879</v>
      </c>
      <c r="E1444" s="1" t="s">
        <v>101</v>
      </c>
      <c r="F1444" s="1" t="s">
        <v>652</v>
      </c>
      <c r="G1444" s="1">
        <v>25</v>
      </c>
      <c r="H1444" s="1">
        <v>20.99</v>
      </c>
      <c r="I1444" s="1">
        <f t="shared" si="66"/>
        <v>524.75</v>
      </c>
      <c r="J1444" t="str">
        <f t="shared" si="67"/>
        <v>Low</v>
      </c>
      <c r="K1444" s="1"/>
      <c r="L1444" s="1">
        <v>0.05</v>
      </c>
      <c r="M1444" s="1">
        <v>4.8099999999999996</v>
      </c>
      <c r="N1444" s="1" t="s">
        <v>33</v>
      </c>
      <c r="O1444" s="1" t="s">
        <v>72</v>
      </c>
      <c r="P1444" s="2">
        <v>41880</v>
      </c>
      <c r="Q1444" s="2" t="b">
        <f t="shared" si="68"/>
        <v>0</v>
      </c>
      <c r="V1444" s="2"/>
      <c r="W1444" s="2"/>
      <c r="X1444" s="2"/>
      <c r="Y1444" s="2"/>
      <c r="Z1444" s="2"/>
      <c r="AA1444" s="2"/>
      <c r="AB1444" s="2"/>
      <c r="AC1444" s="2"/>
      <c r="AD1444" s="2"/>
      <c r="AE1444" s="2"/>
      <c r="AF1444" s="2"/>
      <c r="AG1444" s="2"/>
      <c r="AH1444" s="2"/>
      <c r="AI1444" s="2"/>
    </row>
    <row r="1445" spans="1:35" ht="14.25" customHeight="1" x14ac:dyDescent="0.2">
      <c r="A1445" s="1">
        <v>33732</v>
      </c>
      <c r="B1445" s="1" t="s">
        <v>725</v>
      </c>
      <c r="C1445" s="1" t="s">
        <v>30</v>
      </c>
      <c r="D1445" s="2">
        <v>41879</v>
      </c>
      <c r="E1445" s="1" t="s">
        <v>22</v>
      </c>
      <c r="F1445" s="1" t="s">
        <v>500</v>
      </c>
      <c r="G1445" s="1">
        <v>33</v>
      </c>
      <c r="H1445" s="1">
        <v>9.65</v>
      </c>
      <c r="I1445" s="1">
        <f t="shared" si="66"/>
        <v>318.45</v>
      </c>
      <c r="J1445" t="str">
        <f t="shared" si="67"/>
        <v>Low</v>
      </c>
      <c r="K1445" s="1"/>
      <c r="L1445" s="1">
        <v>0.05</v>
      </c>
      <c r="M1445" s="1">
        <v>6.22</v>
      </c>
      <c r="N1445" s="1" t="s">
        <v>33</v>
      </c>
      <c r="O1445" s="1" t="s">
        <v>34</v>
      </c>
      <c r="P1445" s="2">
        <v>41880</v>
      </c>
      <c r="Q1445" s="2" t="b">
        <f t="shared" si="68"/>
        <v>0</v>
      </c>
      <c r="V1445" s="2"/>
      <c r="W1445" s="2"/>
      <c r="X1445" s="2"/>
      <c r="Y1445" s="2"/>
      <c r="Z1445" s="2"/>
      <c r="AA1445" s="2"/>
      <c r="AB1445" s="2"/>
      <c r="AC1445" s="2"/>
      <c r="AD1445" s="2"/>
      <c r="AE1445" s="2"/>
      <c r="AF1445" s="2"/>
      <c r="AG1445" s="2"/>
      <c r="AH1445" s="2"/>
      <c r="AI1445" s="2"/>
    </row>
    <row r="1446" spans="1:35" ht="14.25" customHeight="1" x14ac:dyDescent="0.2">
      <c r="A1446" s="1">
        <v>21479</v>
      </c>
      <c r="B1446" s="1" t="s">
        <v>1365</v>
      </c>
      <c r="C1446" s="1" t="s">
        <v>21</v>
      </c>
      <c r="D1446" s="2">
        <v>41879</v>
      </c>
      <c r="E1446" s="1" t="s">
        <v>101</v>
      </c>
      <c r="F1446" s="1" t="s">
        <v>1366</v>
      </c>
      <c r="G1446" s="1">
        <v>41</v>
      </c>
      <c r="H1446" s="1">
        <v>6.48</v>
      </c>
      <c r="I1446" s="1">
        <f t="shared" si="66"/>
        <v>265.68</v>
      </c>
      <c r="J1446" t="str">
        <f t="shared" si="67"/>
        <v>Low</v>
      </c>
      <c r="K1446" s="1"/>
      <c r="L1446" s="1">
        <v>0.01</v>
      </c>
      <c r="M1446" s="1">
        <v>6.57</v>
      </c>
      <c r="N1446" s="1" t="s">
        <v>25</v>
      </c>
      <c r="O1446" s="1" t="s">
        <v>34</v>
      </c>
      <c r="P1446" s="2">
        <v>41880</v>
      </c>
      <c r="Q1446" s="2" t="b">
        <f t="shared" si="68"/>
        <v>0</v>
      </c>
      <c r="V1446" s="2"/>
      <c r="W1446" s="2"/>
      <c r="X1446" s="2"/>
      <c r="Y1446" s="2"/>
      <c r="Z1446" s="2"/>
      <c r="AA1446" s="2"/>
      <c r="AB1446" s="2"/>
      <c r="AC1446" s="2"/>
      <c r="AD1446" s="2"/>
      <c r="AE1446" s="2"/>
      <c r="AF1446" s="2"/>
      <c r="AG1446" s="2"/>
      <c r="AH1446" s="2"/>
      <c r="AI1446" s="2"/>
    </row>
    <row r="1447" spans="1:35" ht="14.25" customHeight="1" x14ac:dyDescent="0.2">
      <c r="A1447" s="1">
        <v>33569</v>
      </c>
      <c r="B1447" s="1" t="s">
        <v>1367</v>
      </c>
      <c r="C1447" s="1" t="s">
        <v>30</v>
      </c>
      <c r="D1447" s="2">
        <v>41879</v>
      </c>
      <c r="E1447" s="1" t="s">
        <v>43</v>
      </c>
      <c r="F1447" s="1" t="s">
        <v>636</v>
      </c>
      <c r="G1447" s="1">
        <v>9</v>
      </c>
      <c r="H1447" s="1">
        <v>14.2</v>
      </c>
      <c r="I1447" s="1">
        <f t="shared" si="66"/>
        <v>127.8</v>
      </c>
      <c r="J1447" t="str">
        <f t="shared" si="67"/>
        <v>Low</v>
      </c>
      <c r="K1447" s="1"/>
      <c r="L1447" s="1">
        <v>0.09</v>
      </c>
      <c r="M1447" s="1">
        <v>5.3</v>
      </c>
      <c r="N1447" s="1" t="s">
        <v>33</v>
      </c>
      <c r="O1447" s="1" t="s">
        <v>55</v>
      </c>
      <c r="P1447" s="2">
        <v>41883</v>
      </c>
      <c r="Q1447" s="2" t="b">
        <f t="shared" si="68"/>
        <v>0</v>
      </c>
      <c r="V1447" s="2"/>
      <c r="W1447" s="2"/>
      <c r="X1447" s="2"/>
      <c r="Y1447" s="2"/>
      <c r="Z1447" s="2"/>
      <c r="AA1447" s="2"/>
      <c r="AB1447" s="2"/>
      <c r="AC1447" s="2"/>
      <c r="AD1447" s="2"/>
      <c r="AE1447" s="2"/>
      <c r="AF1447" s="2"/>
      <c r="AG1447" s="2"/>
      <c r="AH1447" s="2"/>
      <c r="AI1447" s="2"/>
    </row>
    <row r="1448" spans="1:35" ht="14.25" customHeight="1" x14ac:dyDescent="0.2">
      <c r="A1448" s="1">
        <v>47877</v>
      </c>
      <c r="B1448" s="1" t="s">
        <v>1070</v>
      </c>
      <c r="C1448" s="1" t="s">
        <v>21</v>
      </c>
      <c r="D1448" s="2">
        <v>41879</v>
      </c>
      <c r="E1448" s="1" t="s">
        <v>101</v>
      </c>
      <c r="F1448" s="1" t="s">
        <v>1368</v>
      </c>
      <c r="G1448" s="1">
        <v>16</v>
      </c>
      <c r="H1448" s="1">
        <v>17.239999999999998</v>
      </c>
      <c r="I1448" s="1">
        <f t="shared" si="66"/>
        <v>275.83999999999997</v>
      </c>
      <c r="J1448" t="str">
        <f t="shared" si="67"/>
        <v>Low</v>
      </c>
      <c r="K1448" s="1"/>
      <c r="L1448" s="1">
        <v>0.04</v>
      </c>
      <c r="M1448" s="1">
        <v>3.26</v>
      </c>
      <c r="N1448" s="1" t="s">
        <v>33</v>
      </c>
      <c r="O1448" s="1" t="s">
        <v>84</v>
      </c>
      <c r="P1448" s="2">
        <v>41882</v>
      </c>
      <c r="Q1448" s="2" t="b">
        <f t="shared" si="68"/>
        <v>0</v>
      </c>
      <c r="V1448" s="2"/>
      <c r="W1448" s="2"/>
      <c r="X1448" s="2"/>
      <c r="Y1448" s="2"/>
      <c r="Z1448" s="2"/>
      <c r="AA1448" s="2"/>
      <c r="AB1448" s="2"/>
      <c r="AC1448" s="2"/>
      <c r="AD1448" s="2"/>
      <c r="AE1448" s="2"/>
      <c r="AF1448" s="2"/>
      <c r="AG1448" s="2"/>
      <c r="AH1448" s="2"/>
      <c r="AI1448" s="2"/>
    </row>
    <row r="1449" spans="1:35" ht="14.25" customHeight="1" x14ac:dyDescent="0.2">
      <c r="A1449" s="1">
        <v>47877</v>
      </c>
      <c r="B1449" s="1" t="s">
        <v>1070</v>
      </c>
      <c r="C1449" s="1" t="s">
        <v>51</v>
      </c>
      <c r="D1449" s="2">
        <v>41879</v>
      </c>
      <c r="E1449" s="1" t="s">
        <v>101</v>
      </c>
      <c r="F1449" s="1" t="s">
        <v>362</v>
      </c>
      <c r="G1449" s="1">
        <v>19</v>
      </c>
      <c r="H1449" s="1">
        <v>218.75</v>
      </c>
      <c r="I1449" s="1">
        <f t="shared" si="66"/>
        <v>4156.25</v>
      </c>
      <c r="J1449" t="str">
        <f t="shared" si="67"/>
        <v>High</v>
      </c>
      <c r="K1449" s="1"/>
      <c r="L1449" s="1">
        <v>7.0000000000000007E-2</v>
      </c>
      <c r="M1449" s="1">
        <v>69.64</v>
      </c>
      <c r="N1449" s="1" t="s">
        <v>45</v>
      </c>
      <c r="O1449" s="1" t="s">
        <v>63</v>
      </c>
      <c r="P1449" s="2">
        <v>41881</v>
      </c>
      <c r="Q1449" s="2" t="b">
        <f t="shared" si="68"/>
        <v>0</v>
      </c>
      <c r="V1449" s="2"/>
      <c r="W1449" s="2"/>
      <c r="X1449" s="2"/>
      <c r="Y1449" s="2"/>
      <c r="Z1449" s="2"/>
      <c r="AA1449" s="2"/>
      <c r="AB1449" s="2"/>
      <c r="AC1449" s="2"/>
      <c r="AD1449" s="2"/>
      <c r="AE1449" s="2"/>
      <c r="AF1449" s="2"/>
      <c r="AG1449" s="2"/>
      <c r="AH1449" s="2"/>
      <c r="AI1449" s="2"/>
    </row>
    <row r="1450" spans="1:35" ht="14.25" customHeight="1" x14ac:dyDescent="0.2">
      <c r="A1450" s="1">
        <v>47877</v>
      </c>
      <c r="B1450" s="1" t="s">
        <v>1070</v>
      </c>
      <c r="C1450" s="1" t="s">
        <v>21</v>
      </c>
      <c r="D1450" s="2">
        <v>41879</v>
      </c>
      <c r="E1450" s="1" t="s">
        <v>101</v>
      </c>
      <c r="F1450" s="1" t="s">
        <v>1332</v>
      </c>
      <c r="G1450" s="1">
        <v>49</v>
      </c>
      <c r="H1450" s="1">
        <v>209.37</v>
      </c>
      <c r="I1450" s="1">
        <f t="shared" si="66"/>
        <v>10259.130000000001</v>
      </c>
      <c r="J1450" t="str">
        <f t="shared" si="67"/>
        <v>High</v>
      </c>
      <c r="K1450" s="1"/>
      <c r="L1450" s="1">
        <v>0.08</v>
      </c>
      <c r="M1450" s="1">
        <v>69</v>
      </c>
      <c r="N1450" s="1" t="s">
        <v>33</v>
      </c>
      <c r="O1450" s="1" t="s">
        <v>26</v>
      </c>
      <c r="P1450" s="2">
        <v>41881</v>
      </c>
      <c r="Q1450" s="2" t="b">
        <f t="shared" si="68"/>
        <v>0</v>
      </c>
      <c r="V1450" s="2"/>
      <c r="W1450" s="2"/>
      <c r="X1450" s="2"/>
      <c r="Y1450" s="2"/>
      <c r="Z1450" s="2"/>
      <c r="AA1450" s="2"/>
      <c r="AB1450" s="2"/>
      <c r="AC1450" s="2"/>
      <c r="AD1450" s="2"/>
      <c r="AE1450" s="2"/>
      <c r="AF1450" s="2"/>
      <c r="AG1450" s="2"/>
      <c r="AH1450" s="2"/>
      <c r="AI1450" s="2"/>
    </row>
    <row r="1451" spans="1:35" ht="14.25" customHeight="1" x14ac:dyDescent="0.2">
      <c r="A1451" s="1">
        <v>6727</v>
      </c>
      <c r="B1451" s="1" t="s">
        <v>804</v>
      </c>
      <c r="C1451" s="1" t="s">
        <v>30</v>
      </c>
      <c r="D1451" s="2">
        <v>41880</v>
      </c>
      <c r="E1451" s="1" t="s">
        <v>43</v>
      </c>
      <c r="F1451" s="1" t="s">
        <v>305</v>
      </c>
      <c r="G1451" s="1">
        <v>12</v>
      </c>
      <c r="H1451" s="1">
        <v>2.89</v>
      </c>
      <c r="I1451" s="1">
        <f t="shared" si="66"/>
        <v>34.68</v>
      </c>
      <c r="J1451" t="str">
        <f t="shared" si="67"/>
        <v>Low</v>
      </c>
      <c r="K1451" s="1"/>
      <c r="L1451" s="1">
        <v>0.06</v>
      </c>
      <c r="M1451" s="1">
        <v>0.5</v>
      </c>
      <c r="N1451" s="1" t="s">
        <v>33</v>
      </c>
      <c r="O1451" s="1" t="s">
        <v>34</v>
      </c>
      <c r="P1451" s="2">
        <v>41880</v>
      </c>
      <c r="Q1451" s="2" t="b">
        <f t="shared" si="68"/>
        <v>0</v>
      </c>
      <c r="V1451" s="2"/>
      <c r="W1451" s="2"/>
      <c r="X1451" s="2"/>
      <c r="Y1451" s="2"/>
      <c r="Z1451" s="2"/>
      <c r="AA1451" s="2"/>
      <c r="AB1451" s="2"/>
      <c r="AC1451" s="2"/>
      <c r="AD1451" s="2"/>
      <c r="AE1451" s="2"/>
      <c r="AF1451" s="2"/>
      <c r="AG1451" s="2"/>
      <c r="AH1451" s="2"/>
      <c r="AI1451" s="2"/>
    </row>
    <row r="1452" spans="1:35" ht="14.25" customHeight="1" x14ac:dyDescent="0.2">
      <c r="A1452" s="1">
        <v>18402</v>
      </c>
      <c r="B1452" s="1" t="s">
        <v>1294</v>
      </c>
      <c r="C1452" s="1" t="s">
        <v>51</v>
      </c>
      <c r="D1452" s="2">
        <v>41880</v>
      </c>
      <c r="E1452" s="1" t="s">
        <v>43</v>
      </c>
      <c r="F1452" s="1" t="s">
        <v>1084</v>
      </c>
      <c r="G1452" s="1">
        <v>5</v>
      </c>
      <c r="H1452" s="1">
        <v>284.98</v>
      </c>
      <c r="I1452" s="1">
        <f t="shared" si="66"/>
        <v>1424.9</v>
      </c>
      <c r="J1452" t="str">
        <f t="shared" si="67"/>
        <v>High</v>
      </c>
      <c r="K1452" s="1"/>
      <c r="L1452" s="1">
        <v>0.03</v>
      </c>
      <c r="M1452" s="1">
        <v>69.55</v>
      </c>
      <c r="N1452" s="1" t="s">
        <v>45</v>
      </c>
      <c r="O1452" s="1" t="s">
        <v>46</v>
      </c>
      <c r="P1452" s="2">
        <v>41887</v>
      </c>
      <c r="Q1452" s="2" t="b">
        <f t="shared" si="68"/>
        <v>0</v>
      </c>
      <c r="V1452" s="2"/>
      <c r="W1452" s="2"/>
      <c r="X1452" s="2"/>
      <c r="Y1452" s="2"/>
      <c r="Z1452" s="2"/>
      <c r="AA1452" s="2"/>
      <c r="AB1452" s="2"/>
      <c r="AC1452" s="2"/>
      <c r="AD1452" s="2"/>
      <c r="AE1452" s="2"/>
      <c r="AF1452" s="2"/>
      <c r="AG1452" s="2"/>
      <c r="AH1452" s="2"/>
      <c r="AI1452" s="2"/>
    </row>
    <row r="1453" spans="1:35" ht="14.25" customHeight="1" x14ac:dyDescent="0.2">
      <c r="A1453" s="1">
        <v>18402</v>
      </c>
      <c r="B1453" s="1" t="s">
        <v>1294</v>
      </c>
      <c r="C1453" s="1" t="s">
        <v>21</v>
      </c>
      <c r="D1453" s="2">
        <v>41880</v>
      </c>
      <c r="E1453" s="1" t="s">
        <v>43</v>
      </c>
      <c r="F1453" s="1" t="s">
        <v>180</v>
      </c>
      <c r="G1453" s="1">
        <v>3</v>
      </c>
      <c r="H1453" s="1">
        <v>12.99</v>
      </c>
      <c r="I1453" s="1">
        <f t="shared" si="66"/>
        <v>38.97</v>
      </c>
      <c r="J1453" t="str">
        <f t="shared" si="67"/>
        <v>Low</v>
      </c>
      <c r="K1453" s="1"/>
      <c r="L1453" s="1">
        <v>0</v>
      </c>
      <c r="M1453" s="1">
        <v>14.37</v>
      </c>
      <c r="N1453" s="1" t="s">
        <v>33</v>
      </c>
      <c r="O1453" s="1" t="s">
        <v>26</v>
      </c>
      <c r="P1453" s="2">
        <v>41880</v>
      </c>
      <c r="Q1453" s="2" t="b">
        <f t="shared" si="68"/>
        <v>0</v>
      </c>
      <c r="V1453" s="2"/>
      <c r="W1453" s="2"/>
      <c r="X1453" s="2"/>
      <c r="Y1453" s="2"/>
      <c r="Z1453" s="2"/>
      <c r="AA1453" s="2"/>
      <c r="AB1453" s="2"/>
      <c r="AC1453" s="2"/>
      <c r="AD1453" s="2"/>
      <c r="AE1453" s="2"/>
      <c r="AF1453" s="2"/>
      <c r="AG1453" s="2"/>
      <c r="AH1453" s="2"/>
      <c r="AI1453" s="2"/>
    </row>
    <row r="1454" spans="1:35" ht="14.25" customHeight="1" x14ac:dyDescent="0.2">
      <c r="A1454" s="1">
        <v>23652</v>
      </c>
      <c r="B1454" s="1" t="s">
        <v>948</v>
      </c>
      <c r="C1454" s="1" t="s">
        <v>21</v>
      </c>
      <c r="D1454" s="2">
        <v>41881</v>
      </c>
      <c r="E1454" s="1" t="s">
        <v>22</v>
      </c>
      <c r="F1454" s="1" t="s">
        <v>161</v>
      </c>
      <c r="G1454" s="1">
        <v>27</v>
      </c>
      <c r="H1454" s="1">
        <v>11.55</v>
      </c>
      <c r="I1454" s="1">
        <f t="shared" si="66"/>
        <v>311.85000000000002</v>
      </c>
      <c r="J1454" t="str">
        <f t="shared" si="67"/>
        <v>Low</v>
      </c>
      <c r="K1454" s="1"/>
      <c r="L1454" s="1">
        <v>0.1</v>
      </c>
      <c r="M1454" s="1">
        <v>2.36</v>
      </c>
      <c r="N1454" s="1" t="s">
        <v>33</v>
      </c>
      <c r="O1454" s="1" t="s">
        <v>55</v>
      </c>
      <c r="P1454" s="2">
        <v>41881</v>
      </c>
      <c r="Q1454" s="2" t="b">
        <f t="shared" si="68"/>
        <v>0</v>
      </c>
      <c r="V1454" s="2"/>
      <c r="W1454" s="2"/>
      <c r="X1454" s="2"/>
      <c r="Y1454" s="2"/>
      <c r="Z1454" s="2"/>
      <c r="AA1454" s="2"/>
      <c r="AB1454" s="2"/>
      <c r="AC1454" s="2"/>
      <c r="AD1454" s="2"/>
      <c r="AE1454" s="2"/>
      <c r="AF1454" s="2"/>
      <c r="AG1454" s="2"/>
      <c r="AH1454" s="2"/>
      <c r="AI1454" s="2"/>
    </row>
    <row r="1455" spans="1:35" ht="14.25" customHeight="1" x14ac:dyDescent="0.2">
      <c r="A1455" s="1">
        <v>53123</v>
      </c>
      <c r="B1455" s="1" t="s">
        <v>1369</v>
      </c>
      <c r="C1455" s="1" t="s">
        <v>21</v>
      </c>
      <c r="D1455" s="2">
        <v>41882</v>
      </c>
      <c r="E1455" s="1" t="s">
        <v>22</v>
      </c>
      <c r="F1455" s="1" t="s">
        <v>1370</v>
      </c>
      <c r="G1455" s="1">
        <v>25</v>
      </c>
      <c r="H1455" s="1">
        <v>10.98</v>
      </c>
      <c r="I1455" s="1">
        <f t="shared" si="66"/>
        <v>274.5</v>
      </c>
      <c r="J1455" t="str">
        <f t="shared" si="67"/>
        <v>Low</v>
      </c>
      <c r="K1455" s="1"/>
      <c r="L1455" s="1">
        <v>0.06</v>
      </c>
      <c r="M1455" s="1">
        <v>5.14</v>
      </c>
      <c r="N1455" s="1" t="s">
        <v>33</v>
      </c>
      <c r="O1455" s="1" t="s">
        <v>34</v>
      </c>
      <c r="P1455" s="2">
        <v>41884</v>
      </c>
      <c r="Q1455" s="2" t="b">
        <f t="shared" si="68"/>
        <v>0</v>
      </c>
      <c r="V1455" s="2"/>
      <c r="W1455" s="2"/>
      <c r="X1455" s="2"/>
      <c r="Y1455" s="2"/>
      <c r="Z1455" s="2"/>
      <c r="AA1455" s="2"/>
      <c r="AB1455" s="2"/>
      <c r="AC1455" s="2"/>
      <c r="AD1455" s="2"/>
      <c r="AE1455" s="2"/>
      <c r="AF1455" s="2"/>
      <c r="AG1455" s="2"/>
      <c r="AH1455" s="2"/>
      <c r="AI1455" s="2"/>
    </row>
    <row r="1456" spans="1:35" ht="14.25" customHeight="1" x14ac:dyDescent="0.2">
      <c r="A1456" s="1">
        <v>1031</v>
      </c>
      <c r="B1456" s="1" t="s">
        <v>232</v>
      </c>
      <c r="C1456" s="1" t="s">
        <v>30</v>
      </c>
      <c r="D1456" s="2">
        <v>41882</v>
      </c>
      <c r="E1456" s="1" t="s">
        <v>101</v>
      </c>
      <c r="F1456" s="1" t="s">
        <v>430</v>
      </c>
      <c r="G1456" s="1">
        <v>34</v>
      </c>
      <c r="H1456" s="1">
        <v>6.37</v>
      </c>
      <c r="I1456" s="1">
        <f t="shared" si="66"/>
        <v>216.58</v>
      </c>
      <c r="J1456" t="str">
        <f t="shared" si="67"/>
        <v>Low</v>
      </c>
      <c r="K1456" s="1"/>
      <c r="L1456" s="1">
        <v>0</v>
      </c>
      <c r="M1456" s="1">
        <v>5.19</v>
      </c>
      <c r="N1456" s="1" t="s">
        <v>33</v>
      </c>
      <c r="O1456" s="1" t="s">
        <v>34</v>
      </c>
      <c r="P1456" s="2">
        <v>41884</v>
      </c>
      <c r="Q1456" s="2" t="b">
        <f t="shared" si="68"/>
        <v>0</v>
      </c>
      <c r="V1456" s="2"/>
      <c r="W1456" s="2"/>
      <c r="X1456" s="2"/>
      <c r="Y1456" s="2"/>
      <c r="Z1456" s="2"/>
      <c r="AA1456" s="2"/>
      <c r="AB1456" s="2"/>
      <c r="AC1456" s="2"/>
      <c r="AD1456" s="2"/>
      <c r="AE1456" s="2"/>
      <c r="AF1456" s="2"/>
      <c r="AG1456" s="2"/>
      <c r="AH1456" s="2"/>
      <c r="AI1456" s="2"/>
    </row>
    <row r="1457" spans="1:35" ht="14.25" customHeight="1" x14ac:dyDescent="0.2">
      <c r="A1457" s="1">
        <v>20390</v>
      </c>
      <c r="B1457" s="1" t="s">
        <v>138</v>
      </c>
      <c r="C1457" s="1" t="s">
        <v>51</v>
      </c>
      <c r="D1457" s="2">
        <v>41882</v>
      </c>
      <c r="E1457" s="1" t="s">
        <v>22</v>
      </c>
      <c r="F1457" s="1" t="s">
        <v>575</v>
      </c>
      <c r="G1457" s="1">
        <v>35</v>
      </c>
      <c r="H1457" s="1">
        <v>34.979999999999997</v>
      </c>
      <c r="I1457" s="1">
        <f t="shared" si="66"/>
        <v>1224.3</v>
      </c>
      <c r="J1457" t="str">
        <f t="shared" si="67"/>
        <v>High</v>
      </c>
      <c r="K1457" s="1"/>
      <c r="L1457" s="1">
        <v>0.05</v>
      </c>
      <c r="M1457" s="1">
        <v>7.53</v>
      </c>
      <c r="N1457" s="1" t="s">
        <v>25</v>
      </c>
      <c r="O1457" s="1" t="s">
        <v>34</v>
      </c>
      <c r="P1457" s="2">
        <v>41885</v>
      </c>
      <c r="Q1457" s="2" t="b">
        <f t="shared" si="68"/>
        <v>0</v>
      </c>
      <c r="V1457" s="2"/>
      <c r="W1457" s="2"/>
      <c r="X1457" s="2"/>
      <c r="Y1457" s="2"/>
      <c r="Z1457" s="2"/>
      <c r="AA1457" s="2"/>
      <c r="AB1457" s="2"/>
      <c r="AC1457" s="2"/>
      <c r="AD1457" s="2"/>
      <c r="AE1457" s="2"/>
      <c r="AF1457" s="2"/>
      <c r="AG1457" s="2"/>
      <c r="AH1457" s="2"/>
      <c r="AI1457" s="2"/>
    </row>
    <row r="1458" spans="1:35" ht="14.25" customHeight="1" x14ac:dyDescent="0.2">
      <c r="A1458" s="1">
        <v>20390</v>
      </c>
      <c r="B1458" s="1" t="s">
        <v>138</v>
      </c>
      <c r="C1458" s="1" t="s">
        <v>51</v>
      </c>
      <c r="D1458" s="2">
        <v>41882</v>
      </c>
      <c r="E1458" s="1" t="s">
        <v>22</v>
      </c>
      <c r="F1458" s="1" t="s">
        <v>1371</v>
      </c>
      <c r="G1458" s="1">
        <v>17</v>
      </c>
      <c r="H1458" s="1">
        <v>3.14</v>
      </c>
      <c r="I1458" s="1">
        <f t="shared" si="66"/>
        <v>53.38</v>
      </c>
      <c r="J1458" t="str">
        <f t="shared" si="67"/>
        <v>Low</v>
      </c>
      <c r="K1458" s="1"/>
      <c r="L1458" s="1">
        <v>0</v>
      </c>
      <c r="M1458" s="1">
        <v>1.92</v>
      </c>
      <c r="N1458" s="1" t="s">
        <v>33</v>
      </c>
      <c r="O1458" s="1" t="s">
        <v>55</v>
      </c>
      <c r="P1458" s="2">
        <v>41884</v>
      </c>
      <c r="Q1458" s="2" t="b">
        <f t="shared" si="68"/>
        <v>0</v>
      </c>
      <c r="V1458" s="2"/>
      <c r="W1458" s="2"/>
      <c r="X1458" s="2"/>
      <c r="Y1458" s="2"/>
      <c r="Z1458" s="2"/>
      <c r="AA1458" s="2"/>
      <c r="AB1458" s="2"/>
      <c r="AC1458" s="2"/>
      <c r="AD1458" s="2"/>
      <c r="AE1458" s="2"/>
      <c r="AF1458" s="2"/>
      <c r="AG1458" s="2"/>
      <c r="AH1458" s="2"/>
      <c r="AI1458" s="2"/>
    </row>
    <row r="1459" spans="1:35" ht="14.25" customHeight="1" x14ac:dyDescent="0.2">
      <c r="A1459" s="1">
        <v>14756</v>
      </c>
      <c r="B1459" s="1" t="s">
        <v>1372</v>
      </c>
      <c r="C1459" s="1" t="s">
        <v>21</v>
      </c>
      <c r="D1459" s="2">
        <v>41882</v>
      </c>
      <c r="E1459" s="1" t="s">
        <v>43</v>
      </c>
      <c r="F1459" s="1" t="s">
        <v>505</v>
      </c>
      <c r="G1459" s="1">
        <v>2</v>
      </c>
      <c r="H1459" s="1">
        <v>19.23</v>
      </c>
      <c r="I1459" s="1">
        <f t="shared" si="66"/>
        <v>38.46</v>
      </c>
      <c r="J1459" t="str">
        <f t="shared" si="67"/>
        <v>Low</v>
      </c>
      <c r="K1459" s="1"/>
      <c r="L1459" s="1">
        <v>0.06</v>
      </c>
      <c r="M1459" s="1">
        <v>6.15</v>
      </c>
      <c r="N1459" s="1" t="s">
        <v>33</v>
      </c>
      <c r="O1459" s="1" t="s">
        <v>84</v>
      </c>
      <c r="P1459" s="2">
        <v>41882</v>
      </c>
      <c r="Q1459" s="2" t="b">
        <f t="shared" si="68"/>
        <v>0</v>
      </c>
      <c r="V1459" s="2"/>
      <c r="W1459" s="2"/>
      <c r="X1459" s="2"/>
      <c r="Y1459" s="2"/>
      <c r="Z1459" s="2"/>
      <c r="AA1459" s="2"/>
      <c r="AB1459" s="2"/>
      <c r="AC1459" s="2"/>
      <c r="AD1459" s="2"/>
      <c r="AE1459" s="2"/>
      <c r="AF1459" s="2"/>
      <c r="AG1459" s="2"/>
      <c r="AH1459" s="2"/>
      <c r="AI1459" s="2"/>
    </row>
    <row r="1460" spans="1:35" ht="14.25" customHeight="1" x14ac:dyDescent="0.2">
      <c r="A1460" s="1">
        <v>20128</v>
      </c>
      <c r="B1460" s="1" t="s">
        <v>1373</v>
      </c>
      <c r="C1460" s="1" t="s">
        <v>30</v>
      </c>
      <c r="D1460" s="2">
        <v>41882</v>
      </c>
      <c r="E1460" s="1" t="s">
        <v>22</v>
      </c>
      <c r="F1460" s="1" t="s">
        <v>1363</v>
      </c>
      <c r="G1460" s="1">
        <v>32</v>
      </c>
      <c r="H1460" s="1">
        <v>8.5</v>
      </c>
      <c r="I1460" s="1">
        <f t="shared" si="66"/>
        <v>272</v>
      </c>
      <c r="J1460" t="str">
        <f t="shared" si="67"/>
        <v>Low</v>
      </c>
      <c r="K1460" s="1"/>
      <c r="L1460" s="1">
        <v>0</v>
      </c>
      <c r="M1460" s="1">
        <v>1.99</v>
      </c>
      <c r="N1460" s="1" t="s">
        <v>33</v>
      </c>
      <c r="O1460" s="1" t="s">
        <v>84</v>
      </c>
      <c r="P1460" s="2">
        <v>41884</v>
      </c>
      <c r="Q1460" s="2" t="b">
        <f t="shared" si="68"/>
        <v>0</v>
      </c>
      <c r="V1460" s="2"/>
      <c r="W1460" s="2"/>
      <c r="X1460" s="2"/>
      <c r="Y1460" s="2"/>
      <c r="Z1460" s="2"/>
      <c r="AA1460" s="2"/>
      <c r="AB1460" s="2"/>
      <c r="AC1460" s="2"/>
      <c r="AD1460" s="2"/>
      <c r="AE1460" s="2"/>
      <c r="AF1460" s="2"/>
      <c r="AG1460" s="2"/>
      <c r="AH1460" s="2"/>
      <c r="AI1460" s="2"/>
    </row>
    <row r="1461" spans="1:35" ht="14.25" customHeight="1" x14ac:dyDescent="0.2">
      <c r="A1461" s="1">
        <v>20128</v>
      </c>
      <c r="B1461" s="1" t="s">
        <v>1373</v>
      </c>
      <c r="C1461" s="1" t="s">
        <v>51</v>
      </c>
      <c r="D1461" s="2">
        <v>41882</v>
      </c>
      <c r="E1461" s="1" t="s">
        <v>22</v>
      </c>
      <c r="F1461" s="1" t="s">
        <v>1374</v>
      </c>
      <c r="G1461" s="1">
        <v>5</v>
      </c>
      <c r="H1461" s="1">
        <v>95.43</v>
      </c>
      <c r="I1461" s="1">
        <f t="shared" si="66"/>
        <v>477.15000000000003</v>
      </c>
      <c r="J1461" t="str">
        <f t="shared" si="67"/>
        <v>Low</v>
      </c>
      <c r="K1461" s="1"/>
      <c r="L1461" s="1">
        <v>0.03</v>
      </c>
      <c r="M1461" s="1">
        <v>19.989999999999998</v>
      </c>
      <c r="N1461" s="1" t="s">
        <v>33</v>
      </c>
      <c r="O1461" s="1" t="s">
        <v>34</v>
      </c>
      <c r="P1461" s="2">
        <v>41884</v>
      </c>
      <c r="Q1461" s="2" t="b">
        <f t="shared" si="68"/>
        <v>0</v>
      </c>
      <c r="V1461" s="2"/>
      <c r="W1461" s="2"/>
      <c r="X1461" s="2"/>
      <c r="Y1461" s="2"/>
      <c r="Z1461" s="2"/>
      <c r="AA1461" s="2"/>
      <c r="AB1461" s="2"/>
      <c r="AC1461" s="2"/>
      <c r="AD1461" s="2"/>
      <c r="AE1461" s="2"/>
      <c r="AF1461" s="2"/>
      <c r="AG1461" s="2"/>
      <c r="AH1461" s="2"/>
      <c r="AI1461" s="2"/>
    </row>
    <row r="1462" spans="1:35" ht="14.25" customHeight="1" x14ac:dyDescent="0.2">
      <c r="A1462" s="1">
        <v>47974</v>
      </c>
      <c r="B1462" s="1" t="s">
        <v>486</v>
      </c>
      <c r="C1462" s="1" t="s">
        <v>30</v>
      </c>
      <c r="D1462" s="2">
        <v>41882</v>
      </c>
      <c r="E1462" s="1" t="s">
        <v>101</v>
      </c>
      <c r="F1462" s="1" t="s">
        <v>1151</v>
      </c>
      <c r="G1462" s="1">
        <v>6</v>
      </c>
      <c r="H1462" s="1">
        <v>2.78</v>
      </c>
      <c r="I1462" s="1">
        <f t="shared" si="66"/>
        <v>16.68</v>
      </c>
      <c r="J1462" t="str">
        <f t="shared" si="67"/>
        <v>Low</v>
      </c>
      <c r="K1462" s="1"/>
      <c r="L1462" s="1">
        <v>0.01</v>
      </c>
      <c r="M1462" s="1">
        <v>1.34</v>
      </c>
      <c r="N1462" s="1" t="s">
        <v>33</v>
      </c>
      <c r="O1462" s="1" t="s">
        <v>55</v>
      </c>
      <c r="P1462" s="2">
        <v>41884</v>
      </c>
      <c r="Q1462" s="2" t="b">
        <f t="shared" si="68"/>
        <v>0</v>
      </c>
      <c r="V1462" s="2"/>
      <c r="W1462" s="2"/>
      <c r="X1462" s="2"/>
      <c r="Y1462" s="2"/>
      <c r="Z1462" s="2"/>
      <c r="AA1462" s="2"/>
      <c r="AB1462" s="2"/>
      <c r="AC1462" s="2"/>
      <c r="AD1462" s="2"/>
      <c r="AE1462" s="2"/>
      <c r="AF1462" s="2"/>
      <c r="AG1462" s="2"/>
      <c r="AH1462" s="2"/>
      <c r="AI1462" s="2"/>
    </row>
    <row r="1463" spans="1:35" ht="14.25" customHeight="1" x14ac:dyDescent="0.2">
      <c r="A1463" s="1">
        <v>27555</v>
      </c>
      <c r="B1463" s="1" t="s">
        <v>1375</v>
      </c>
      <c r="C1463" s="1" t="s">
        <v>30</v>
      </c>
      <c r="D1463" s="2">
        <v>41883</v>
      </c>
      <c r="E1463" s="1" t="s">
        <v>38</v>
      </c>
      <c r="F1463" s="1" t="s">
        <v>1376</v>
      </c>
      <c r="G1463" s="1">
        <v>32</v>
      </c>
      <c r="H1463" s="1">
        <v>6.74</v>
      </c>
      <c r="I1463" s="1">
        <f t="shared" si="66"/>
        <v>215.68</v>
      </c>
      <c r="J1463" t="str">
        <f t="shared" si="67"/>
        <v>Low</v>
      </c>
      <c r="K1463" s="1"/>
      <c r="L1463" s="1">
        <v>0.1</v>
      </c>
      <c r="M1463" s="1">
        <v>1.72</v>
      </c>
      <c r="N1463" s="1" t="s">
        <v>33</v>
      </c>
      <c r="O1463" s="1" t="s">
        <v>55</v>
      </c>
      <c r="P1463" s="2">
        <v>41885</v>
      </c>
      <c r="Q1463" s="2" t="b">
        <f t="shared" si="68"/>
        <v>0</v>
      </c>
      <c r="V1463" s="2"/>
      <c r="W1463" s="2"/>
      <c r="X1463" s="2"/>
      <c r="Y1463" s="2"/>
      <c r="Z1463" s="2"/>
      <c r="AA1463" s="2"/>
      <c r="AB1463" s="2"/>
      <c r="AC1463" s="2"/>
      <c r="AD1463" s="2"/>
      <c r="AE1463" s="2"/>
      <c r="AF1463" s="2"/>
      <c r="AG1463" s="2"/>
      <c r="AH1463" s="2"/>
      <c r="AI1463" s="2"/>
    </row>
    <row r="1464" spans="1:35" ht="14.25" customHeight="1" x14ac:dyDescent="0.2">
      <c r="A1464" s="1">
        <v>45988</v>
      </c>
      <c r="B1464" s="1" t="s">
        <v>827</v>
      </c>
      <c r="C1464" s="1" t="s">
        <v>30</v>
      </c>
      <c r="D1464" s="2">
        <v>41883</v>
      </c>
      <c r="E1464" s="1" t="s">
        <v>38</v>
      </c>
      <c r="F1464" s="1" t="s">
        <v>326</v>
      </c>
      <c r="G1464" s="1">
        <v>43</v>
      </c>
      <c r="H1464" s="1">
        <v>90.98</v>
      </c>
      <c r="I1464" s="1">
        <f t="shared" si="66"/>
        <v>3912.1400000000003</v>
      </c>
      <c r="J1464" t="str">
        <f t="shared" si="67"/>
        <v>High</v>
      </c>
      <c r="K1464" s="1"/>
      <c r="L1464" s="1">
        <v>0.09</v>
      </c>
      <c r="M1464" s="1">
        <v>56.2</v>
      </c>
      <c r="N1464" s="1" t="s">
        <v>25</v>
      </c>
      <c r="O1464" s="1" t="s">
        <v>72</v>
      </c>
      <c r="P1464" s="2">
        <v>41884</v>
      </c>
      <c r="Q1464" s="2" t="b">
        <f t="shared" si="68"/>
        <v>0</v>
      </c>
      <c r="V1464" s="2"/>
      <c r="W1464" s="2"/>
      <c r="X1464" s="2"/>
      <c r="Y1464" s="2"/>
      <c r="Z1464" s="2"/>
      <c r="AA1464" s="2"/>
      <c r="AB1464" s="2"/>
      <c r="AC1464" s="2"/>
      <c r="AD1464" s="2"/>
      <c r="AE1464" s="2"/>
      <c r="AF1464" s="2"/>
      <c r="AG1464" s="2"/>
      <c r="AH1464" s="2"/>
      <c r="AI1464" s="2"/>
    </row>
    <row r="1465" spans="1:35" ht="14.25" customHeight="1" x14ac:dyDescent="0.2">
      <c r="A1465" s="1">
        <v>1985</v>
      </c>
      <c r="B1465" s="1" t="s">
        <v>1377</v>
      </c>
      <c r="C1465" s="1" t="s">
        <v>21</v>
      </c>
      <c r="D1465" s="2">
        <v>41883</v>
      </c>
      <c r="E1465" s="1" t="s">
        <v>22</v>
      </c>
      <c r="F1465" s="1" t="s">
        <v>1241</v>
      </c>
      <c r="G1465" s="1">
        <v>1</v>
      </c>
      <c r="H1465" s="1">
        <v>5.78</v>
      </c>
      <c r="I1465" s="1">
        <f t="shared" si="66"/>
        <v>5.78</v>
      </c>
      <c r="J1465" t="str">
        <f t="shared" si="67"/>
        <v>Low</v>
      </c>
      <c r="K1465" s="1"/>
      <c r="L1465" s="1">
        <v>0.09</v>
      </c>
      <c r="M1465" s="1">
        <v>5.67</v>
      </c>
      <c r="N1465" s="1" t="s">
        <v>33</v>
      </c>
      <c r="O1465" s="1" t="s">
        <v>34</v>
      </c>
      <c r="P1465" s="2">
        <v>41885</v>
      </c>
      <c r="Q1465" s="2" t="b">
        <f t="shared" si="68"/>
        <v>0</v>
      </c>
      <c r="V1465" s="2"/>
      <c r="W1465" s="2"/>
      <c r="X1465" s="2"/>
      <c r="Y1465" s="2"/>
      <c r="Z1465" s="2"/>
      <c r="AA1465" s="2"/>
      <c r="AB1465" s="2"/>
      <c r="AC1465" s="2"/>
      <c r="AD1465" s="2"/>
      <c r="AE1465" s="2"/>
      <c r="AF1465" s="2"/>
      <c r="AG1465" s="2"/>
      <c r="AH1465" s="2"/>
      <c r="AI1465" s="2"/>
    </row>
    <row r="1466" spans="1:35" ht="14.25" customHeight="1" x14ac:dyDescent="0.2">
      <c r="A1466" s="1">
        <v>1985</v>
      </c>
      <c r="B1466" s="1" t="s">
        <v>1377</v>
      </c>
      <c r="C1466" s="1" t="s">
        <v>21</v>
      </c>
      <c r="D1466" s="2">
        <v>41883</v>
      </c>
      <c r="E1466" s="1" t="s">
        <v>22</v>
      </c>
      <c r="F1466" s="1" t="s">
        <v>1378</v>
      </c>
      <c r="G1466" s="1">
        <v>33</v>
      </c>
      <c r="H1466" s="1">
        <v>535.64</v>
      </c>
      <c r="I1466" s="1">
        <f t="shared" si="66"/>
        <v>17676.12</v>
      </c>
      <c r="J1466" t="str">
        <f t="shared" si="67"/>
        <v>High</v>
      </c>
      <c r="K1466" s="1"/>
      <c r="L1466" s="1">
        <v>0.05</v>
      </c>
      <c r="M1466" s="1">
        <v>14.7</v>
      </c>
      <c r="N1466" s="1" t="s">
        <v>45</v>
      </c>
      <c r="O1466" s="1" t="s">
        <v>46</v>
      </c>
      <c r="P1466" s="2">
        <v>41885</v>
      </c>
      <c r="Q1466" s="2" t="b">
        <f t="shared" si="68"/>
        <v>0</v>
      </c>
      <c r="V1466" s="2"/>
      <c r="W1466" s="2"/>
      <c r="X1466" s="2"/>
      <c r="Y1466" s="2"/>
      <c r="Z1466" s="2"/>
      <c r="AA1466" s="2"/>
      <c r="AB1466" s="2"/>
      <c r="AC1466" s="2"/>
      <c r="AD1466" s="2"/>
      <c r="AE1466" s="2"/>
      <c r="AF1466" s="2"/>
      <c r="AG1466" s="2"/>
      <c r="AH1466" s="2"/>
      <c r="AI1466" s="2"/>
    </row>
    <row r="1467" spans="1:35" ht="14.25" customHeight="1" x14ac:dyDescent="0.2">
      <c r="A1467" s="1">
        <v>14055</v>
      </c>
      <c r="B1467" s="1" t="s">
        <v>545</v>
      </c>
      <c r="C1467" s="1" t="s">
        <v>30</v>
      </c>
      <c r="D1467" s="2">
        <v>41883</v>
      </c>
      <c r="E1467" s="1" t="s">
        <v>31</v>
      </c>
      <c r="F1467" s="1" t="s">
        <v>1379</v>
      </c>
      <c r="G1467" s="1">
        <v>21</v>
      </c>
      <c r="H1467" s="1">
        <v>22.23</v>
      </c>
      <c r="I1467" s="1">
        <f t="shared" si="66"/>
        <v>466.83</v>
      </c>
      <c r="J1467" t="str">
        <f t="shared" si="67"/>
        <v>Low</v>
      </c>
      <c r="K1467" s="1"/>
      <c r="L1467" s="1">
        <v>0.08</v>
      </c>
      <c r="M1467" s="1">
        <v>3.63</v>
      </c>
      <c r="N1467" s="1" t="s">
        <v>33</v>
      </c>
      <c r="O1467" s="1" t="s">
        <v>84</v>
      </c>
      <c r="P1467" s="2">
        <v>41885</v>
      </c>
      <c r="Q1467" s="2" t="b">
        <f t="shared" si="68"/>
        <v>0</v>
      </c>
      <c r="V1467" s="2"/>
      <c r="W1467" s="2"/>
      <c r="X1467" s="2"/>
      <c r="Y1467" s="2"/>
      <c r="Z1467" s="2"/>
      <c r="AA1467" s="2"/>
      <c r="AB1467" s="2"/>
      <c r="AC1467" s="2"/>
      <c r="AD1467" s="2"/>
      <c r="AE1467" s="2"/>
      <c r="AF1467" s="2"/>
      <c r="AG1467" s="2"/>
      <c r="AH1467" s="2"/>
      <c r="AI1467" s="2"/>
    </row>
    <row r="1468" spans="1:35" ht="14.25" customHeight="1" x14ac:dyDescent="0.2">
      <c r="A1468" s="1">
        <v>54464</v>
      </c>
      <c r="B1468" s="1" t="s">
        <v>1253</v>
      </c>
      <c r="C1468" s="1" t="s">
        <v>30</v>
      </c>
      <c r="D1468" s="2">
        <v>41883</v>
      </c>
      <c r="E1468" s="1" t="s">
        <v>31</v>
      </c>
      <c r="F1468" s="1" t="s">
        <v>842</v>
      </c>
      <c r="G1468" s="1">
        <v>11</v>
      </c>
      <c r="H1468" s="1">
        <v>19.98</v>
      </c>
      <c r="I1468" s="1">
        <f t="shared" si="66"/>
        <v>219.78</v>
      </c>
      <c r="J1468" t="str">
        <f t="shared" si="67"/>
        <v>Low</v>
      </c>
      <c r="K1468" s="1"/>
      <c r="L1468" s="1">
        <v>0.06</v>
      </c>
      <c r="M1468" s="1">
        <v>10.49</v>
      </c>
      <c r="N1468" s="1" t="s">
        <v>33</v>
      </c>
      <c r="O1468" s="1" t="s">
        <v>34</v>
      </c>
      <c r="P1468" s="2">
        <v>41885</v>
      </c>
      <c r="Q1468" s="2" t="b">
        <f t="shared" si="68"/>
        <v>0</v>
      </c>
      <c r="V1468" s="2"/>
      <c r="W1468" s="2"/>
      <c r="X1468" s="2"/>
      <c r="Y1468" s="2"/>
      <c r="Z1468" s="2"/>
      <c r="AA1468" s="2"/>
      <c r="AB1468" s="2"/>
      <c r="AC1468" s="2"/>
      <c r="AD1468" s="2"/>
      <c r="AE1468" s="2"/>
      <c r="AF1468" s="2"/>
      <c r="AG1468" s="2"/>
      <c r="AH1468" s="2"/>
      <c r="AI1468" s="2"/>
    </row>
    <row r="1469" spans="1:35" ht="14.25" customHeight="1" x14ac:dyDescent="0.2">
      <c r="A1469" s="1">
        <v>54464</v>
      </c>
      <c r="B1469" s="1" t="s">
        <v>1253</v>
      </c>
      <c r="C1469" s="1" t="s">
        <v>51</v>
      </c>
      <c r="D1469" s="2">
        <v>41883</v>
      </c>
      <c r="E1469" s="1" t="s">
        <v>31</v>
      </c>
      <c r="F1469" s="1" t="s">
        <v>824</v>
      </c>
      <c r="G1469" s="1">
        <v>50</v>
      </c>
      <c r="H1469" s="1">
        <v>1.76</v>
      </c>
      <c r="I1469" s="1">
        <f t="shared" si="66"/>
        <v>88</v>
      </c>
      <c r="J1469" t="str">
        <f t="shared" si="67"/>
        <v>Low</v>
      </c>
      <c r="K1469" s="1"/>
      <c r="L1469" s="1">
        <v>0.08</v>
      </c>
      <c r="M1469" s="1">
        <v>4.8600000000000003</v>
      </c>
      <c r="N1469" s="1" t="s">
        <v>33</v>
      </c>
      <c r="O1469" s="1" t="s">
        <v>34</v>
      </c>
      <c r="P1469" s="2">
        <v>41884</v>
      </c>
      <c r="Q1469" s="2" t="b">
        <f t="shared" si="68"/>
        <v>0</v>
      </c>
      <c r="V1469" s="2"/>
      <c r="W1469" s="2"/>
      <c r="X1469" s="2"/>
      <c r="Y1469" s="2"/>
      <c r="Z1469" s="2"/>
      <c r="AA1469" s="2"/>
      <c r="AB1469" s="2"/>
      <c r="AC1469" s="2"/>
      <c r="AD1469" s="2"/>
      <c r="AE1469" s="2"/>
      <c r="AF1469" s="2"/>
      <c r="AG1469" s="2"/>
      <c r="AH1469" s="2"/>
      <c r="AI1469" s="2"/>
    </row>
    <row r="1470" spans="1:35" ht="14.25" customHeight="1" x14ac:dyDescent="0.2">
      <c r="A1470" s="1">
        <v>47173</v>
      </c>
      <c r="B1470" s="1" t="s">
        <v>983</v>
      </c>
      <c r="C1470" s="1" t="s">
        <v>30</v>
      </c>
      <c r="D1470" s="2">
        <v>41883</v>
      </c>
      <c r="E1470" s="1" t="s">
        <v>22</v>
      </c>
      <c r="F1470" s="1" t="s">
        <v>1224</v>
      </c>
      <c r="G1470" s="1">
        <v>41</v>
      </c>
      <c r="H1470" s="1">
        <v>7.99</v>
      </c>
      <c r="I1470" s="1">
        <f t="shared" si="66"/>
        <v>327.59000000000003</v>
      </c>
      <c r="J1470" t="str">
        <f t="shared" si="67"/>
        <v>Low</v>
      </c>
      <c r="K1470" s="1"/>
      <c r="L1470" s="1">
        <v>0.03</v>
      </c>
      <c r="M1470" s="1">
        <v>5.03</v>
      </c>
      <c r="N1470" s="1" t="s">
        <v>33</v>
      </c>
      <c r="O1470" s="1" t="s">
        <v>72</v>
      </c>
      <c r="P1470" s="2">
        <v>41885</v>
      </c>
      <c r="Q1470" s="2" t="b">
        <f t="shared" si="68"/>
        <v>0</v>
      </c>
      <c r="V1470" s="2"/>
      <c r="W1470" s="2"/>
      <c r="X1470" s="2"/>
      <c r="Y1470" s="2"/>
      <c r="Z1470" s="2"/>
      <c r="AA1470" s="2"/>
      <c r="AB1470" s="2"/>
      <c r="AC1470" s="2"/>
      <c r="AD1470" s="2"/>
      <c r="AE1470" s="2"/>
      <c r="AF1470" s="2"/>
      <c r="AG1470" s="2"/>
      <c r="AH1470" s="2"/>
      <c r="AI1470" s="2"/>
    </row>
    <row r="1471" spans="1:35" ht="14.25" customHeight="1" x14ac:dyDescent="0.2">
      <c r="A1471" s="1">
        <v>51619</v>
      </c>
      <c r="B1471" s="1" t="s">
        <v>917</v>
      </c>
      <c r="C1471" s="1" t="s">
        <v>51</v>
      </c>
      <c r="D1471" s="2">
        <v>41884</v>
      </c>
      <c r="E1471" s="1" t="s">
        <v>22</v>
      </c>
      <c r="F1471" s="1" t="s">
        <v>1380</v>
      </c>
      <c r="G1471" s="1">
        <v>46</v>
      </c>
      <c r="H1471" s="1">
        <v>2.21</v>
      </c>
      <c r="I1471" s="1">
        <f t="shared" si="66"/>
        <v>101.66</v>
      </c>
      <c r="J1471" t="str">
        <f t="shared" si="67"/>
        <v>Low</v>
      </c>
      <c r="K1471" s="1"/>
      <c r="L1471" s="1">
        <v>0.03</v>
      </c>
      <c r="M1471" s="1">
        <v>1</v>
      </c>
      <c r="N1471" s="1" t="s">
        <v>33</v>
      </c>
      <c r="O1471" s="1" t="s">
        <v>55</v>
      </c>
      <c r="P1471" s="2">
        <v>41885</v>
      </c>
      <c r="Q1471" s="2" t="b">
        <f t="shared" si="68"/>
        <v>0</v>
      </c>
      <c r="V1471" s="2"/>
      <c r="W1471" s="2"/>
      <c r="X1471" s="2"/>
      <c r="Y1471" s="2"/>
      <c r="Z1471" s="2"/>
      <c r="AA1471" s="2"/>
      <c r="AB1471" s="2"/>
      <c r="AC1471" s="2"/>
      <c r="AD1471" s="2"/>
      <c r="AE1471" s="2"/>
      <c r="AF1471" s="2"/>
      <c r="AG1471" s="2"/>
      <c r="AH1471" s="2"/>
      <c r="AI1471" s="2"/>
    </row>
    <row r="1472" spans="1:35" ht="14.25" customHeight="1" x14ac:dyDescent="0.2">
      <c r="A1472" s="1">
        <v>51619</v>
      </c>
      <c r="B1472" s="1" t="s">
        <v>917</v>
      </c>
      <c r="C1472" s="1" t="s">
        <v>21</v>
      </c>
      <c r="D1472" s="2">
        <v>41884</v>
      </c>
      <c r="E1472" s="1" t="s">
        <v>22</v>
      </c>
      <c r="F1472" s="1" t="s">
        <v>1194</v>
      </c>
      <c r="G1472" s="1">
        <v>6</v>
      </c>
      <c r="H1472" s="1">
        <v>165.2</v>
      </c>
      <c r="I1472" s="1">
        <f t="shared" si="66"/>
        <v>991.19999999999993</v>
      </c>
      <c r="J1472" t="str">
        <f t="shared" si="67"/>
        <v>Low</v>
      </c>
      <c r="K1472" s="1"/>
      <c r="L1472" s="1">
        <v>0.09</v>
      </c>
      <c r="M1472" s="1">
        <v>19.989999999999998</v>
      </c>
      <c r="N1472" s="1" t="s">
        <v>33</v>
      </c>
      <c r="O1472" s="1" t="s">
        <v>34</v>
      </c>
      <c r="P1472" s="2">
        <v>41885</v>
      </c>
      <c r="Q1472" s="2" t="b">
        <f t="shared" si="68"/>
        <v>0</v>
      </c>
      <c r="V1472" s="2"/>
      <c r="W1472" s="2"/>
      <c r="X1472" s="2"/>
      <c r="Y1472" s="2"/>
      <c r="Z1472" s="2"/>
      <c r="AA1472" s="2"/>
      <c r="AB1472" s="2"/>
      <c r="AC1472" s="2"/>
      <c r="AD1472" s="2"/>
      <c r="AE1472" s="2"/>
      <c r="AF1472" s="2"/>
      <c r="AG1472" s="2"/>
      <c r="AH1472" s="2"/>
      <c r="AI1472" s="2"/>
    </row>
    <row r="1473" spans="1:35" ht="14.25" customHeight="1" x14ac:dyDescent="0.2">
      <c r="A1473" s="1">
        <v>51619</v>
      </c>
      <c r="B1473" s="1" t="s">
        <v>917</v>
      </c>
      <c r="C1473" s="1" t="s">
        <v>21</v>
      </c>
      <c r="D1473" s="2">
        <v>41884</v>
      </c>
      <c r="E1473" s="1" t="s">
        <v>22</v>
      </c>
      <c r="F1473" s="1" t="s">
        <v>1252</v>
      </c>
      <c r="G1473" s="1">
        <v>2</v>
      </c>
      <c r="H1473" s="1">
        <v>3.89</v>
      </c>
      <c r="I1473" s="1">
        <f t="shared" si="66"/>
        <v>7.78</v>
      </c>
      <c r="J1473" t="str">
        <f t="shared" si="67"/>
        <v>Low</v>
      </c>
      <c r="K1473" s="1"/>
      <c r="L1473" s="1">
        <v>7.0000000000000007E-2</v>
      </c>
      <c r="M1473" s="1">
        <v>7.01</v>
      </c>
      <c r="N1473" s="1" t="s">
        <v>33</v>
      </c>
      <c r="O1473" s="1" t="s">
        <v>34</v>
      </c>
      <c r="P1473" s="2">
        <v>41886</v>
      </c>
      <c r="Q1473" s="2" t="b">
        <f t="shared" si="68"/>
        <v>0</v>
      </c>
      <c r="V1473" s="2"/>
      <c r="W1473" s="2"/>
      <c r="X1473" s="2"/>
      <c r="Y1473" s="2"/>
      <c r="Z1473" s="2"/>
      <c r="AA1473" s="2"/>
      <c r="AB1473" s="2"/>
      <c r="AC1473" s="2"/>
      <c r="AD1473" s="2"/>
      <c r="AE1473" s="2"/>
      <c r="AF1473" s="2"/>
      <c r="AG1473" s="2"/>
      <c r="AH1473" s="2"/>
      <c r="AI1473" s="2"/>
    </row>
    <row r="1474" spans="1:35" ht="14.25" customHeight="1" x14ac:dyDescent="0.2">
      <c r="A1474" s="1">
        <v>51619</v>
      </c>
      <c r="B1474" s="1" t="s">
        <v>917</v>
      </c>
      <c r="C1474" s="1" t="s">
        <v>21</v>
      </c>
      <c r="D1474" s="2">
        <v>41884</v>
      </c>
      <c r="E1474" s="1" t="s">
        <v>22</v>
      </c>
      <c r="F1474" s="1" t="s">
        <v>94</v>
      </c>
      <c r="G1474" s="1">
        <v>31</v>
      </c>
      <c r="H1474" s="1">
        <v>355.98</v>
      </c>
      <c r="I1474" s="1">
        <f t="shared" ref="I1474:I1537" si="69">G1474*H1474</f>
        <v>11035.380000000001</v>
      </c>
      <c r="J1474" t="str">
        <f t="shared" ref="J1474:J1537" si="70">IF(I1474&lt;1000,"Low","High")</f>
        <v>High</v>
      </c>
      <c r="K1474" s="1"/>
      <c r="L1474" s="1">
        <v>0.06</v>
      </c>
      <c r="M1474" s="1">
        <v>58.92</v>
      </c>
      <c r="N1474" s="1" t="s">
        <v>45</v>
      </c>
      <c r="O1474" s="1" t="s">
        <v>46</v>
      </c>
      <c r="P1474" s="2">
        <v>41885</v>
      </c>
      <c r="Q1474" s="2" t="b">
        <f t="shared" ref="Q1474:Q1537" si="71">AND(N1474="Express Air",O1474="Large Box")</f>
        <v>0</v>
      </c>
      <c r="V1474" s="2"/>
      <c r="W1474" s="2"/>
      <c r="X1474" s="2"/>
      <c r="Y1474" s="2"/>
      <c r="Z1474" s="2"/>
      <c r="AA1474" s="2"/>
      <c r="AB1474" s="2"/>
      <c r="AC1474" s="2"/>
      <c r="AD1474" s="2"/>
      <c r="AE1474" s="2"/>
      <c r="AF1474" s="2"/>
      <c r="AG1474" s="2"/>
      <c r="AH1474" s="2"/>
      <c r="AI1474" s="2"/>
    </row>
    <row r="1475" spans="1:35" ht="14.25" customHeight="1" x14ac:dyDescent="0.2">
      <c r="A1475" s="1">
        <v>54151</v>
      </c>
      <c r="B1475" s="1" t="s">
        <v>223</v>
      </c>
      <c r="C1475" s="1" t="s">
        <v>30</v>
      </c>
      <c r="D1475" s="2">
        <v>41884</v>
      </c>
      <c r="E1475" s="1" t="s">
        <v>38</v>
      </c>
      <c r="F1475" s="1" t="s">
        <v>1381</v>
      </c>
      <c r="G1475" s="1">
        <v>35</v>
      </c>
      <c r="H1475" s="1">
        <v>5.68</v>
      </c>
      <c r="I1475" s="1">
        <f t="shared" si="69"/>
        <v>198.79999999999998</v>
      </c>
      <c r="J1475" t="str">
        <f t="shared" si="70"/>
        <v>Low</v>
      </c>
      <c r="K1475" s="1"/>
      <c r="L1475" s="1">
        <v>0.03</v>
      </c>
      <c r="M1475" s="1">
        <v>1.46</v>
      </c>
      <c r="N1475" s="1" t="s">
        <v>33</v>
      </c>
      <c r="O1475" s="1" t="s">
        <v>55</v>
      </c>
      <c r="P1475" s="2">
        <v>41885</v>
      </c>
      <c r="Q1475" s="2" t="b">
        <f t="shared" si="71"/>
        <v>0</v>
      </c>
      <c r="V1475" s="2"/>
      <c r="W1475" s="2"/>
      <c r="X1475" s="2"/>
      <c r="Y1475" s="2"/>
      <c r="Z1475" s="2"/>
      <c r="AA1475" s="2"/>
      <c r="AB1475" s="2"/>
      <c r="AC1475" s="2"/>
      <c r="AD1475" s="2"/>
      <c r="AE1475" s="2"/>
      <c r="AF1475" s="2"/>
      <c r="AG1475" s="2"/>
      <c r="AH1475" s="2"/>
      <c r="AI1475" s="2"/>
    </row>
    <row r="1476" spans="1:35" ht="14.25" customHeight="1" x14ac:dyDescent="0.2">
      <c r="A1476" s="1">
        <v>54151</v>
      </c>
      <c r="B1476" s="1" t="s">
        <v>223</v>
      </c>
      <c r="C1476" s="1" t="s">
        <v>21</v>
      </c>
      <c r="D1476" s="2">
        <v>41884</v>
      </c>
      <c r="E1476" s="1" t="s">
        <v>38</v>
      </c>
      <c r="F1476" s="1" t="s">
        <v>189</v>
      </c>
      <c r="G1476" s="1">
        <v>38</v>
      </c>
      <c r="H1476" s="1">
        <v>1.68</v>
      </c>
      <c r="I1476" s="1">
        <f t="shared" si="69"/>
        <v>63.839999999999996</v>
      </c>
      <c r="J1476" t="str">
        <f t="shared" si="70"/>
        <v>Low</v>
      </c>
      <c r="K1476" s="1"/>
      <c r="L1476" s="1">
        <v>7.0000000000000007E-2</v>
      </c>
      <c r="M1476" s="1">
        <v>1</v>
      </c>
      <c r="N1476" s="1" t="s">
        <v>33</v>
      </c>
      <c r="O1476" s="1" t="s">
        <v>55</v>
      </c>
      <c r="P1476" s="2">
        <v>41885</v>
      </c>
      <c r="Q1476" s="2" t="b">
        <f t="shared" si="71"/>
        <v>0</v>
      </c>
      <c r="V1476" s="2"/>
      <c r="W1476" s="2"/>
      <c r="X1476" s="2"/>
      <c r="Y1476" s="2"/>
      <c r="Z1476" s="2"/>
      <c r="AA1476" s="2"/>
      <c r="AB1476" s="2"/>
      <c r="AC1476" s="2"/>
      <c r="AD1476" s="2"/>
      <c r="AE1476" s="2"/>
      <c r="AF1476" s="2"/>
      <c r="AG1476" s="2"/>
      <c r="AH1476" s="2"/>
      <c r="AI1476" s="2"/>
    </row>
    <row r="1477" spans="1:35" ht="14.25" customHeight="1" x14ac:dyDescent="0.2">
      <c r="A1477" s="1">
        <v>52357</v>
      </c>
      <c r="B1477" s="1" t="s">
        <v>1230</v>
      </c>
      <c r="C1477" s="1" t="s">
        <v>30</v>
      </c>
      <c r="D1477" s="2">
        <v>41885</v>
      </c>
      <c r="E1477" s="1" t="s">
        <v>22</v>
      </c>
      <c r="F1477" s="1" t="s">
        <v>1133</v>
      </c>
      <c r="G1477" s="1">
        <v>49</v>
      </c>
      <c r="H1477" s="1">
        <v>10.98</v>
      </c>
      <c r="I1477" s="1">
        <f t="shared" si="69"/>
        <v>538.02</v>
      </c>
      <c r="J1477" t="str">
        <f t="shared" si="70"/>
        <v>Low</v>
      </c>
      <c r="K1477" s="1"/>
      <c r="L1477" s="1">
        <v>0.05</v>
      </c>
      <c r="M1477" s="1">
        <v>4.8</v>
      </c>
      <c r="N1477" s="1" t="s">
        <v>33</v>
      </c>
      <c r="O1477" s="1" t="s">
        <v>34</v>
      </c>
      <c r="P1477" s="2">
        <v>41887</v>
      </c>
      <c r="Q1477" s="2" t="b">
        <f t="shared" si="71"/>
        <v>0</v>
      </c>
      <c r="V1477" s="2"/>
      <c r="W1477" s="2"/>
      <c r="X1477" s="2"/>
      <c r="Y1477" s="2"/>
      <c r="Z1477" s="2"/>
      <c r="AA1477" s="2"/>
      <c r="AB1477" s="2"/>
      <c r="AC1477" s="2"/>
      <c r="AD1477" s="2"/>
      <c r="AE1477" s="2"/>
      <c r="AF1477" s="2"/>
      <c r="AG1477" s="2"/>
      <c r="AH1477" s="2"/>
      <c r="AI1477" s="2"/>
    </row>
    <row r="1478" spans="1:35" ht="14.25" customHeight="1" x14ac:dyDescent="0.2">
      <c r="A1478" s="1">
        <v>26567</v>
      </c>
      <c r="B1478" s="1" t="s">
        <v>229</v>
      </c>
      <c r="C1478" s="1" t="s">
        <v>30</v>
      </c>
      <c r="D1478" s="2">
        <v>41886</v>
      </c>
      <c r="E1478" s="1" t="s">
        <v>38</v>
      </c>
      <c r="F1478" s="1" t="s">
        <v>980</v>
      </c>
      <c r="G1478" s="1">
        <v>8</v>
      </c>
      <c r="H1478" s="1">
        <v>5.4</v>
      </c>
      <c r="I1478" s="1">
        <f t="shared" si="69"/>
        <v>43.2</v>
      </c>
      <c r="J1478" t="str">
        <f t="shared" si="70"/>
        <v>Low</v>
      </c>
      <c r="K1478" s="1"/>
      <c r="L1478" s="1">
        <v>0.08</v>
      </c>
      <c r="M1478" s="1">
        <v>7.78</v>
      </c>
      <c r="N1478" s="1" t="s">
        <v>33</v>
      </c>
      <c r="O1478" s="1" t="s">
        <v>34</v>
      </c>
      <c r="P1478" s="2">
        <v>41886</v>
      </c>
      <c r="Q1478" s="2" t="b">
        <f t="shared" si="71"/>
        <v>0</v>
      </c>
      <c r="V1478" s="2"/>
      <c r="W1478" s="2"/>
      <c r="X1478" s="2"/>
      <c r="Y1478" s="2"/>
      <c r="Z1478" s="2"/>
      <c r="AA1478" s="2"/>
      <c r="AB1478" s="2"/>
      <c r="AC1478" s="2"/>
      <c r="AD1478" s="2"/>
      <c r="AE1478" s="2"/>
      <c r="AF1478" s="2"/>
      <c r="AG1478" s="2"/>
      <c r="AH1478" s="2"/>
      <c r="AI1478" s="2"/>
    </row>
    <row r="1479" spans="1:35" ht="14.25" customHeight="1" x14ac:dyDescent="0.2">
      <c r="A1479" s="1">
        <v>26567</v>
      </c>
      <c r="B1479" s="1" t="s">
        <v>229</v>
      </c>
      <c r="C1479" s="1" t="s">
        <v>30</v>
      </c>
      <c r="D1479" s="2">
        <v>41886</v>
      </c>
      <c r="E1479" s="1" t="s">
        <v>38</v>
      </c>
      <c r="F1479" s="1" t="s">
        <v>1382</v>
      </c>
      <c r="G1479" s="1">
        <v>10</v>
      </c>
      <c r="H1479" s="1">
        <v>8.4600000000000009</v>
      </c>
      <c r="I1479" s="1">
        <f t="shared" si="69"/>
        <v>84.600000000000009</v>
      </c>
      <c r="J1479" t="str">
        <f t="shared" si="70"/>
        <v>Low</v>
      </c>
      <c r="K1479" s="1"/>
      <c r="L1479" s="1">
        <v>0.09</v>
      </c>
      <c r="M1479" s="1">
        <v>8.99</v>
      </c>
      <c r="N1479" s="1" t="s">
        <v>25</v>
      </c>
      <c r="O1479" s="1" t="s">
        <v>84</v>
      </c>
      <c r="P1479" s="2">
        <v>41889</v>
      </c>
      <c r="Q1479" s="2" t="b">
        <f t="shared" si="71"/>
        <v>0</v>
      </c>
      <c r="V1479" s="2"/>
      <c r="W1479" s="2"/>
      <c r="X1479" s="2"/>
      <c r="Y1479" s="2"/>
      <c r="Z1479" s="2"/>
      <c r="AA1479" s="2"/>
      <c r="AB1479" s="2"/>
      <c r="AC1479" s="2"/>
      <c r="AD1479" s="2"/>
      <c r="AE1479" s="2"/>
      <c r="AF1479" s="2"/>
      <c r="AG1479" s="2"/>
      <c r="AH1479" s="2"/>
      <c r="AI1479" s="2"/>
    </row>
    <row r="1480" spans="1:35" ht="14.25" customHeight="1" x14ac:dyDescent="0.2">
      <c r="A1480" s="1">
        <v>26567</v>
      </c>
      <c r="B1480" s="1" t="s">
        <v>229</v>
      </c>
      <c r="C1480" s="1" t="s">
        <v>21</v>
      </c>
      <c r="D1480" s="2">
        <v>41886</v>
      </c>
      <c r="E1480" s="1" t="s">
        <v>38</v>
      </c>
      <c r="F1480" s="1" t="s">
        <v>1383</v>
      </c>
      <c r="G1480" s="1">
        <v>22</v>
      </c>
      <c r="H1480" s="1">
        <v>14.98</v>
      </c>
      <c r="I1480" s="1">
        <f t="shared" si="69"/>
        <v>329.56</v>
      </c>
      <c r="J1480" t="str">
        <f t="shared" si="70"/>
        <v>Low</v>
      </c>
      <c r="K1480" s="1"/>
      <c r="L1480" s="1">
        <v>0.21</v>
      </c>
      <c r="M1480" s="1">
        <v>8.99</v>
      </c>
      <c r="N1480" s="1" t="s">
        <v>33</v>
      </c>
      <c r="O1480" s="1" t="s">
        <v>84</v>
      </c>
      <c r="P1480" s="2">
        <v>41887</v>
      </c>
      <c r="Q1480" s="2" t="b">
        <f t="shared" si="71"/>
        <v>0</v>
      </c>
      <c r="V1480" s="2"/>
      <c r="W1480" s="2"/>
      <c r="X1480" s="2"/>
      <c r="Y1480" s="2"/>
      <c r="Z1480" s="2"/>
      <c r="AA1480" s="2"/>
      <c r="AB1480" s="2"/>
      <c r="AC1480" s="2"/>
      <c r="AD1480" s="2"/>
      <c r="AE1480" s="2"/>
      <c r="AF1480" s="2"/>
      <c r="AG1480" s="2"/>
      <c r="AH1480" s="2"/>
      <c r="AI1480" s="2"/>
    </row>
    <row r="1481" spans="1:35" ht="14.25" customHeight="1" x14ac:dyDescent="0.2">
      <c r="A1481" s="1">
        <v>26567</v>
      </c>
      <c r="B1481" s="1" t="s">
        <v>229</v>
      </c>
      <c r="C1481" s="1" t="s">
        <v>51</v>
      </c>
      <c r="D1481" s="2">
        <v>41886</v>
      </c>
      <c r="E1481" s="1" t="s">
        <v>38</v>
      </c>
      <c r="F1481" s="1" t="s">
        <v>1384</v>
      </c>
      <c r="G1481" s="1">
        <v>48</v>
      </c>
      <c r="H1481" s="1">
        <v>155.99</v>
      </c>
      <c r="I1481" s="1">
        <f t="shared" si="69"/>
        <v>7487.52</v>
      </c>
      <c r="J1481" t="str">
        <f t="shared" si="70"/>
        <v>High</v>
      </c>
      <c r="K1481" s="1"/>
      <c r="L1481" s="1">
        <v>0.04</v>
      </c>
      <c r="M1481" s="1">
        <v>8.08</v>
      </c>
      <c r="N1481" s="1" t="s">
        <v>33</v>
      </c>
      <c r="O1481" s="1" t="s">
        <v>34</v>
      </c>
      <c r="P1481" s="2">
        <v>41887</v>
      </c>
      <c r="Q1481" s="2" t="b">
        <f t="shared" si="71"/>
        <v>0</v>
      </c>
      <c r="V1481" s="2"/>
      <c r="W1481" s="2"/>
      <c r="X1481" s="2"/>
      <c r="Y1481" s="2"/>
      <c r="Z1481" s="2"/>
      <c r="AA1481" s="2"/>
      <c r="AB1481" s="2"/>
      <c r="AC1481" s="2"/>
      <c r="AD1481" s="2"/>
      <c r="AE1481" s="2"/>
      <c r="AF1481" s="2"/>
      <c r="AG1481" s="2"/>
      <c r="AH1481" s="2"/>
      <c r="AI1481" s="2"/>
    </row>
    <row r="1482" spans="1:35" ht="14.25" customHeight="1" x14ac:dyDescent="0.2">
      <c r="A1482" s="1">
        <v>42342</v>
      </c>
      <c r="B1482" s="1" t="s">
        <v>473</v>
      </c>
      <c r="C1482" s="1" t="s">
        <v>30</v>
      </c>
      <c r="D1482" s="2">
        <v>41886</v>
      </c>
      <c r="E1482" s="1" t="s">
        <v>22</v>
      </c>
      <c r="F1482" s="1" t="s">
        <v>1385</v>
      </c>
      <c r="G1482" s="1">
        <v>25</v>
      </c>
      <c r="H1482" s="1">
        <v>12.28</v>
      </c>
      <c r="I1482" s="1">
        <f t="shared" si="69"/>
        <v>307</v>
      </c>
      <c r="J1482" t="str">
        <f t="shared" si="70"/>
        <v>Low</v>
      </c>
      <c r="K1482" s="1"/>
      <c r="L1482" s="1">
        <v>0.01</v>
      </c>
      <c r="M1482" s="1">
        <v>5.09</v>
      </c>
      <c r="N1482" s="1" t="s">
        <v>33</v>
      </c>
      <c r="O1482" s="1" t="s">
        <v>34</v>
      </c>
      <c r="P1482" s="2">
        <v>41887</v>
      </c>
      <c r="Q1482" s="2" t="b">
        <f t="shared" si="71"/>
        <v>0</v>
      </c>
      <c r="V1482" s="2"/>
      <c r="W1482" s="2"/>
      <c r="X1482" s="2"/>
      <c r="Y1482" s="2"/>
      <c r="Z1482" s="2"/>
      <c r="AA1482" s="2"/>
      <c r="AB1482" s="2"/>
      <c r="AC1482" s="2"/>
      <c r="AD1482" s="2"/>
      <c r="AE1482" s="2"/>
      <c r="AF1482" s="2"/>
      <c r="AG1482" s="2"/>
      <c r="AH1482" s="2"/>
      <c r="AI1482" s="2"/>
    </row>
    <row r="1483" spans="1:35" ht="14.25" customHeight="1" x14ac:dyDescent="0.2">
      <c r="A1483" s="1">
        <v>42342</v>
      </c>
      <c r="B1483" s="1" t="s">
        <v>473</v>
      </c>
      <c r="C1483" s="1" t="s">
        <v>51</v>
      </c>
      <c r="D1483" s="2">
        <v>41886</v>
      </c>
      <c r="E1483" s="1" t="s">
        <v>22</v>
      </c>
      <c r="F1483" s="1" t="s">
        <v>1386</v>
      </c>
      <c r="G1483" s="1">
        <v>43</v>
      </c>
      <c r="H1483" s="1">
        <v>286.85000000000002</v>
      </c>
      <c r="I1483" s="1">
        <f t="shared" si="69"/>
        <v>12334.550000000001</v>
      </c>
      <c r="J1483" t="str">
        <f t="shared" si="70"/>
        <v>High</v>
      </c>
      <c r="K1483" s="1"/>
      <c r="L1483" s="1">
        <v>7.0000000000000007E-2</v>
      </c>
      <c r="M1483" s="1">
        <v>61.76</v>
      </c>
      <c r="N1483" s="1" t="s">
        <v>45</v>
      </c>
      <c r="O1483" s="1" t="s">
        <v>63</v>
      </c>
      <c r="P1483" s="2">
        <v>41888</v>
      </c>
      <c r="Q1483" s="2" t="b">
        <f t="shared" si="71"/>
        <v>0</v>
      </c>
      <c r="V1483" s="2"/>
      <c r="W1483" s="2"/>
      <c r="X1483" s="2"/>
      <c r="Y1483" s="2"/>
      <c r="Z1483" s="2"/>
      <c r="AA1483" s="2"/>
      <c r="AB1483" s="2"/>
      <c r="AC1483" s="2"/>
      <c r="AD1483" s="2"/>
      <c r="AE1483" s="2"/>
      <c r="AF1483" s="2"/>
      <c r="AG1483" s="2"/>
      <c r="AH1483" s="2"/>
      <c r="AI1483" s="2"/>
    </row>
    <row r="1484" spans="1:35" ht="14.25" customHeight="1" x14ac:dyDescent="0.2">
      <c r="A1484" s="1">
        <v>11680</v>
      </c>
      <c r="B1484" s="1" t="s">
        <v>983</v>
      </c>
      <c r="C1484" s="1" t="s">
        <v>30</v>
      </c>
      <c r="D1484" s="2">
        <v>41886</v>
      </c>
      <c r="E1484" s="1" t="s">
        <v>101</v>
      </c>
      <c r="F1484" s="1" t="s">
        <v>721</v>
      </c>
      <c r="G1484" s="1">
        <v>50</v>
      </c>
      <c r="H1484" s="1">
        <v>175.99</v>
      </c>
      <c r="I1484" s="1">
        <f t="shared" si="69"/>
        <v>8799.5</v>
      </c>
      <c r="J1484" t="str">
        <f t="shared" si="70"/>
        <v>High</v>
      </c>
      <c r="K1484" s="1"/>
      <c r="L1484" s="1">
        <v>0.06</v>
      </c>
      <c r="M1484" s="1">
        <v>8.99</v>
      </c>
      <c r="N1484" s="1" t="s">
        <v>33</v>
      </c>
      <c r="O1484" s="1" t="s">
        <v>34</v>
      </c>
      <c r="P1484" s="2">
        <v>41888</v>
      </c>
      <c r="Q1484" s="2" t="b">
        <f t="shared" si="71"/>
        <v>0</v>
      </c>
      <c r="V1484" s="2"/>
      <c r="W1484" s="2"/>
      <c r="X1484" s="2"/>
      <c r="Y1484" s="2"/>
      <c r="Z1484" s="2"/>
      <c r="AA1484" s="2"/>
      <c r="AB1484" s="2"/>
      <c r="AC1484" s="2"/>
      <c r="AD1484" s="2"/>
      <c r="AE1484" s="2"/>
      <c r="AF1484" s="2"/>
      <c r="AG1484" s="2"/>
      <c r="AH1484" s="2"/>
      <c r="AI1484" s="2"/>
    </row>
    <row r="1485" spans="1:35" ht="14.25" customHeight="1" x14ac:dyDescent="0.2">
      <c r="A1485" s="1">
        <v>25824</v>
      </c>
      <c r="B1485" s="1" t="s">
        <v>428</v>
      </c>
      <c r="C1485" s="1" t="s">
        <v>21</v>
      </c>
      <c r="D1485" s="2">
        <v>41886</v>
      </c>
      <c r="E1485" s="1" t="s">
        <v>101</v>
      </c>
      <c r="F1485" s="1" t="s">
        <v>1387</v>
      </c>
      <c r="G1485" s="1">
        <v>5</v>
      </c>
      <c r="H1485" s="1">
        <v>3.95</v>
      </c>
      <c r="I1485" s="1">
        <f t="shared" si="69"/>
        <v>19.75</v>
      </c>
      <c r="J1485" t="str">
        <f t="shared" si="70"/>
        <v>Low</v>
      </c>
      <c r="K1485" s="1"/>
      <c r="L1485" s="1">
        <v>0.01</v>
      </c>
      <c r="M1485" s="1">
        <v>5.13</v>
      </c>
      <c r="N1485" s="1" t="s">
        <v>33</v>
      </c>
      <c r="O1485" s="1" t="s">
        <v>34</v>
      </c>
      <c r="P1485" s="2">
        <v>41887</v>
      </c>
      <c r="Q1485" s="2" t="b">
        <f t="shared" si="71"/>
        <v>0</v>
      </c>
      <c r="V1485" s="2"/>
      <c r="W1485" s="2"/>
      <c r="X1485" s="2"/>
      <c r="Y1485" s="2"/>
      <c r="Z1485" s="2"/>
      <c r="AA1485" s="2"/>
      <c r="AB1485" s="2"/>
      <c r="AC1485" s="2"/>
      <c r="AD1485" s="2"/>
      <c r="AE1485" s="2"/>
      <c r="AF1485" s="2"/>
      <c r="AG1485" s="2"/>
      <c r="AH1485" s="2"/>
      <c r="AI1485" s="2"/>
    </row>
    <row r="1486" spans="1:35" ht="14.25" customHeight="1" x14ac:dyDescent="0.2">
      <c r="A1486" s="1">
        <v>25824</v>
      </c>
      <c r="B1486" s="1" t="s">
        <v>428</v>
      </c>
      <c r="C1486" s="1" t="s">
        <v>21</v>
      </c>
      <c r="D1486" s="2">
        <v>41886</v>
      </c>
      <c r="E1486" s="1" t="s">
        <v>101</v>
      </c>
      <c r="F1486" s="1" t="s">
        <v>1388</v>
      </c>
      <c r="G1486" s="1">
        <v>37</v>
      </c>
      <c r="H1486" s="1">
        <v>367.99</v>
      </c>
      <c r="I1486" s="1">
        <f t="shared" si="69"/>
        <v>13615.630000000001</v>
      </c>
      <c r="J1486" t="str">
        <f t="shared" si="70"/>
        <v>High</v>
      </c>
      <c r="K1486" s="1"/>
      <c r="L1486" s="1">
        <v>0.02</v>
      </c>
      <c r="M1486" s="1">
        <v>19.989999999999998</v>
      </c>
      <c r="N1486" s="1" t="s">
        <v>33</v>
      </c>
      <c r="O1486" s="1" t="s">
        <v>34</v>
      </c>
      <c r="P1486" s="2">
        <v>41887</v>
      </c>
      <c r="Q1486" s="2" t="b">
        <f t="shared" si="71"/>
        <v>0</v>
      </c>
      <c r="V1486" s="2"/>
      <c r="W1486" s="2"/>
      <c r="X1486" s="2"/>
      <c r="Y1486" s="2"/>
      <c r="Z1486" s="2"/>
      <c r="AA1486" s="2"/>
      <c r="AB1486" s="2"/>
      <c r="AC1486" s="2"/>
      <c r="AD1486" s="2"/>
      <c r="AE1486" s="2"/>
      <c r="AF1486" s="2"/>
      <c r="AG1486" s="2"/>
      <c r="AH1486" s="2"/>
      <c r="AI1486" s="2"/>
    </row>
    <row r="1487" spans="1:35" ht="14.25" customHeight="1" x14ac:dyDescent="0.2">
      <c r="A1487" s="1">
        <v>25824</v>
      </c>
      <c r="B1487" s="1" t="s">
        <v>428</v>
      </c>
      <c r="C1487" s="1" t="s">
        <v>30</v>
      </c>
      <c r="D1487" s="2">
        <v>41886</v>
      </c>
      <c r="E1487" s="1" t="s">
        <v>101</v>
      </c>
      <c r="F1487" s="1" t="s">
        <v>330</v>
      </c>
      <c r="G1487" s="1">
        <v>39</v>
      </c>
      <c r="H1487" s="1">
        <v>376.13</v>
      </c>
      <c r="I1487" s="1">
        <f t="shared" si="69"/>
        <v>14669.07</v>
      </c>
      <c r="J1487" t="str">
        <f t="shared" si="70"/>
        <v>High</v>
      </c>
      <c r="K1487" s="1"/>
      <c r="L1487" s="1">
        <v>0</v>
      </c>
      <c r="M1487" s="1">
        <v>85.63</v>
      </c>
      <c r="N1487" s="1" t="s">
        <v>45</v>
      </c>
      <c r="O1487" s="1" t="s">
        <v>63</v>
      </c>
      <c r="P1487" s="2">
        <v>41887</v>
      </c>
      <c r="Q1487" s="2" t="b">
        <f t="shared" si="71"/>
        <v>0</v>
      </c>
      <c r="V1487" s="2"/>
      <c r="W1487" s="2"/>
      <c r="X1487" s="2"/>
      <c r="Y1487" s="2"/>
      <c r="Z1487" s="2"/>
      <c r="AA1487" s="2"/>
      <c r="AB1487" s="2"/>
      <c r="AC1487" s="2"/>
      <c r="AD1487" s="2"/>
      <c r="AE1487" s="2"/>
      <c r="AF1487" s="2"/>
      <c r="AG1487" s="2"/>
      <c r="AH1487" s="2"/>
      <c r="AI1487" s="2"/>
    </row>
    <row r="1488" spans="1:35" ht="14.25" customHeight="1" x14ac:dyDescent="0.2">
      <c r="A1488" s="1">
        <v>25824</v>
      </c>
      <c r="B1488" s="1" t="s">
        <v>428</v>
      </c>
      <c r="C1488" s="1" t="s">
        <v>51</v>
      </c>
      <c r="D1488" s="2">
        <v>41886</v>
      </c>
      <c r="E1488" s="1" t="s">
        <v>101</v>
      </c>
      <c r="F1488" s="1" t="s">
        <v>349</v>
      </c>
      <c r="G1488" s="1">
        <v>6</v>
      </c>
      <c r="H1488" s="1">
        <v>95.99</v>
      </c>
      <c r="I1488" s="1">
        <f t="shared" si="69"/>
        <v>575.93999999999994</v>
      </c>
      <c r="J1488" t="str">
        <f t="shared" si="70"/>
        <v>Low</v>
      </c>
      <c r="K1488" s="1"/>
      <c r="L1488" s="1">
        <v>0.04</v>
      </c>
      <c r="M1488" s="1">
        <v>4.9000000000000004</v>
      </c>
      <c r="N1488" s="1" t="s">
        <v>33</v>
      </c>
      <c r="O1488" s="1" t="s">
        <v>34</v>
      </c>
      <c r="P1488" s="2">
        <v>41888</v>
      </c>
      <c r="Q1488" s="2" t="b">
        <f t="shared" si="71"/>
        <v>0</v>
      </c>
      <c r="V1488" s="2"/>
      <c r="W1488" s="2"/>
      <c r="X1488" s="2"/>
      <c r="Y1488" s="2"/>
      <c r="Z1488" s="2"/>
      <c r="AA1488" s="2"/>
      <c r="AB1488" s="2"/>
      <c r="AC1488" s="2"/>
      <c r="AD1488" s="2"/>
      <c r="AE1488" s="2"/>
      <c r="AF1488" s="2"/>
      <c r="AG1488" s="2"/>
      <c r="AH1488" s="2"/>
      <c r="AI1488" s="2"/>
    </row>
    <row r="1489" spans="1:35" ht="14.25" customHeight="1" x14ac:dyDescent="0.2">
      <c r="A1489" s="1">
        <v>49990</v>
      </c>
      <c r="B1489" s="1" t="s">
        <v>555</v>
      </c>
      <c r="C1489" s="1" t="s">
        <v>30</v>
      </c>
      <c r="D1489" s="2">
        <v>41887</v>
      </c>
      <c r="E1489" s="1" t="s">
        <v>22</v>
      </c>
      <c r="F1489" s="1" t="s">
        <v>512</v>
      </c>
      <c r="G1489" s="1">
        <v>11</v>
      </c>
      <c r="H1489" s="1">
        <v>442.14</v>
      </c>
      <c r="I1489" s="1">
        <f t="shared" si="69"/>
        <v>4863.54</v>
      </c>
      <c r="J1489" t="str">
        <f t="shared" si="70"/>
        <v>High</v>
      </c>
      <c r="K1489" s="1"/>
      <c r="L1489" s="1">
        <v>0</v>
      </c>
      <c r="M1489" s="1">
        <v>14.7</v>
      </c>
      <c r="N1489" s="1" t="s">
        <v>45</v>
      </c>
      <c r="O1489" s="1" t="s">
        <v>46</v>
      </c>
      <c r="P1489" s="2">
        <v>41887</v>
      </c>
      <c r="Q1489" s="2" t="b">
        <f t="shared" si="71"/>
        <v>0</v>
      </c>
      <c r="V1489" s="2"/>
      <c r="W1489" s="2"/>
      <c r="X1489" s="2"/>
      <c r="Y1489" s="2"/>
      <c r="Z1489" s="2"/>
      <c r="AA1489" s="2"/>
      <c r="AB1489" s="2"/>
      <c r="AC1489" s="2"/>
      <c r="AD1489" s="2"/>
      <c r="AE1489" s="2"/>
      <c r="AF1489" s="2"/>
      <c r="AG1489" s="2"/>
      <c r="AH1489" s="2"/>
      <c r="AI1489" s="2"/>
    </row>
    <row r="1490" spans="1:35" ht="14.25" customHeight="1" x14ac:dyDescent="0.2">
      <c r="A1490" s="1">
        <v>11392</v>
      </c>
      <c r="B1490" s="1" t="s">
        <v>1389</v>
      </c>
      <c r="C1490" s="1" t="s">
        <v>51</v>
      </c>
      <c r="D1490" s="2">
        <v>41887</v>
      </c>
      <c r="E1490" s="1" t="s">
        <v>43</v>
      </c>
      <c r="F1490" s="1" t="s">
        <v>692</v>
      </c>
      <c r="G1490" s="1">
        <v>28</v>
      </c>
      <c r="H1490" s="1">
        <v>4.55</v>
      </c>
      <c r="I1490" s="1">
        <f t="shared" si="69"/>
        <v>127.39999999999999</v>
      </c>
      <c r="J1490" t="str">
        <f t="shared" si="70"/>
        <v>Low</v>
      </c>
      <c r="K1490" s="1"/>
      <c r="L1490" s="1">
        <v>0.04</v>
      </c>
      <c r="M1490" s="1">
        <v>1.49</v>
      </c>
      <c r="N1490" s="1" t="s">
        <v>33</v>
      </c>
      <c r="O1490" s="1" t="s">
        <v>34</v>
      </c>
      <c r="P1490" s="2">
        <v>41889</v>
      </c>
      <c r="Q1490" s="2" t="b">
        <f t="shared" si="71"/>
        <v>0</v>
      </c>
      <c r="V1490" s="2"/>
      <c r="W1490" s="2"/>
      <c r="X1490" s="2"/>
      <c r="Y1490" s="2"/>
      <c r="Z1490" s="2"/>
      <c r="AA1490" s="2"/>
      <c r="AB1490" s="2"/>
      <c r="AC1490" s="2"/>
      <c r="AD1490" s="2"/>
      <c r="AE1490" s="2"/>
      <c r="AF1490" s="2"/>
      <c r="AG1490" s="2"/>
      <c r="AH1490" s="2"/>
      <c r="AI1490" s="2"/>
    </row>
    <row r="1491" spans="1:35" ht="14.25" customHeight="1" x14ac:dyDescent="0.2">
      <c r="A1491" s="1">
        <v>36867</v>
      </c>
      <c r="B1491" s="1" t="s">
        <v>1390</v>
      </c>
      <c r="C1491" s="1" t="s">
        <v>30</v>
      </c>
      <c r="D1491" s="2">
        <v>41887</v>
      </c>
      <c r="E1491" s="1" t="s">
        <v>31</v>
      </c>
      <c r="F1491" s="1" t="s">
        <v>928</v>
      </c>
      <c r="G1491" s="1">
        <v>21</v>
      </c>
      <c r="H1491" s="1">
        <v>276.2</v>
      </c>
      <c r="I1491" s="1">
        <f t="shared" si="69"/>
        <v>5800.2</v>
      </c>
      <c r="J1491" t="str">
        <f t="shared" si="70"/>
        <v>High</v>
      </c>
      <c r="K1491" s="1"/>
      <c r="L1491" s="1">
        <v>0.06</v>
      </c>
      <c r="M1491" s="1">
        <v>24.49</v>
      </c>
      <c r="N1491" s="1" t="s">
        <v>25</v>
      </c>
      <c r="O1491" s="1" t="s">
        <v>26</v>
      </c>
      <c r="P1491" s="2">
        <v>41889</v>
      </c>
      <c r="Q1491" s="2" t="b">
        <f t="shared" si="71"/>
        <v>1</v>
      </c>
      <c r="V1491" s="2"/>
      <c r="W1491" s="2"/>
      <c r="X1491" s="2"/>
      <c r="Y1491" s="2"/>
      <c r="Z1491" s="2"/>
      <c r="AA1491" s="2"/>
      <c r="AB1491" s="2"/>
      <c r="AC1491" s="2"/>
      <c r="AD1491" s="2"/>
      <c r="AE1491" s="2"/>
      <c r="AF1491" s="2"/>
      <c r="AG1491" s="2"/>
      <c r="AH1491" s="2"/>
      <c r="AI1491" s="2"/>
    </row>
    <row r="1492" spans="1:35" ht="14.25" customHeight="1" x14ac:dyDescent="0.2">
      <c r="A1492" s="1">
        <v>36867</v>
      </c>
      <c r="B1492" s="1" t="s">
        <v>1390</v>
      </c>
      <c r="C1492" s="1" t="s">
        <v>21</v>
      </c>
      <c r="D1492" s="2">
        <v>41887</v>
      </c>
      <c r="E1492" s="1" t="s">
        <v>31</v>
      </c>
      <c r="F1492" s="1" t="s">
        <v>1229</v>
      </c>
      <c r="G1492" s="1">
        <v>16</v>
      </c>
      <c r="H1492" s="1">
        <v>2.88</v>
      </c>
      <c r="I1492" s="1">
        <f t="shared" si="69"/>
        <v>46.08</v>
      </c>
      <c r="J1492" t="str">
        <f t="shared" si="70"/>
        <v>Low</v>
      </c>
      <c r="K1492" s="1"/>
      <c r="L1492" s="1">
        <v>0.09</v>
      </c>
      <c r="M1492" s="1">
        <v>0.7</v>
      </c>
      <c r="N1492" s="1" t="s">
        <v>33</v>
      </c>
      <c r="O1492" s="1" t="s">
        <v>55</v>
      </c>
      <c r="P1492" s="2">
        <v>41889</v>
      </c>
      <c r="Q1492" s="2" t="b">
        <f t="shared" si="71"/>
        <v>0</v>
      </c>
      <c r="V1492" s="2"/>
      <c r="W1492" s="2"/>
      <c r="X1492" s="2"/>
      <c r="Y1492" s="2"/>
      <c r="Z1492" s="2"/>
      <c r="AA1492" s="2"/>
      <c r="AB1492" s="2"/>
      <c r="AC1492" s="2"/>
      <c r="AD1492" s="2"/>
      <c r="AE1492" s="2"/>
      <c r="AF1492" s="2"/>
      <c r="AG1492" s="2"/>
      <c r="AH1492" s="2"/>
      <c r="AI1492" s="2"/>
    </row>
    <row r="1493" spans="1:35" ht="14.25" customHeight="1" x14ac:dyDescent="0.2">
      <c r="A1493" s="1">
        <v>51714</v>
      </c>
      <c r="B1493" s="1" t="s">
        <v>1391</v>
      </c>
      <c r="C1493" s="1" t="s">
        <v>51</v>
      </c>
      <c r="D1493" s="2">
        <v>41887</v>
      </c>
      <c r="E1493" s="1" t="s">
        <v>22</v>
      </c>
      <c r="F1493" s="1" t="s">
        <v>1392</v>
      </c>
      <c r="G1493" s="1">
        <v>33</v>
      </c>
      <c r="H1493" s="1">
        <v>5.78</v>
      </c>
      <c r="I1493" s="1">
        <f t="shared" si="69"/>
        <v>190.74</v>
      </c>
      <c r="J1493" t="str">
        <f t="shared" si="70"/>
        <v>Low</v>
      </c>
      <c r="K1493" s="1"/>
      <c r="L1493" s="1">
        <v>0.03</v>
      </c>
      <c r="M1493" s="1">
        <v>5.37</v>
      </c>
      <c r="N1493" s="1" t="s">
        <v>33</v>
      </c>
      <c r="O1493" s="1" t="s">
        <v>34</v>
      </c>
      <c r="P1493" s="2">
        <v>41888</v>
      </c>
      <c r="Q1493" s="2" t="b">
        <f t="shared" si="71"/>
        <v>0</v>
      </c>
      <c r="V1493" s="2"/>
      <c r="W1493" s="2"/>
      <c r="X1493" s="2"/>
      <c r="Y1493" s="2"/>
      <c r="Z1493" s="2"/>
      <c r="AA1493" s="2"/>
      <c r="AB1493" s="2"/>
      <c r="AC1493" s="2"/>
      <c r="AD1493" s="2"/>
      <c r="AE1493" s="2"/>
      <c r="AF1493" s="2"/>
      <c r="AG1493" s="2"/>
      <c r="AH1493" s="2"/>
      <c r="AI1493" s="2"/>
    </row>
    <row r="1494" spans="1:35" ht="14.25" customHeight="1" x14ac:dyDescent="0.2">
      <c r="A1494" s="1">
        <v>34311</v>
      </c>
      <c r="B1494" s="1" t="s">
        <v>1393</v>
      </c>
      <c r="C1494" s="1" t="s">
        <v>21</v>
      </c>
      <c r="D1494" s="2">
        <v>41887</v>
      </c>
      <c r="E1494" s="1" t="s">
        <v>31</v>
      </c>
      <c r="F1494" s="1" t="s">
        <v>124</v>
      </c>
      <c r="G1494" s="1">
        <v>39</v>
      </c>
      <c r="H1494" s="1">
        <v>3.28</v>
      </c>
      <c r="I1494" s="1">
        <f t="shared" si="69"/>
        <v>127.91999999999999</v>
      </c>
      <c r="J1494" t="str">
        <f t="shared" si="70"/>
        <v>Low</v>
      </c>
      <c r="K1494" s="1"/>
      <c r="L1494" s="1">
        <v>0.05</v>
      </c>
      <c r="M1494" s="1">
        <v>3.97</v>
      </c>
      <c r="N1494" s="1" t="s">
        <v>33</v>
      </c>
      <c r="O1494" s="1" t="s">
        <v>55</v>
      </c>
      <c r="P1494" s="2">
        <v>41888</v>
      </c>
      <c r="Q1494" s="2" t="b">
        <f t="shared" si="71"/>
        <v>0</v>
      </c>
      <c r="V1494" s="2"/>
      <c r="W1494" s="2"/>
      <c r="X1494" s="2"/>
      <c r="Y1494" s="2"/>
      <c r="Z1494" s="2"/>
      <c r="AA1494" s="2"/>
      <c r="AB1494" s="2"/>
      <c r="AC1494" s="2"/>
      <c r="AD1494" s="2"/>
      <c r="AE1494" s="2"/>
      <c r="AF1494" s="2"/>
      <c r="AG1494" s="2"/>
      <c r="AH1494" s="2"/>
      <c r="AI1494" s="2"/>
    </row>
    <row r="1495" spans="1:35" ht="14.25" customHeight="1" x14ac:dyDescent="0.2">
      <c r="A1495" s="1">
        <v>34311</v>
      </c>
      <c r="B1495" s="1" t="s">
        <v>1393</v>
      </c>
      <c r="C1495" s="1" t="s">
        <v>30</v>
      </c>
      <c r="D1495" s="2">
        <v>41887</v>
      </c>
      <c r="E1495" s="1" t="s">
        <v>31</v>
      </c>
      <c r="F1495" s="1" t="s">
        <v>1394</v>
      </c>
      <c r="G1495" s="1">
        <v>32</v>
      </c>
      <c r="H1495" s="1">
        <v>6.98</v>
      </c>
      <c r="I1495" s="1">
        <f t="shared" si="69"/>
        <v>223.36</v>
      </c>
      <c r="J1495" t="str">
        <f t="shared" si="70"/>
        <v>Low</v>
      </c>
      <c r="K1495" s="1"/>
      <c r="L1495" s="1">
        <v>0.03</v>
      </c>
      <c r="M1495" s="1">
        <v>9.69</v>
      </c>
      <c r="N1495" s="1" t="s">
        <v>33</v>
      </c>
      <c r="O1495" s="1" t="s">
        <v>34</v>
      </c>
      <c r="P1495" s="2">
        <v>41889</v>
      </c>
      <c r="Q1495" s="2" t="b">
        <f t="shared" si="71"/>
        <v>0</v>
      </c>
      <c r="V1495" s="2"/>
      <c r="W1495" s="2"/>
      <c r="X1495" s="2"/>
      <c r="Y1495" s="2"/>
      <c r="Z1495" s="2"/>
      <c r="AA1495" s="2"/>
      <c r="AB1495" s="2"/>
      <c r="AC1495" s="2"/>
      <c r="AD1495" s="2"/>
      <c r="AE1495" s="2"/>
      <c r="AF1495" s="2"/>
      <c r="AG1495" s="2"/>
      <c r="AH1495" s="2"/>
      <c r="AI1495" s="2"/>
    </row>
    <row r="1496" spans="1:35" ht="14.25" customHeight="1" x14ac:dyDescent="0.2">
      <c r="A1496" s="1">
        <v>51968</v>
      </c>
      <c r="B1496" s="1" t="s">
        <v>482</v>
      </c>
      <c r="C1496" s="1" t="s">
        <v>30</v>
      </c>
      <c r="D1496" s="2">
        <v>41887</v>
      </c>
      <c r="E1496" s="1" t="s">
        <v>101</v>
      </c>
      <c r="F1496" s="1" t="s">
        <v>775</v>
      </c>
      <c r="G1496" s="1">
        <v>43</v>
      </c>
      <c r="H1496" s="1">
        <v>85.99</v>
      </c>
      <c r="I1496" s="1">
        <f t="shared" si="69"/>
        <v>3697.5699999999997</v>
      </c>
      <c r="J1496" t="str">
        <f t="shared" si="70"/>
        <v>High</v>
      </c>
      <c r="K1496" s="1"/>
      <c r="L1496" s="1">
        <v>0.03</v>
      </c>
      <c r="M1496" s="1">
        <v>0.99</v>
      </c>
      <c r="N1496" s="1" t="s">
        <v>33</v>
      </c>
      <c r="O1496" s="1" t="s">
        <v>55</v>
      </c>
      <c r="P1496" s="2">
        <v>41888</v>
      </c>
      <c r="Q1496" s="2" t="b">
        <f t="shared" si="71"/>
        <v>0</v>
      </c>
      <c r="V1496" s="2"/>
      <c r="W1496" s="2"/>
      <c r="X1496" s="2"/>
      <c r="Y1496" s="2"/>
      <c r="Z1496" s="2"/>
      <c r="AA1496" s="2"/>
      <c r="AB1496" s="2"/>
      <c r="AC1496" s="2"/>
      <c r="AD1496" s="2"/>
      <c r="AE1496" s="2"/>
      <c r="AF1496" s="2"/>
      <c r="AG1496" s="2"/>
      <c r="AH1496" s="2"/>
      <c r="AI1496" s="2"/>
    </row>
    <row r="1497" spans="1:35" ht="14.25" customHeight="1" x14ac:dyDescent="0.2">
      <c r="A1497" s="1">
        <v>39845</v>
      </c>
      <c r="B1497" s="1" t="s">
        <v>1395</v>
      </c>
      <c r="C1497" s="1" t="s">
        <v>21</v>
      </c>
      <c r="D1497" s="2">
        <v>41888</v>
      </c>
      <c r="E1497" s="1" t="s">
        <v>38</v>
      </c>
      <c r="F1497" s="1" t="s">
        <v>1396</v>
      </c>
      <c r="G1497" s="1">
        <v>44</v>
      </c>
      <c r="H1497" s="1">
        <v>9.99</v>
      </c>
      <c r="I1497" s="1">
        <f t="shared" si="69"/>
        <v>439.56</v>
      </c>
      <c r="J1497" t="str">
        <f t="shared" si="70"/>
        <v>Low</v>
      </c>
      <c r="K1497" s="1"/>
      <c r="L1497" s="1">
        <v>0.05</v>
      </c>
      <c r="M1497" s="1">
        <v>4.78</v>
      </c>
      <c r="N1497" s="1" t="s">
        <v>33</v>
      </c>
      <c r="O1497" s="1" t="s">
        <v>34</v>
      </c>
      <c r="P1497" s="2">
        <v>41889</v>
      </c>
      <c r="Q1497" s="2" t="b">
        <f t="shared" si="71"/>
        <v>0</v>
      </c>
      <c r="V1497" s="2"/>
      <c r="W1497" s="2"/>
      <c r="X1497" s="2"/>
      <c r="Y1497" s="2"/>
      <c r="Z1497" s="2"/>
      <c r="AA1497" s="2"/>
      <c r="AB1497" s="2"/>
      <c r="AC1497" s="2"/>
      <c r="AD1497" s="2"/>
      <c r="AE1497" s="2"/>
      <c r="AF1497" s="2"/>
      <c r="AG1497" s="2"/>
      <c r="AH1497" s="2"/>
      <c r="AI1497" s="2"/>
    </row>
    <row r="1498" spans="1:35" ht="14.25" customHeight="1" x14ac:dyDescent="0.2">
      <c r="A1498" s="1">
        <v>48167</v>
      </c>
      <c r="B1498" s="1" t="s">
        <v>528</v>
      </c>
      <c r="C1498" s="1" t="s">
        <v>30</v>
      </c>
      <c r="D1498" s="2">
        <v>41888</v>
      </c>
      <c r="E1498" s="1" t="s">
        <v>38</v>
      </c>
      <c r="F1498" s="1" t="s">
        <v>375</v>
      </c>
      <c r="G1498" s="1">
        <v>43</v>
      </c>
      <c r="H1498" s="1">
        <v>122.99</v>
      </c>
      <c r="I1498" s="1">
        <f t="shared" si="69"/>
        <v>5288.57</v>
      </c>
      <c r="J1498" t="str">
        <f t="shared" si="70"/>
        <v>High</v>
      </c>
      <c r="K1498" s="1"/>
      <c r="L1498" s="1">
        <v>0.06</v>
      </c>
      <c r="M1498" s="1">
        <v>70.2</v>
      </c>
      <c r="N1498" s="1" t="s">
        <v>45</v>
      </c>
      <c r="O1498" s="1" t="s">
        <v>46</v>
      </c>
      <c r="P1498" s="2">
        <v>41891</v>
      </c>
      <c r="Q1498" s="2" t="b">
        <f t="shared" si="71"/>
        <v>0</v>
      </c>
      <c r="V1498" s="2"/>
      <c r="W1498" s="2"/>
      <c r="X1498" s="2"/>
      <c r="Y1498" s="2"/>
      <c r="Z1498" s="2"/>
      <c r="AA1498" s="2"/>
      <c r="AB1498" s="2"/>
      <c r="AC1498" s="2"/>
      <c r="AD1498" s="2"/>
      <c r="AE1498" s="2"/>
      <c r="AF1498" s="2"/>
      <c r="AG1498" s="2"/>
      <c r="AH1498" s="2"/>
      <c r="AI1498" s="2"/>
    </row>
    <row r="1499" spans="1:35" ht="14.25" customHeight="1" x14ac:dyDescent="0.2">
      <c r="A1499" s="1">
        <v>48167</v>
      </c>
      <c r="B1499" s="1" t="s">
        <v>528</v>
      </c>
      <c r="C1499" s="1" t="s">
        <v>30</v>
      </c>
      <c r="D1499" s="2">
        <v>41888</v>
      </c>
      <c r="E1499" s="1" t="s">
        <v>38</v>
      </c>
      <c r="F1499" s="1" t="s">
        <v>1397</v>
      </c>
      <c r="G1499" s="1">
        <v>45</v>
      </c>
      <c r="H1499" s="1">
        <v>6.48</v>
      </c>
      <c r="I1499" s="1">
        <f t="shared" si="69"/>
        <v>291.60000000000002</v>
      </c>
      <c r="J1499" t="str">
        <f t="shared" si="70"/>
        <v>Low</v>
      </c>
      <c r="K1499" s="1"/>
      <c r="L1499" s="1">
        <v>0.06</v>
      </c>
      <c r="M1499" s="1">
        <v>8.8800000000000008</v>
      </c>
      <c r="N1499" s="1" t="s">
        <v>33</v>
      </c>
      <c r="O1499" s="1" t="s">
        <v>34</v>
      </c>
      <c r="P1499" s="2">
        <v>41889</v>
      </c>
      <c r="Q1499" s="2" t="b">
        <f t="shared" si="71"/>
        <v>0</v>
      </c>
      <c r="V1499" s="2"/>
      <c r="W1499" s="2"/>
      <c r="X1499" s="2"/>
      <c r="Y1499" s="2"/>
      <c r="Z1499" s="2"/>
      <c r="AA1499" s="2"/>
      <c r="AB1499" s="2"/>
      <c r="AC1499" s="2"/>
      <c r="AD1499" s="2"/>
      <c r="AE1499" s="2"/>
      <c r="AF1499" s="2"/>
      <c r="AG1499" s="2"/>
      <c r="AH1499" s="2"/>
      <c r="AI1499" s="2"/>
    </row>
    <row r="1500" spans="1:35" ht="14.25" customHeight="1" x14ac:dyDescent="0.2">
      <c r="A1500" s="1">
        <v>48167</v>
      </c>
      <c r="B1500" s="1" t="s">
        <v>528</v>
      </c>
      <c r="C1500" s="1" t="s">
        <v>30</v>
      </c>
      <c r="D1500" s="2">
        <v>41888</v>
      </c>
      <c r="E1500" s="1" t="s">
        <v>38</v>
      </c>
      <c r="F1500" s="1" t="s">
        <v>811</v>
      </c>
      <c r="G1500" s="1">
        <v>27</v>
      </c>
      <c r="H1500" s="1">
        <v>349.45</v>
      </c>
      <c r="I1500" s="1">
        <f t="shared" si="69"/>
        <v>9435.15</v>
      </c>
      <c r="J1500" t="str">
        <f t="shared" si="70"/>
        <v>High</v>
      </c>
      <c r="K1500" s="1"/>
      <c r="L1500" s="1">
        <v>0.09</v>
      </c>
      <c r="M1500" s="1">
        <v>60</v>
      </c>
      <c r="N1500" s="1" t="s">
        <v>45</v>
      </c>
      <c r="O1500" s="1" t="s">
        <v>46</v>
      </c>
      <c r="P1500" s="2">
        <v>41889</v>
      </c>
      <c r="Q1500" s="2" t="b">
        <f t="shared" si="71"/>
        <v>0</v>
      </c>
      <c r="V1500" s="2"/>
      <c r="W1500" s="2"/>
      <c r="X1500" s="2"/>
      <c r="Y1500" s="2"/>
      <c r="Z1500" s="2"/>
      <c r="AA1500" s="2"/>
      <c r="AB1500" s="2"/>
      <c r="AC1500" s="2"/>
      <c r="AD1500" s="2"/>
      <c r="AE1500" s="2"/>
      <c r="AF1500" s="2"/>
      <c r="AG1500" s="2"/>
      <c r="AH1500" s="2"/>
      <c r="AI1500" s="2"/>
    </row>
    <row r="1501" spans="1:35" ht="14.25" customHeight="1" x14ac:dyDescent="0.2">
      <c r="A1501" s="1">
        <v>9668</v>
      </c>
      <c r="B1501" s="1" t="s">
        <v>383</v>
      </c>
      <c r="C1501" s="1" t="s">
        <v>30</v>
      </c>
      <c r="D1501" s="2">
        <v>41888</v>
      </c>
      <c r="E1501" s="1" t="s">
        <v>43</v>
      </c>
      <c r="F1501" s="1" t="s">
        <v>1398</v>
      </c>
      <c r="G1501" s="1">
        <v>10</v>
      </c>
      <c r="H1501" s="1">
        <v>4.18</v>
      </c>
      <c r="I1501" s="1">
        <f t="shared" si="69"/>
        <v>41.8</v>
      </c>
      <c r="J1501" t="str">
        <f t="shared" si="70"/>
        <v>Low</v>
      </c>
      <c r="K1501" s="1"/>
      <c r="L1501" s="1">
        <v>0.06</v>
      </c>
      <c r="M1501" s="1">
        <v>2.99</v>
      </c>
      <c r="N1501" s="1" t="s">
        <v>33</v>
      </c>
      <c r="O1501" s="1" t="s">
        <v>34</v>
      </c>
      <c r="P1501" s="2">
        <v>41890</v>
      </c>
      <c r="Q1501" s="2" t="b">
        <f t="shared" si="71"/>
        <v>0</v>
      </c>
      <c r="V1501" s="2"/>
      <c r="W1501" s="2"/>
      <c r="X1501" s="2"/>
      <c r="Y1501" s="2"/>
      <c r="Z1501" s="2"/>
      <c r="AA1501" s="2"/>
      <c r="AB1501" s="2"/>
      <c r="AC1501" s="2"/>
      <c r="AD1501" s="2"/>
      <c r="AE1501" s="2"/>
      <c r="AF1501" s="2"/>
      <c r="AG1501" s="2"/>
      <c r="AH1501" s="2"/>
      <c r="AI1501" s="2"/>
    </row>
    <row r="1502" spans="1:35" ht="14.25" customHeight="1" x14ac:dyDescent="0.2">
      <c r="A1502" s="1">
        <v>38913</v>
      </c>
      <c r="B1502" s="1" t="s">
        <v>827</v>
      </c>
      <c r="C1502" s="1" t="s">
        <v>51</v>
      </c>
      <c r="D1502" s="2">
        <v>41888</v>
      </c>
      <c r="E1502" s="1" t="s">
        <v>22</v>
      </c>
      <c r="F1502" s="1" t="s">
        <v>997</v>
      </c>
      <c r="G1502" s="1">
        <v>7</v>
      </c>
      <c r="H1502" s="1">
        <v>31.74</v>
      </c>
      <c r="I1502" s="1">
        <f t="shared" si="69"/>
        <v>222.17999999999998</v>
      </c>
      <c r="J1502" t="str">
        <f t="shared" si="70"/>
        <v>Low</v>
      </c>
      <c r="K1502" s="1"/>
      <c r="L1502" s="1">
        <v>0.03</v>
      </c>
      <c r="M1502" s="1">
        <v>12.62</v>
      </c>
      <c r="N1502" s="1" t="s">
        <v>33</v>
      </c>
      <c r="O1502" s="1" t="s">
        <v>34</v>
      </c>
      <c r="P1502" s="2">
        <v>41888</v>
      </c>
      <c r="Q1502" s="2" t="b">
        <f t="shared" si="71"/>
        <v>0</v>
      </c>
      <c r="V1502" s="2"/>
      <c r="W1502" s="2"/>
      <c r="X1502" s="2"/>
      <c r="Y1502" s="2"/>
      <c r="Z1502" s="2"/>
      <c r="AA1502" s="2"/>
      <c r="AB1502" s="2"/>
      <c r="AC1502" s="2"/>
      <c r="AD1502" s="2"/>
      <c r="AE1502" s="2"/>
      <c r="AF1502" s="2"/>
      <c r="AG1502" s="2"/>
      <c r="AH1502" s="2"/>
      <c r="AI1502" s="2"/>
    </row>
    <row r="1503" spans="1:35" ht="14.25" customHeight="1" x14ac:dyDescent="0.2">
      <c r="A1503" s="1">
        <v>48775</v>
      </c>
      <c r="B1503" s="1" t="s">
        <v>609</v>
      </c>
      <c r="C1503" s="1" t="s">
        <v>21</v>
      </c>
      <c r="D1503" s="2">
        <v>41888</v>
      </c>
      <c r="E1503" s="1" t="s">
        <v>43</v>
      </c>
      <c r="F1503" s="1" t="s">
        <v>585</v>
      </c>
      <c r="G1503" s="1">
        <v>17</v>
      </c>
      <c r="H1503" s="1">
        <v>6.48</v>
      </c>
      <c r="I1503" s="1">
        <f t="shared" si="69"/>
        <v>110.16000000000001</v>
      </c>
      <c r="J1503" t="str">
        <f t="shared" si="70"/>
        <v>Low</v>
      </c>
      <c r="K1503" s="1"/>
      <c r="L1503" s="1">
        <v>0.09</v>
      </c>
      <c r="M1503" s="1">
        <v>6.86</v>
      </c>
      <c r="N1503" s="1" t="s">
        <v>33</v>
      </c>
      <c r="O1503" s="1" t="s">
        <v>34</v>
      </c>
      <c r="P1503" s="2">
        <v>41890</v>
      </c>
      <c r="Q1503" s="2" t="b">
        <f t="shared" si="71"/>
        <v>0</v>
      </c>
      <c r="V1503" s="2"/>
      <c r="W1503" s="2"/>
      <c r="X1503" s="2"/>
      <c r="Y1503" s="2"/>
      <c r="Z1503" s="2"/>
      <c r="AA1503" s="2"/>
      <c r="AB1503" s="2"/>
      <c r="AC1503" s="2"/>
      <c r="AD1503" s="2"/>
      <c r="AE1503" s="2"/>
      <c r="AF1503" s="2"/>
      <c r="AG1503" s="2"/>
      <c r="AH1503" s="2"/>
      <c r="AI1503" s="2"/>
    </row>
    <row r="1504" spans="1:35" ht="14.25" customHeight="1" x14ac:dyDescent="0.2">
      <c r="A1504" s="1">
        <v>10052</v>
      </c>
      <c r="B1504" s="1" t="s">
        <v>531</v>
      </c>
      <c r="C1504" s="1" t="s">
        <v>51</v>
      </c>
      <c r="D1504" s="2">
        <v>41889</v>
      </c>
      <c r="E1504" s="1" t="s">
        <v>22</v>
      </c>
      <c r="F1504" s="1" t="s">
        <v>1399</v>
      </c>
      <c r="G1504" s="1">
        <v>16</v>
      </c>
      <c r="H1504" s="1">
        <v>6.08</v>
      </c>
      <c r="I1504" s="1">
        <f t="shared" si="69"/>
        <v>97.28</v>
      </c>
      <c r="J1504" t="str">
        <f t="shared" si="70"/>
        <v>Low</v>
      </c>
      <c r="K1504" s="1"/>
      <c r="L1504" s="1">
        <v>7.0000000000000007E-2</v>
      </c>
      <c r="M1504" s="1">
        <v>0.91</v>
      </c>
      <c r="N1504" s="1" t="s">
        <v>33</v>
      </c>
      <c r="O1504" s="1" t="s">
        <v>55</v>
      </c>
      <c r="P1504" s="2">
        <v>41890</v>
      </c>
      <c r="Q1504" s="2" t="b">
        <f t="shared" si="71"/>
        <v>0</v>
      </c>
      <c r="V1504" s="2"/>
      <c r="W1504" s="2"/>
      <c r="X1504" s="2"/>
      <c r="Y1504" s="2"/>
      <c r="Z1504" s="2"/>
      <c r="AA1504" s="2"/>
      <c r="AB1504" s="2"/>
      <c r="AC1504" s="2"/>
      <c r="AD1504" s="2"/>
      <c r="AE1504" s="2"/>
      <c r="AF1504" s="2"/>
      <c r="AG1504" s="2"/>
      <c r="AH1504" s="2"/>
      <c r="AI1504" s="2"/>
    </row>
    <row r="1505" spans="1:35" ht="14.25" customHeight="1" x14ac:dyDescent="0.2">
      <c r="A1505" s="1">
        <v>10052</v>
      </c>
      <c r="B1505" s="1" t="s">
        <v>531</v>
      </c>
      <c r="C1505" s="1" t="s">
        <v>30</v>
      </c>
      <c r="D1505" s="2">
        <v>41889</v>
      </c>
      <c r="E1505" s="1" t="s">
        <v>22</v>
      </c>
      <c r="F1505" s="1" t="s">
        <v>1400</v>
      </c>
      <c r="G1505" s="1">
        <v>28</v>
      </c>
      <c r="H1505" s="1">
        <v>19.899999999999999</v>
      </c>
      <c r="I1505" s="1">
        <f t="shared" si="69"/>
        <v>557.19999999999993</v>
      </c>
      <c r="J1505" t="str">
        <f t="shared" si="70"/>
        <v>Low</v>
      </c>
      <c r="K1505" s="1"/>
      <c r="L1505" s="1">
        <v>0.08</v>
      </c>
      <c r="M1505" s="1">
        <v>5.29</v>
      </c>
      <c r="N1505" s="1" t="s">
        <v>33</v>
      </c>
      <c r="O1505" s="1" t="s">
        <v>72</v>
      </c>
      <c r="P1505" s="2">
        <v>41891</v>
      </c>
      <c r="Q1505" s="2" t="b">
        <f t="shared" si="71"/>
        <v>0</v>
      </c>
      <c r="V1505" s="2"/>
      <c r="W1505" s="2"/>
      <c r="X1505" s="2"/>
      <c r="Y1505" s="2"/>
      <c r="Z1505" s="2"/>
      <c r="AA1505" s="2"/>
      <c r="AB1505" s="2"/>
      <c r="AC1505" s="2"/>
      <c r="AD1505" s="2"/>
      <c r="AE1505" s="2"/>
      <c r="AF1505" s="2"/>
      <c r="AG1505" s="2"/>
      <c r="AH1505" s="2"/>
      <c r="AI1505" s="2"/>
    </row>
    <row r="1506" spans="1:35" ht="14.25" customHeight="1" x14ac:dyDescent="0.2">
      <c r="A1506" s="1">
        <v>10052</v>
      </c>
      <c r="B1506" s="1" t="s">
        <v>531</v>
      </c>
      <c r="C1506" s="1" t="s">
        <v>30</v>
      </c>
      <c r="D1506" s="2">
        <v>41889</v>
      </c>
      <c r="E1506" s="1" t="s">
        <v>22</v>
      </c>
      <c r="F1506" s="1" t="s">
        <v>76</v>
      </c>
      <c r="G1506" s="1">
        <v>46</v>
      </c>
      <c r="H1506" s="1">
        <v>3.36</v>
      </c>
      <c r="I1506" s="1">
        <f t="shared" si="69"/>
        <v>154.56</v>
      </c>
      <c r="J1506" t="str">
        <f t="shared" si="70"/>
        <v>Low</v>
      </c>
      <c r="K1506" s="1"/>
      <c r="L1506" s="1">
        <v>0.02</v>
      </c>
      <c r="M1506" s="1">
        <v>6.27</v>
      </c>
      <c r="N1506" s="1" t="s">
        <v>33</v>
      </c>
      <c r="O1506" s="1" t="s">
        <v>34</v>
      </c>
      <c r="P1506" s="2">
        <v>41891</v>
      </c>
      <c r="Q1506" s="2" t="b">
        <f t="shared" si="71"/>
        <v>0</v>
      </c>
      <c r="V1506" s="2"/>
      <c r="W1506" s="2"/>
      <c r="X1506" s="2"/>
      <c r="Y1506" s="2"/>
      <c r="Z1506" s="2"/>
      <c r="AA1506" s="2"/>
      <c r="AB1506" s="2"/>
      <c r="AC1506" s="2"/>
      <c r="AD1506" s="2"/>
      <c r="AE1506" s="2"/>
      <c r="AF1506" s="2"/>
      <c r="AG1506" s="2"/>
      <c r="AH1506" s="2"/>
      <c r="AI1506" s="2"/>
    </row>
    <row r="1507" spans="1:35" ht="14.25" customHeight="1" x14ac:dyDescent="0.2">
      <c r="A1507" s="1">
        <v>37926</v>
      </c>
      <c r="B1507" s="1" t="s">
        <v>1107</v>
      </c>
      <c r="C1507" s="1" t="s">
        <v>30</v>
      </c>
      <c r="D1507" s="2">
        <v>41890</v>
      </c>
      <c r="E1507" s="1" t="s">
        <v>38</v>
      </c>
      <c r="F1507" s="1" t="s">
        <v>161</v>
      </c>
      <c r="G1507" s="1">
        <v>31</v>
      </c>
      <c r="H1507" s="1">
        <v>11.55</v>
      </c>
      <c r="I1507" s="1">
        <f t="shared" si="69"/>
        <v>358.05</v>
      </c>
      <c r="J1507" t="str">
        <f t="shared" si="70"/>
        <v>Low</v>
      </c>
      <c r="K1507" s="1"/>
      <c r="L1507" s="1">
        <v>0.02</v>
      </c>
      <c r="M1507" s="1">
        <v>2.36</v>
      </c>
      <c r="N1507" s="1" t="s">
        <v>33</v>
      </c>
      <c r="O1507" s="1" t="s">
        <v>55</v>
      </c>
      <c r="P1507" s="2">
        <v>41892</v>
      </c>
      <c r="Q1507" s="2" t="b">
        <f t="shared" si="71"/>
        <v>0</v>
      </c>
      <c r="V1507" s="2"/>
      <c r="W1507" s="2"/>
      <c r="X1507" s="2"/>
      <c r="Y1507" s="2"/>
      <c r="Z1507" s="2"/>
      <c r="AA1507" s="2"/>
      <c r="AB1507" s="2"/>
      <c r="AC1507" s="2"/>
      <c r="AD1507" s="2"/>
      <c r="AE1507" s="2"/>
      <c r="AF1507" s="2"/>
      <c r="AG1507" s="2"/>
      <c r="AH1507" s="2"/>
      <c r="AI1507" s="2"/>
    </row>
    <row r="1508" spans="1:35" ht="14.25" customHeight="1" x14ac:dyDescent="0.2">
      <c r="A1508" s="1">
        <v>5317</v>
      </c>
      <c r="B1508" s="1" t="s">
        <v>711</v>
      </c>
      <c r="C1508" s="1" t="s">
        <v>21</v>
      </c>
      <c r="D1508" s="2">
        <v>41890</v>
      </c>
      <c r="E1508" s="1" t="s">
        <v>43</v>
      </c>
      <c r="F1508" s="1" t="s">
        <v>487</v>
      </c>
      <c r="G1508" s="1">
        <v>38</v>
      </c>
      <c r="H1508" s="1">
        <v>5.34</v>
      </c>
      <c r="I1508" s="1">
        <f t="shared" si="69"/>
        <v>202.92</v>
      </c>
      <c r="J1508" t="str">
        <f t="shared" si="70"/>
        <v>Low</v>
      </c>
      <c r="K1508" s="1"/>
      <c r="L1508" s="1">
        <v>0.09</v>
      </c>
      <c r="M1508" s="1">
        <v>2.99</v>
      </c>
      <c r="N1508" s="1" t="s">
        <v>25</v>
      </c>
      <c r="O1508" s="1" t="s">
        <v>34</v>
      </c>
      <c r="P1508" s="2">
        <v>41897</v>
      </c>
      <c r="Q1508" s="2" t="b">
        <f t="shared" si="71"/>
        <v>0</v>
      </c>
      <c r="V1508" s="2"/>
      <c r="W1508" s="2"/>
      <c r="X1508" s="2"/>
      <c r="Y1508" s="2"/>
      <c r="Z1508" s="2"/>
      <c r="AA1508" s="2"/>
      <c r="AB1508" s="2"/>
      <c r="AC1508" s="2"/>
      <c r="AD1508" s="2"/>
      <c r="AE1508" s="2"/>
      <c r="AF1508" s="2"/>
      <c r="AG1508" s="2"/>
      <c r="AH1508" s="2"/>
      <c r="AI1508" s="2"/>
    </row>
    <row r="1509" spans="1:35" ht="14.25" customHeight="1" x14ac:dyDescent="0.2">
      <c r="A1509" s="1">
        <v>5317</v>
      </c>
      <c r="B1509" s="1" t="s">
        <v>711</v>
      </c>
      <c r="C1509" s="1" t="s">
        <v>51</v>
      </c>
      <c r="D1509" s="2">
        <v>41890</v>
      </c>
      <c r="E1509" s="1" t="s">
        <v>43</v>
      </c>
      <c r="F1509" s="1" t="s">
        <v>276</v>
      </c>
      <c r="G1509" s="1">
        <v>10</v>
      </c>
      <c r="H1509" s="1">
        <v>140.97999999999999</v>
      </c>
      <c r="I1509" s="1">
        <f t="shared" si="69"/>
        <v>1409.8</v>
      </c>
      <c r="J1509" t="str">
        <f t="shared" si="70"/>
        <v>High</v>
      </c>
      <c r="K1509" s="1"/>
      <c r="L1509" s="1">
        <v>7.0000000000000007E-2</v>
      </c>
      <c r="M1509" s="1">
        <v>53.48</v>
      </c>
      <c r="N1509" s="1" t="s">
        <v>45</v>
      </c>
      <c r="O1509" s="1" t="s">
        <v>63</v>
      </c>
      <c r="P1509" s="2">
        <v>41897</v>
      </c>
      <c r="Q1509" s="2" t="b">
        <f t="shared" si="71"/>
        <v>0</v>
      </c>
      <c r="V1509" s="2"/>
      <c r="W1509" s="2"/>
      <c r="X1509" s="2"/>
      <c r="Y1509" s="2"/>
      <c r="Z1509" s="2"/>
      <c r="AA1509" s="2"/>
      <c r="AB1509" s="2"/>
      <c r="AC1509" s="2"/>
      <c r="AD1509" s="2"/>
      <c r="AE1509" s="2"/>
      <c r="AF1509" s="2"/>
      <c r="AG1509" s="2"/>
      <c r="AH1509" s="2"/>
      <c r="AI1509" s="2"/>
    </row>
    <row r="1510" spans="1:35" ht="14.25" customHeight="1" x14ac:dyDescent="0.2">
      <c r="A1510" s="1">
        <v>5317</v>
      </c>
      <c r="B1510" s="1" t="s">
        <v>711</v>
      </c>
      <c r="C1510" s="1" t="s">
        <v>21</v>
      </c>
      <c r="D1510" s="2">
        <v>41890</v>
      </c>
      <c r="E1510" s="1" t="s">
        <v>43</v>
      </c>
      <c r="F1510" s="1" t="s">
        <v>1401</v>
      </c>
      <c r="G1510" s="1">
        <v>25</v>
      </c>
      <c r="H1510" s="1">
        <v>205.99</v>
      </c>
      <c r="I1510" s="1">
        <f t="shared" si="69"/>
        <v>5149.75</v>
      </c>
      <c r="J1510" t="str">
        <f t="shared" si="70"/>
        <v>High</v>
      </c>
      <c r="K1510" s="1"/>
      <c r="L1510" s="1">
        <v>0.06</v>
      </c>
      <c r="M1510" s="1">
        <v>5.26</v>
      </c>
      <c r="N1510" s="1" t="s">
        <v>33</v>
      </c>
      <c r="O1510" s="1" t="s">
        <v>34</v>
      </c>
      <c r="P1510" s="2">
        <v>41897</v>
      </c>
      <c r="Q1510" s="2" t="b">
        <f t="shared" si="71"/>
        <v>0</v>
      </c>
      <c r="V1510" s="2"/>
      <c r="W1510" s="2"/>
      <c r="X1510" s="2"/>
      <c r="Y1510" s="2"/>
      <c r="Z1510" s="2"/>
      <c r="AA1510" s="2"/>
      <c r="AB1510" s="2"/>
      <c r="AC1510" s="2"/>
      <c r="AD1510" s="2"/>
      <c r="AE1510" s="2"/>
      <c r="AF1510" s="2"/>
      <c r="AG1510" s="2"/>
      <c r="AH1510" s="2"/>
      <c r="AI1510" s="2"/>
    </row>
    <row r="1511" spans="1:35" ht="14.25" customHeight="1" x14ac:dyDescent="0.2">
      <c r="A1511" s="1">
        <v>55648</v>
      </c>
      <c r="B1511" s="1" t="s">
        <v>1402</v>
      </c>
      <c r="C1511" s="1" t="s">
        <v>30</v>
      </c>
      <c r="D1511" s="2">
        <v>41891</v>
      </c>
      <c r="E1511" s="1" t="s">
        <v>38</v>
      </c>
      <c r="F1511" s="1" t="s">
        <v>1229</v>
      </c>
      <c r="G1511" s="1">
        <v>5</v>
      </c>
      <c r="H1511" s="1">
        <v>2.88</v>
      </c>
      <c r="I1511" s="1">
        <f t="shared" si="69"/>
        <v>14.399999999999999</v>
      </c>
      <c r="J1511" t="str">
        <f t="shared" si="70"/>
        <v>Low</v>
      </c>
      <c r="K1511" s="1"/>
      <c r="L1511" s="1">
        <v>0.08</v>
      </c>
      <c r="M1511" s="1">
        <v>0.7</v>
      </c>
      <c r="N1511" s="1" t="s">
        <v>33</v>
      </c>
      <c r="O1511" s="1" t="s">
        <v>55</v>
      </c>
      <c r="P1511" s="2">
        <v>41894</v>
      </c>
      <c r="Q1511" s="2" t="b">
        <f t="shared" si="71"/>
        <v>0</v>
      </c>
      <c r="V1511" s="2"/>
      <c r="W1511" s="2"/>
      <c r="X1511" s="2"/>
      <c r="Y1511" s="2"/>
      <c r="Z1511" s="2"/>
      <c r="AA1511" s="2"/>
      <c r="AB1511" s="2"/>
      <c r="AC1511" s="2"/>
      <c r="AD1511" s="2"/>
      <c r="AE1511" s="2"/>
      <c r="AF1511" s="2"/>
      <c r="AG1511" s="2"/>
      <c r="AH1511" s="2"/>
      <c r="AI1511" s="2"/>
    </row>
    <row r="1512" spans="1:35" ht="14.25" customHeight="1" x14ac:dyDescent="0.2">
      <c r="A1512" s="1">
        <v>43590</v>
      </c>
      <c r="B1512" s="1" t="s">
        <v>283</v>
      </c>
      <c r="C1512" s="1" t="s">
        <v>30</v>
      </c>
      <c r="D1512" s="2">
        <v>41892</v>
      </c>
      <c r="E1512" s="1" t="s">
        <v>38</v>
      </c>
      <c r="F1512" s="1" t="s">
        <v>957</v>
      </c>
      <c r="G1512" s="1">
        <v>24</v>
      </c>
      <c r="H1512" s="1">
        <v>128.24</v>
      </c>
      <c r="I1512" s="1">
        <f t="shared" si="69"/>
        <v>3077.76</v>
      </c>
      <c r="J1512" t="str">
        <f t="shared" si="70"/>
        <v>High</v>
      </c>
      <c r="K1512" s="1"/>
      <c r="L1512" s="1">
        <v>0.06</v>
      </c>
      <c r="M1512" s="1">
        <v>12.65</v>
      </c>
      <c r="N1512" s="1" t="s">
        <v>25</v>
      </c>
      <c r="O1512" s="1" t="s">
        <v>72</v>
      </c>
      <c r="P1512" s="2">
        <v>41894</v>
      </c>
      <c r="Q1512" s="2" t="b">
        <f t="shared" si="71"/>
        <v>0</v>
      </c>
      <c r="V1512" s="2"/>
      <c r="W1512" s="2"/>
      <c r="X1512" s="2"/>
      <c r="Y1512" s="2"/>
      <c r="Z1512" s="2"/>
      <c r="AA1512" s="2"/>
      <c r="AB1512" s="2"/>
      <c r="AC1512" s="2"/>
      <c r="AD1512" s="2"/>
      <c r="AE1512" s="2"/>
      <c r="AF1512" s="2"/>
      <c r="AG1512" s="2"/>
      <c r="AH1512" s="2"/>
      <c r="AI1512" s="2"/>
    </row>
    <row r="1513" spans="1:35" ht="14.25" customHeight="1" x14ac:dyDescent="0.2">
      <c r="A1513" s="1">
        <v>3746</v>
      </c>
      <c r="B1513" s="1" t="s">
        <v>1272</v>
      </c>
      <c r="C1513" s="1" t="s">
        <v>30</v>
      </c>
      <c r="D1513" s="2">
        <v>41892</v>
      </c>
      <c r="E1513" s="1" t="s">
        <v>22</v>
      </c>
      <c r="F1513" s="1" t="s">
        <v>1403</v>
      </c>
      <c r="G1513" s="1">
        <v>14</v>
      </c>
      <c r="H1513" s="1">
        <v>115.99</v>
      </c>
      <c r="I1513" s="1">
        <f t="shared" si="69"/>
        <v>1623.86</v>
      </c>
      <c r="J1513" t="str">
        <f t="shared" si="70"/>
        <v>High</v>
      </c>
      <c r="K1513" s="1"/>
      <c r="L1513" s="1">
        <v>0</v>
      </c>
      <c r="M1513" s="1">
        <v>2.5</v>
      </c>
      <c r="N1513" s="1" t="s">
        <v>33</v>
      </c>
      <c r="O1513" s="1" t="s">
        <v>34</v>
      </c>
      <c r="P1513" s="2">
        <v>41892</v>
      </c>
      <c r="Q1513" s="2" t="b">
        <f t="shared" si="71"/>
        <v>0</v>
      </c>
      <c r="V1513" s="2"/>
      <c r="W1513" s="2"/>
      <c r="X1513" s="2"/>
      <c r="Y1513" s="2"/>
      <c r="Z1513" s="2"/>
      <c r="AA1513" s="2"/>
      <c r="AB1513" s="2"/>
      <c r="AC1513" s="2"/>
      <c r="AD1513" s="2"/>
      <c r="AE1513" s="2"/>
      <c r="AF1513" s="2"/>
      <c r="AG1513" s="2"/>
      <c r="AH1513" s="2"/>
      <c r="AI1513" s="2"/>
    </row>
    <row r="1514" spans="1:35" ht="14.25" customHeight="1" x14ac:dyDescent="0.2">
      <c r="A1514" s="1">
        <v>3746</v>
      </c>
      <c r="B1514" s="1" t="s">
        <v>1272</v>
      </c>
      <c r="C1514" s="1" t="s">
        <v>51</v>
      </c>
      <c r="D1514" s="2">
        <v>41892</v>
      </c>
      <c r="E1514" s="1" t="s">
        <v>22</v>
      </c>
      <c r="F1514" s="1" t="s">
        <v>201</v>
      </c>
      <c r="G1514" s="1">
        <v>38</v>
      </c>
      <c r="H1514" s="1">
        <v>5.98</v>
      </c>
      <c r="I1514" s="1">
        <f t="shared" si="69"/>
        <v>227.24</v>
      </c>
      <c r="J1514" t="str">
        <f t="shared" si="70"/>
        <v>Low</v>
      </c>
      <c r="K1514" s="1"/>
      <c r="L1514" s="1">
        <v>0.02</v>
      </c>
      <c r="M1514" s="1">
        <v>5.79</v>
      </c>
      <c r="N1514" s="1" t="s">
        <v>33</v>
      </c>
      <c r="O1514" s="1" t="s">
        <v>34</v>
      </c>
      <c r="P1514" s="2">
        <v>41893</v>
      </c>
      <c r="Q1514" s="2" t="b">
        <f t="shared" si="71"/>
        <v>0</v>
      </c>
      <c r="V1514" s="2"/>
      <c r="W1514" s="2"/>
      <c r="X1514" s="2"/>
      <c r="Y1514" s="2"/>
      <c r="Z1514" s="2"/>
      <c r="AA1514" s="2"/>
      <c r="AB1514" s="2"/>
      <c r="AC1514" s="2"/>
      <c r="AD1514" s="2"/>
      <c r="AE1514" s="2"/>
      <c r="AF1514" s="2"/>
      <c r="AG1514" s="2"/>
      <c r="AH1514" s="2"/>
      <c r="AI1514" s="2"/>
    </row>
    <row r="1515" spans="1:35" ht="14.25" customHeight="1" x14ac:dyDescent="0.2">
      <c r="A1515" s="1">
        <v>13280</v>
      </c>
      <c r="B1515" s="1" t="s">
        <v>741</v>
      </c>
      <c r="C1515" s="1" t="s">
        <v>51</v>
      </c>
      <c r="D1515" s="2">
        <v>41893</v>
      </c>
      <c r="E1515" s="1" t="s">
        <v>31</v>
      </c>
      <c r="F1515" s="1" t="s">
        <v>1404</v>
      </c>
      <c r="G1515" s="1">
        <v>40</v>
      </c>
      <c r="H1515" s="1">
        <v>10.9</v>
      </c>
      <c r="I1515" s="1">
        <f t="shared" si="69"/>
        <v>436</v>
      </c>
      <c r="J1515" t="str">
        <f t="shared" si="70"/>
        <v>Low</v>
      </c>
      <c r="K1515" s="1"/>
      <c r="L1515" s="1">
        <v>0.01</v>
      </c>
      <c r="M1515" s="1">
        <v>7.46</v>
      </c>
      <c r="N1515" s="1" t="s">
        <v>33</v>
      </c>
      <c r="O1515" s="1" t="s">
        <v>34</v>
      </c>
      <c r="P1515" s="2">
        <v>41894</v>
      </c>
      <c r="Q1515" s="2" t="b">
        <f t="shared" si="71"/>
        <v>0</v>
      </c>
      <c r="V1515" s="2"/>
      <c r="W1515" s="2"/>
      <c r="X1515" s="2"/>
      <c r="Y1515" s="2"/>
      <c r="Z1515" s="2"/>
      <c r="AA1515" s="2"/>
      <c r="AB1515" s="2"/>
      <c r="AC1515" s="2"/>
      <c r="AD1515" s="2"/>
      <c r="AE1515" s="2"/>
      <c r="AF1515" s="2"/>
      <c r="AG1515" s="2"/>
      <c r="AH1515" s="2"/>
      <c r="AI1515" s="2"/>
    </row>
    <row r="1516" spans="1:35" ht="14.25" customHeight="1" x14ac:dyDescent="0.2">
      <c r="A1516" s="1">
        <v>13280</v>
      </c>
      <c r="B1516" s="1" t="s">
        <v>741</v>
      </c>
      <c r="C1516" s="1" t="s">
        <v>51</v>
      </c>
      <c r="D1516" s="2">
        <v>41893</v>
      </c>
      <c r="E1516" s="1" t="s">
        <v>31</v>
      </c>
      <c r="F1516" s="1" t="s">
        <v>1224</v>
      </c>
      <c r="G1516" s="1">
        <v>49</v>
      </c>
      <c r="H1516" s="1">
        <v>7.99</v>
      </c>
      <c r="I1516" s="1">
        <f t="shared" si="69"/>
        <v>391.51</v>
      </c>
      <c r="J1516" t="str">
        <f t="shared" si="70"/>
        <v>Low</v>
      </c>
      <c r="K1516" s="1"/>
      <c r="L1516" s="1">
        <v>0.1</v>
      </c>
      <c r="M1516" s="1">
        <v>5.03</v>
      </c>
      <c r="N1516" s="1" t="s">
        <v>33</v>
      </c>
      <c r="O1516" s="1" t="s">
        <v>72</v>
      </c>
      <c r="P1516" s="2">
        <v>41894</v>
      </c>
      <c r="Q1516" s="2" t="b">
        <f t="shared" si="71"/>
        <v>0</v>
      </c>
      <c r="V1516" s="2"/>
      <c r="W1516" s="2"/>
      <c r="X1516" s="2"/>
      <c r="Y1516" s="2"/>
      <c r="Z1516" s="2"/>
      <c r="AA1516" s="2"/>
      <c r="AB1516" s="2"/>
      <c r="AC1516" s="2"/>
      <c r="AD1516" s="2"/>
      <c r="AE1516" s="2"/>
      <c r="AF1516" s="2"/>
      <c r="AG1516" s="2"/>
      <c r="AH1516" s="2"/>
      <c r="AI1516" s="2"/>
    </row>
    <row r="1517" spans="1:35" ht="14.25" customHeight="1" x14ac:dyDescent="0.2">
      <c r="A1517" s="1">
        <v>56901</v>
      </c>
      <c r="B1517" s="1" t="s">
        <v>1405</v>
      </c>
      <c r="C1517" s="1" t="s">
        <v>30</v>
      </c>
      <c r="D1517" s="2">
        <v>41893</v>
      </c>
      <c r="E1517" s="1" t="s">
        <v>38</v>
      </c>
      <c r="F1517" s="1" t="s">
        <v>148</v>
      </c>
      <c r="G1517" s="1">
        <v>36</v>
      </c>
      <c r="H1517" s="1">
        <v>2.6</v>
      </c>
      <c r="I1517" s="1">
        <f t="shared" si="69"/>
        <v>93.600000000000009</v>
      </c>
      <c r="J1517" t="str">
        <f t="shared" si="70"/>
        <v>Low</v>
      </c>
      <c r="K1517" s="1"/>
      <c r="L1517" s="1">
        <v>0</v>
      </c>
      <c r="M1517" s="1">
        <v>2.4</v>
      </c>
      <c r="N1517" s="1" t="s">
        <v>33</v>
      </c>
      <c r="O1517" s="1" t="s">
        <v>55</v>
      </c>
      <c r="P1517" s="2">
        <v>41895</v>
      </c>
      <c r="Q1517" s="2" t="b">
        <f t="shared" si="71"/>
        <v>0</v>
      </c>
      <c r="V1517" s="2"/>
      <c r="W1517" s="2"/>
      <c r="X1517" s="2"/>
      <c r="Y1517" s="2"/>
      <c r="Z1517" s="2"/>
      <c r="AA1517" s="2"/>
      <c r="AB1517" s="2"/>
      <c r="AC1517" s="2"/>
      <c r="AD1517" s="2"/>
      <c r="AE1517" s="2"/>
      <c r="AF1517" s="2"/>
      <c r="AG1517" s="2"/>
      <c r="AH1517" s="2"/>
      <c r="AI1517" s="2"/>
    </row>
    <row r="1518" spans="1:35" ht="14.25" customHeight="1" x14ac:dyDescent="0.2">
      <c r="A1518" s="1">
        <v>10629</v>
      </c>
      <c r="B1518" s="1" t="s">
        <v>423</v>
      </c>
      <c r="C1518" s="1" t="s">
        <v>21</v>
      </c>
      <c r="D1518" s="2">
        <v>41893</v>
      </c>
      <c r="E1518" s="1" t="s">
        <v>38</v>
      </c>
      <c r="F1518" s="1" t="s">
        <v>1152</v>
      </c>
      <c r="G1518" s="1">
        <v>39</v>
      </c>
      <c r="H1518" s="1">
        <v>8.3699999999999992</v>
      </c>
      <c r="I1518" s="1">
        <f t="shared" si="69"/>
        <v>326.42999999999995</v>
      </c>
      <c r="J1518" t="str">
        <f t="shared" si="70"/>
        <v>Low</v>
      </c>
      <c r="K1518" s="1"/>
      <c r="L1518" s="1">
        <v>0.06</v>
      </c>
      <c r="M1518" s="1">
        <v>10.16</v>
      </c>
      <c r="N1518" s="1" t="s">
        <v>33</v>
      </c>
      <c r="O1518" s="1" t="s">
        <v>26</v>
      </c>
      <c r="P1518" s="2">
        <v>41895</v>
      </c>
      <c r="Q1518" s="2" t="b">
        <f t="shared" si="71"/>
        <v>0</v>
      </c>
      <c r="V1518" s="2"/>
      <c r="W1518" s="2"/>
      <c r="X1518" s="2"/>
      <c r="Y1518" s="2"/>
      <c r="Z1518" s="2"/>
      <c r="AA1518" s="2"/>
      <c r="AB1518" s="2"/>
      <c r="AC1518" s="2"/>
      <c r="AD1518" s="2"/>
      <c r="AE1518" s="2"/>
      <c r="AF1518" s="2"/>
      <c r="AG1518" s="2"/>
      <c r="AH1518" s="2"/>
      <c r="AI1518" s="2"/>
    </row>
    <row r="1519" spans="1:35" ht="14.25" customHeight="1" x14ac:dyDescent="0.2">
      <c r="A1519" s="1">
        <v>10629</v>
      </c>
      <c r="B1519" s="1" t="s">
        <v>423</v>
      </c>
      <c r="C1519" s="1" t="s">
        <v>30</v>
      </c>
      <c r="D1519" s="2">
        <v>41893</v>
      </c>
      <c r="E1519" s="1" t="s">
        <v>38</v>
      </c>
      <c r="F1519" s="1" t="s">
        <v>176</v>
      </c>
      <c r="G1519" s="1">
        <v>14</v>
      </c>
      <c r="H1519" s="1">
        <v>6.48</v>
      </c>
      <c r="I1519" s="1">
        <f t="shared" si="69"/>
        <v>90.72</v>
      </c>
      <c r="J1519" t="str">
        <f t="shared" si="70"/>
        <v>Low</v>
      </c>
      <c r="K1519" s="1"/>
      <c r="L1519" s="1">
        <v>0.09</v>
      </c>
      <c r="M1519" s="1">
        <v>9.17</v>
      </c>
      <c r="N1519" s="1" t="s">
        <v>25</v>
      </c>
      <c r="O1519" s="1" t="s">
        <v>34</v>
      </c>
      <c r="P1519" s="2">
        <v>41895</v>
      </c>
      <c r="Q1519" s="2" t="b">
        <f t="shared" si="71"/>
        <v>0</v>
      </c>
      <c r="V1519" s="2"/>
      <c r="W1519" s="2"/>
      <c r="X1519" s="2"/>
      <c r="Y1519" s="2"/>
      <c r="Z1519" s="2"/>
      <c r="AA1519" s="2"/>
      <c r="AB1519" s="2"/>
      <c r="AC1519" s="2"/>
      <c r="AD1519" s="2"/>
      <c r="AE1519" s="2"/>
      <c r="AF1519" s="2"/>
      <c r="AG1519" s="2"/>
      <c r="AH1519" s="2"/>
      <c r="AI1519" s="2"/>
    </row>
    <row r="1520" spans="1:35" ht="14.25" customHeight="1" x14ac:dyDescent="0.2">
      <c r="A1520" s="1">
        <v>44487</v>
      </c>
      <c r="B1520" s="1" t="s">
        <v>423</v>
      </c>
      <c r="C1520" s="1" t="s">
        <v>30</v>
      </c>
      <c r="D1520" s="2">
        <v>41893</v>
      </c>
      <c r="E1520" s="1" t="s">
        <v>38</v>
      </c>
      <c r="F1520" s="1" t="s">
        <v>929</v>
      </c>
      <c r="G1520" s="1">
        <v>4</v>
      </c>
      <c r="H1520" s="1">
        <v>6.28</v>
      </c>
      <c r="I1520" s="1">
        <f t="shared" si="69"/>
        <v>25.12</v>
      </c>
      <c r="J1520" t="str">
        <f t="shared" si="70"/>
        <v>Low</v>
      </c>
      <c r="K1520" s="1"/>
      <c r="L1520" s="1">
        <v>0.09</v>
      </c>
      <c r="M1520" s="1">
        <v>5.29</v>
      </c>
      <c r="N1520" s="1" t="s">
        <v>33</v>
      </c>
      <c r="O1520" s="1" t="s">
        <v>34</v>
      </c>
      <c r="P1520" s="2">
        <v>41894</v>
      </c>
      <c r="Q1520" s="2" t="b">
        <f t="shared" si="71"/>
        <v>0</v>
      </c>
      <c r="V1520" s="2"/>
      <c r="W1520" s="2"/>
      <c r="X1520" s="2"/>
      <c r="Y1520" s="2"/>
      <c r="Z1520" s="2"/>
      <c r="AA1520" s="2"/>
      <c r="AB1520" s="2"/>
      <c r="AC1520" s="2"/>
      <c r="AD1520" s="2"/>
      <c r="AE1520" s="2"/>
      <c r="AF1520" s="2"/>
      <c r="AG1520" s="2"/>
      <c r="AH1520" s="2"/>
      <c r="AI1520" s="2"/>
    </row>
    <row r="1521" spans="1:35" ht="14.25" customHeight="1" x14ac:dyDescent="0.2">
      <c r="A1521" s="1">
        <v>44487</v>
      </c>
      <c r="B1521" s="1" t="s">
        <v>423</v>
      </c>
      <c r="C1521" s="1" t="s">
        <v>30</v>
      </c>
      <c r="D1521" s="2">
        <v>41893</v>
      </c>
      <c r="E1521" s="1" t="s">
        <v>38</v>
      </c>
      <c r="F1521" s="1" t="s">
        <v>689</v>
      </c>
      <c r="G1521" s="1">
        <v>37</v>
      </c>
      <c r="H1521" s="1">
        <v>15.14</v>
      </c>
      <c r="I1521" s="1">
        <f t="shared" si="69"/>
        <v>560.18000000000006</v>
      </c>
      <c r="J1521" t="str">
        <f t="shared" si="70"/>
        <v>Low</v>
      </c>
      <c r="K1521" s="1"/>
      <c r="L1521" s="1">
        <v>0.03</v>
      </c>
      <c r="M1521" s="1">
        <v>4.53</v>
      </c>
      <c r="N1521" s="1" t="s">
        <v>33</v>
      </c>
      <c r="O1521" s="1" t="s">
        <v>34</v>
      </c>
      <c r="P1521" s="2">
        <v>41895</v>
      </c>
      <c r="Q1521" s="2" t="b">
        <f t="shared" si="71"/>
        <v>0</v>
      </c>
      <c r="V1521" s="2"/>
      <c r="W1521" s="2"/>
      <c r="X1521" s="2"/>
      <c r="Y1521" s="2"/>
      <c r="Z1521" s="2"/>
      <c r="AA1521" s="2"/>
      <c r="AB1521" s="2"/>
      <c r="AC1521" s="2"/>
      <c r="AD1521" s="2"/>
      <c r="AE1521" s="2"/>
      <c r="AF1521" s="2"/>
      <c r="AG1521" s="2"/>
      <c r="AH1521" s="2"/>
      <c r="AI1521" s="2"/>
    </row>
    <row r="1522" spans="1:35" ht="14.25" customHeight="1" x14ac:dyDescent="0.2">
      <c r="A1522" s="1">
        <v>12099</v>
      </c>
      <c r="B1522" s="1" t="s">
        <v>1077</v>
      </c>
      <c r="C1522" s="1" t="s">
        <v>51</v>
      </c>
      <c r="D1522" s="2">
        <v>41893</v>
      </c>
      <c r="E1522" s="1" t="s">
        <v>38</v>
      </c>
      <c r="F1522" s="1" t="s">
        <v>668</v>
      </c>
      <c r="G1522" s="1">
        <v>1</v>
      </c>
      <c r="H1522" s="1">
        <v>2.61</v>
      </c>
      <c r="I1522" s="1">
        <f t="shared" si="69"/>
        <v>2.61</v>
      </c>
      <c r="J1522" t="str">
        <f t="shared" si="70"/>
        <v>Low</v>
      </c>
      <c r="K1522" s="1"/>
      <c r="L1522" s="1">
        <v>0.06</v>
      </c>
      <c r="M1522" s="1">
        <v>0.5</v>
      </c>
      <c r="N1522" s="1" t="s">
        <v>25</v>
      </c>
      <c r="O1522" s="1" t="s">
        <v>34</v>
      </c>
      <c r="P1522" s="2">
        <v>41893</v>
      </c>
      <c r="Q1522" s="2" t="b">
        <f t="shared" si="71"/>
        <v>0</v>
      </c>
      <c r="V1522" s="2"/>
      <c r="W1522" s="2"/>
      <c r="X1522" s="2"/>
      <c r="Y1522" s="2"/>
      <c r="Z1522" s="2"/>
      <c r="AA1522" s="2"/>
      <c r="AB1522" s="2"/>
      <c r="AC1522" s="2"/>
      <c r="AD1522" s="2"/>
      <c r="AE1522" s="2"/>
      <c r="AF1522" s="2"/>
      <c r="AG1522" s="2"/>
      <c r="AH1522" s="2"/>
      <c r="AI1522" s="2"/>
    </row>
    <row r="1523" spans="1:35" ht="14.25" customHeight="1" x14ac:dyDescent="0.2">
      <c r="A1523" s="1">
        <v>12099</v>
      </c>
      <c r="B1523" s="1" t="s">
        <v>1077</v>
      </c>
      <c r="C1523" s="1" t="s">
        <v>21</v>
      </c>
      <c r="D1523" s="2">
        <v>41893</v>
      </c>
      <c r="E1523" s="1" t="s">
        <v>38</v>
      </c>
      <c r="F1523" s="1" t="s">
        <v>220</v>
      </c>
      <c r="G1523" s="1">
        <v>48</v>
      </c>
      <c r="H1523" s="1">
        <v>6.35</v>
      </c>
      <c r="I1523" s="1">
        <f t="shared" si="69"/>
        <v>304.79999999999995</v>
      </c>
      <c r="J1523" t="str">
        <f t="shared" si="70"/>
        <v>Low</v>
      </c>
      <c r="K1523" s="1"/>
      <c r="L1523" s="1">
        <v>0.01</v>
      </c>
      <c r="M1523" s="1">
        <v>1.02</v>
      </c>
      <c r="N1523" s="1" t="s">
        <v>33</v>
      </c>
      <c r="O1523" s="1" t="s">
        <v>55</v>
      </c>
      <c r="P1523" s="2">
        <v>41895</v>
      </c>
      <c r="Q1523" s="2" t="b">
        <f t="shared" si="71"/>
        <v>0</v>
      </c>
      <c r="V1523" s="2"/>
      <c r="W1523" s="2"/>
      <c r="X1523" s="2"/>
      <c r="Y1523" s="2"/>
      <c r="Z1523" s="2"/>
      <c r="AA1523" s="2"/>
      <c r="AB1523" s="2"/>
      <c r="AC1523" s="2"/>
      <c r="AD1523" s="2"/>
      <c r="AE1523" s="2"/>
      <c r="AF1523" s="2"/>
      <c r="AG1523" s="2"/>
      <c r="AH1523" s="2"/>
      <c r="AI1523" s="2"/>
    </row>
    <row r="1524" spans="1:35" ht="14.25" customHeight="1" x14ac:dyDescent="0.2">
      <c r="A1524" s="1">
        <v>44836</v>
      </c>
      <c r="B1524" s="1" t="s">
        <v>1070</v>
      </c>
      <c r="C1524" s="1" t="s">
        <v>51</v>
      </c>
      <c r="D1524" s="2">
        <v>41893</v>
      </c>
      <c r="E1524" s="1" t="s">
        <v>101</v>
      </c>
      <c r="F1524" s="1" t="s">
        <v>1115</v>
      </c>
      <c r="G1524" s="1">
        <v>21</v>
      </c>
      <c r="H1524" s="1">
        <v>5.98</v>
      </c>
      <c r="I1524" s="1">
        <f t="shared" si="69"/>
        <v>125.58000000000001</v>
      </c>
      <c r="J1524" t="str">
        <f t="shared" si="70"/>
        <v>Low</v>
      </c>
      <c r="K1524" s="1"/>
      <c r="L1524" s="1">
        <v>0.02</v>
      </c>
      <c r="M1524" s="1">
        <v>1.49</v>
      </c>
      <c r="N1524" s="1" t="s">
        <v>33</v>
      </c>
      <c r="O1524" s="1" t="s">
        <v>34</v>
      </c>
      <c r="P1524" s="2">
        <v>41894</v>
      </c>
      <c r="Q1524" s="2" t="b">
        <f t="shared" si="71"/>
        <v>0</v>
      </c>
      <c r="V1524" s="2"/>
      <c r="W1524" s="2"/>
      <c r="X1524" s="2"/>
      <c r="Y1524" s="2"/>
      <c r="Z1524" s="2"/>
      <c r="AA1524" s="2"/>
      <c r="AB1524" s="2"/>
      <c r="AC1524" s="2"/>
      <c r="AD1524" s="2"/>
      <c r="AE1524" s="2"/>
      <c r="AF1524" s="2"/>
      <c r="AG1524" s="2"/>
      <c r="AH1524" s="2"/>
      <c r="AI1524" s="2"/>
    </row>
    <row r="1525" spans="1:35" ht="14.25" customHeight="1" x14ac:dyDescent="0.2">
      <c r="A1525" s="1">
        <v>1313</v>
      </c>
      <c r="B1525" s="1" t="s">
        <v>296</v>
      </c>
      <c r="C1525" s="1" t="s">
        <v>21</v>
      </c>
      <c r="D1525" s="2">
        <v>41894</v>
      </c>
      <c r="E1525" s="1" t="s">
        <v>38</v>
      </c>
      <c r="F1525" s="1" t="s">
        <v>1406</v>
      </c>
      <c r="G1525" s="1">
        <v>34</v>
      </c>
      <c r="H1525" s="1">
        <v>22.84</v>
      </c>
      <c r="I1525" s="1">
        <f t="shared" si="69"/>
        <v>776.56</v>
      </c>
      <c r="J1525" t="str">
        <f t="shared" si="70"/>
        <v>Low</v>
      </c>
      <c r="K1525" s="1"/>
      <c r="L1525" s="1">
        <v>0</v>
      </c>
      <c r="M1525" s="1">
        <v>16.920000000000002</v>
      </c>
      <c r="N1525" s="1" t="s">
        <v>33</v>
      </c>
      <c r="O1525" s="1" t="s">
        <v>34</v>
      </c>
      <c r="P1525" s="2">
        <v>41896</v>
      </c>
      <c r="Q1525" s="2" t="b">
        <f t="shared" si="71"/>
        <v>0</v>
      </c>
      <c r="V1525" s="2"/>
      <c r="W1525" s="2"/>
      <c r="X1525" s="2"/>
      <c r="Y1525" s="2"/>
      <c r="Z1525" s="2"/>
      <c r="AA1525" s="2"/>
      <c r="AB1525" s="2"/>
      <c r="AC1525" s="2"/>
      <c r="AD1525" s="2"/>
      <c r="AE1525" s="2"/>
      <c r="AF1525" s="2"/>
      <c r="AG1525" s="2"/>
      <c r="AH1525" s="2"/>
      <c r="AI1525" s="2"/>
    </row>
    <row r="1526" spans="1:35" ht="14.25" customHeight="1" x14ac:dyDescent="0.2">
      <c r="A1526" s="1">
        <v>38145</v>
      </c>
      <c r="B1526" s="1" t="s">
        <v>223</v>
      </c>
      <c r="C1526" s="1" t="s">
        <v>30</v>
      </c>
      <c r="D1526" s="2">
        <v>41894</v>
      </c>
      <c r="E1526" s="1" t="s">
        <v>22</v>
      </c>
      <c r="F1526" s="1" t="s">
        <v>836</v>
      </c>
      <c r="G1526" s="1">
        <v>33</v>
      </c>
      <c r="H1526" s="1">
        <v>1.88</v>
      </c>
      <c r="I1526" s="1">
        <f t="shared" si="69"/>
        <v>62.04</v>
      </c>
      <c r="J1526" t="str">
        <f t="shared" si="70"/>
        <v>Low</v>
      </c>
      <c r="K1526" s="1"/>
      <c r="L1526" s="1">
        <v>7.0000000000000007E-2</v>
      </c>
      <c r="M1526" s="1">
        <v>1.49</v>
      </c>
      <c r="N1526" s="1" t="s">
        <v>33</v>
      </c>
      <c r="O1526" s="1" t="s">
        <v>34</v>
      </c>
      <c r="P1526" s="2">
        <v>41896</v>
      </c>
      <c r="Q1526" s="2" t="b">
        <f t="shared" si="71"/>
        <v>0</v>
      </c>
      <c r="V1526" s="2"/>
      <c r="W1526" s="2"/>
      <c r="X1526" s="2"/>
      <c r="Y1526" s="2"/>
      <c r="Z1526" s="2"/>
      <c r="AA1526" s="2"/>
      <c r="AB1526" s="2"/>
      <c r="AC1526" s="2"/>
      <c r="AD1526" s="2"/>
      <c r="AE1526" s="2"/>
      <c r="AF1526" s="2"/>
      <c r="AG1526" s="2"/>
      <c r="AH1526" s="2"/>
      <c r="AI1526" s="2"/>
    </row>
    <row r="1527" spans="1:35" ht="14.25" customHeight="1" x14ac:dyDescent="0.2">
      <c r="A1527" s="1">
        <v>38145</v>
      </c>
      <c r="B1527" s="1" t="s">
        <v>223</v>
      </c>
      <c r="C1527" s="1" t="s">
        <v>51</v>
      </c>
      <c r="D1527" s="2">
        <v>41894</v>
      </c>
      <c r="E1527" s="1" t="s">
        <v>22</v>
      </c>
      <c r="F1527" s="1" t="s">
        <v>1082</v>
      </c>
      <c r="G1527" s="1">
        <v>8</v>
      </c>
      <c r="H1527" s="1">
        <v>45.98</v>
      </c>
      <c r="I1527" s="1">
        <f t="shared" si="69"/>
        <v>367.84</v>
      </c>
      <c r="J1527" t="str">
        <f t="shared" si="70"/>
        <v>Low</v>
      </c>
      <c r="K1527" s="1"/>
      <c r="L1527" s="1">
        <v>0.01</v>
      </c>
      <c r="M1527" s="1">
        <v>4.8</v>
      </c>
      <c r="N1527" s="1" t="s">
        <v>33</v>
      </c>
      <c r="O1527" s="1" t="s">
        <v>55</v>
      </c>
      <c r="P1527" s="2">
        <v>41895</v>
      </c>
      <c r="Q1527" s="2" t="b">
        <f t="shared" si="71"/>
        <v>0</v>
      </c>
      <c r="V1527" s="2"/>
      <c r="W1527" s="2"/>
      <c r="X1527" s="2"/>
      <c r="Y1527" s="2"/>
      <c r="Z1527" s="2"/>
      <c r="AA1527" s="2"/>
      <c r="AB1527" s="2"/>
      <c r="AC1527" s="2"/>
      <c r="AD1527" s="2"/>
      <c r="AE1527" s="2"/>
      <c r="AF1527" s="2"/>
      <c r="AG1527" s="2"/>
      <c r="AH1527" s="2"/>
      <c r="AI1527" s="2"/>
    </row>
    <row r="1528" spans="1:35" ht="14.25" customHeight="1" x14ac:dyDescent="0.2">
      <c r="A1528" s="1">
        <v>41221</v>
      </c>
      <c r="B1528" s="1" t="s">
        <v>881</v>
      </c>
      <c r="C1528" s="1" t="s">
        <v>51</v>
      </c>
      <c r="D1528" s="2">
        <v>41894</v>
      </c>
      <c r="E1528" s="1" t="s">
        <v>38</v>
      </c>
      <c r="F1528" s="1" t="s">
        <v>1197</v>
      </c>
      <c r="G1528" s="1">
        <v>4</v>
      </c>
      <c r="H1528" s="1">
        <v>80.98</v>
      </c>
      <c r="I1528" s="1">
        <f t="shared" si="69"/>
        <v>323.92</v>
      </c>
      <c r="J1528" t="str">
        <f t="shared" si="70"/>
        <v>Low</v>
      </c>
      <c r="K1528" s="1"/>
      <c r="L1528" s="1">
        <v>0.06</v>
      </c>
      <c r="M1528" s="1">
        <v>35</v>
      </c>
      <c r="N1528" s="1" t="s">
        <v>33</v>
      </c>
      <c r="O1528" s="1" t="s">
        <v>26</v>
      </c>
      <c r="P1528" s="2">
        <v>41895</v>
      </c>
      <c r="Q1528" s="2" t="b">
        <f t="shared" si="71"/>
        <v>0</v>
      </c>
      <c r="V1528" s="2"/>
      <c r="W1528" s="2"/>
      <c r="X1528" s="2"/>
      <c r="Y1528" s="2"/>
      <c r="Z1528" s="2"/>
      <c r="AA1528" s="2"/>
      <c r="AB1528" s="2"/>
      <c r="AC1528" s="2"/>
      <c r="AD1528" s="2"/>
      <c r="AE1528" s="2"/>
      <c r="AF1528" s="2"/>
      <c r="AG1528" s="2"/>
      <c r="AH1528" s="2"/>
      <c r="AI1528" s="2"/>
    </row>
    <row r="1529" spans="1:35" ht="14.25" customHeight="1" x14ac:dyDescent="0.2">
      <c r="A1529" s="1">
        <v>49891</v>
      </c>
      <c r="B1529" s="1" t="s">
        <v>1407</v>
      </c>
      <c r="C1529" s="1" t="s">
        <v>21</v>
      </c>
      <c r="D1529" s="2">
        <v>41894</v>
      </c>
      <c r="E1529" s="1" t="s">
        <v>22</v>
      </c>
      <c r="F1529" s="1" t="s">
        <v>1115</v>
      </c>
      <c r="G1529" s="1">
        <v>40</v>
      </c>
      <c r="H1529" s="1">
        <v>5.98</v>
      </c>
      <c r="I1529" s="1">
        <f t="shared" si="69"/>
        <v>239.20000000000002</v>
      </c>
      <c r="J1529" t="str">
        <f t="shared" si="70"/>
        <v>Low</v>
      </c>
      <c r="K1529" s="1"/>
      <c r="L1529" s="1">
        <v>0</v>
      </c>
      <c r="M1529" s="1">
        <v>1.49</v>
      </c>
      <c r="N1529" s="1" t="s">
        <v>33</v>
      </c>
      <c r="O1529" s="1" t="s">
        <v>34</v>
      </c>
      <c r="P1529" s="2">
        <v>41896</v>
      </c>
      <c r="Q1529" s="2" t="b">
        <f t="shared" si="71"/>
        <v>0</v>
      </c>
      <c r="V1529" s="2"/>
      <c r="W1529" s="2"/>
      <c r="X1529" s="2"/>
      <c r="Y1529" s="2"/>
      <c r="Z1529" s="2"/>
      <c r="AA1529" s="2"/>
      <c r="AB1529" s="2"/>
      <c r="AC1529" s="2"/>
      <c r="AD1529" s="2"/>
      <c r="AE1529" s="2"/>
      <c r="AF1529" s="2"/>
      <c r="AG1529" s="2"/>
      <c r="AH1529" s="2"/>
      <c r="AI1529" s="2"/>
    </row>
    <row r="1530" spans="1:35" ht="14.25" customHeight="1" x14ac:dyDescent="0.2">
      <c r="A1530" s="1">
        <v>49891</v>
      </c>
      <c r="B1530" s="1" t="s">
        <v>1407</v>
      </c>
      <c r="C1530" s="1" t="s">
        <v>21</v>
      </c>
      <c r="D1530" s="2">
        <v>41894</v>
      </c>
      <c r="E1530" s="1" t="s">
        <v>22</v>
      </c>
      <c r="F1530" s="1" t="s">
        <v>287</v>
      </c>
      <c r="G1530" s="1">
        <v>19</v>
      </c>
      <c r="H1530" s="1">
        <v>4.91</v>
      </c>
      <c r="I1530" s="1">
        <f t="shared" si="69"/>
        <v>93.29</v>
      </c>
      <c r="J1530" t="str">
        <f t="shared" si="70"/>
        <v>Low</v>
      </c>
      <c r="K1530" s="1"/>
      <c r="L1530" s="1">
        <v>0.08</v>
      </c>
      <c r="M1530" s="1">
        <v>0.5</v>
      </c>
      <c r="N1530" s="1" t="s">
        <v>33</v>
      </c>
      <c r="O1530" s="1" t="s">
        <v>34</v>
      </c>
      <c r="P1530" s="2">
        <v>41894</v>
      </c>
      <c r="Q1530" s="2" t="b">
        <f t="shared" si="71"/>
        <v>0</v>
      </c>
      <c r="V1530" s="2"/>
      <c r="W1530" s="2"/>
      <c r="X1530" s="2"/>
      <c r="Y1530" s="2"/>
      <c r="Z1530" s="2"/>
      <c r="AA1530" s="2"/>
      <c r="AB1530" s="2"/>
      <c r="AC1530" s="2"/>
      <c r="AD1530" s="2"/>
      <c r="AE1530" s="2"/>
      <c r="AF1530" s="2"/>
      <c r="AG1530" s="2"/>
      <c r="AH1530" s="2"/>
      <c r="AI1530" s="2"/>
    </row>
    <row r="1531" spans="1:35" ht="14.25" customHeight="1" x14ac:dyDescent="0.2">
      <c r="A1531" s="1">
        <v>40928</v>
      </c>
      <c r="B1531" s="1" t="s">
        <v>847</v>
      </c>
      <c r="C1531" s="1" t="s">
        <v>21</v>
      </c>
      <c r="D1531" s="2">
        <v>41894</v>
      </c>
      <c r="E1531" s="1" t="s">
        <v>43</v>
      </c>
      <c r="F1531" s="1" t="s">
        <v>628</v>
      </c>
      <c r="G1531" s="1">
        <v>4</v>
      </c>
      <c r="H1531" s="1">
        <v>85.99</v>
      </c>
      <c r="I1531" s="1">
        <f t="shared" si="69"/>
        <v>343.96</v>
      </c>
      <c r="J1531" t="str">
        <f t="shared" si="70"/>
        <v>Low</v>
      </c>
      <c r="K1531" s="1"/>
      <c r="L1531" s="1">
        <v>0.01</v>
      </c>
      <c r="M1531" s="1">
        <v>0.99</v>
      </c>
      <c r="N1531" s="1" t="s">
        <v>33</v>
      </c>
      <c r="O1531" s="1" t="s">
        <v>55</v>
      </c>
      <c r="P1531" s="2">
        <v>41899</v>
      </c>
      <c r="Q1531" s="2" t="b">
        <f t="shared" si="71"/>
        <v>0</v>
      </c>
      <c r="V1531" s="2"/>
      <c r="W1531" s="2"/>
      <c r="X1531" s="2"/>
      <c r="Y1531" s="2"/>
      <c r="Z1531" s="2"/>
      <c r="AA1531" s="2"/>
      <c r="AB1531" s="2"/>
      <c r="AC1531" s="2"/>
      <c r="AD1531" s="2"/>
      <c r="AE1531" s="2"/>
      <c r="AF1531" s="2"/>
      <c r="AG1531" s="2"/>
      <c r="AH1531" s="2"/>
      <c r="AI1531" s="2"/>
    </row>
    <row r="1532" spans="1:35" ht="14.25" customHeight="1" x14ac:dyDescent="0.2">
      <c r="A1532" s="1">
        <v>9888</v>
      </c>
      <c r="B1532" s="1" t="s">
        <v>513</v>
      </c>
      <c r="C1532" s="1" t="s">
        <v>51</v>
      </c>
      <c r="D1532" s="2">
        <v>41894</v>
      </c>
      <c r="E1532" s="1" t="s">
        <v>43</v>
      </c>
      <c r="F1532" s="1" t="s">
        <v>441</v>
      </c>
      <c r="G1532" s="1">
        <v>48</v>
      </c>
      <c r="H1532" s="1">
        <v>205.99</v>
      </c>
      <c r="I1532" s="1">
        <f t="shared" si="69"/>
        <v>9887.52</v>
      </c>
      <c r="J1532" t="str">
        <f t="shared" si="70"/>
        <v>High</v>
      </c>
      <c r="K1532" s="1"/>
      <c r="L1532" s="1">
        <v>0.06</v>
      </c>
      <c r="M1532" s="1">
        <v>8.99</v>
      </c>
      <c r="N1532" s="1" t="s">
        <v>33</v>
      </c>
      <c r="O1532" s="1" t="s">
        <v>34</v>
      </c>
      <c r="P1532" s="2">
        <v>41901</v>
      </c>
      <c r="Q1532" s="2" t="b">
        <f t="shared" si="71"/>
        <v>0</v>
      </c>
      <c r="V1532" s="2"/>
      <c r="W1532" s="2"/>
      <c r="X1532" s="2"/>
      <c r="Y1532" s="2"/>
      <c r="Z1532" s="2"/>
      <c r="AA1532" s="2"/>
      <c r="AB1532" s="2"/>
      <c r="AC1532" s="2"/>
      <c r="AD1532" s="2"/>
      <c r="AE1532" s="2"/>
      <c r="AF1532" s="2"/>
      <c r="AG1532" s="2"/>
      <c r="AH1532" s="2"/>
      <c r="AI1532" s="2"/>
    </row>
    <row r="1533" spans="1:35" ht="14.25" customHeight="1" x14ac:dyDescent="0.2">
      <c r="A1533" s="1">
        <v>29860</v>
      </c>
      <c r="B1533" s="1" t="s">
        <v>218</v>
      </c>
      <c r="C1533" s="1" t="s">
        <v>51</v>
      </c>
      <c r="D1533" s="2">
        <v>41895</v>
      </c>
      <c r="E1533" s="1" t="s">
        <v>38</v>
      </c>
      <c r="F1533" s="1" t="s">
        <v>407</v>
      </c>
      <c r="G1533" s="1">
        <v>48</v>
      </c>
      <c r="H1533" s="1">
        <v>178.47</v>
      </c>
      <c r="I1533" s="1">
        <f t="shared" si="69"/>
        <v>8566.56</v>
      </c>
      <c r="J1533" t="str">
        <f t="shared" si="70"/>
        <v>High</v>
      </c>
      <c r="K1533" s="1"/>
      <c r="L1533" s="1">
        <v>0.08</v>
      </c>
      <c r="M1533" s="1">
        <v>19.989999999999998</v>
      </c>
      <c r="N1533" s="1" t="s">
        <v>33</v>
      </c>
      <c r="O1533" s="1" t="s">
        <v>34</v>
      </c>
      <c r="P1533" s="2">
        <v>41898</v>
      </c>
      <c r="Q1533" s="2" t="b">
        <f t="shared" si="71"/>
        <v>0</v>
      </c>
      <c r="V1533" s="2"/>
      <c r="W1533" s="2"/>
      <c r="X1533" s="2"/>
      <c r="Y1533" s="2"/>
      <c r="Z1533" s="2"/>
      <c r="AA1533" s="2"/>
      <c r="AB1533" s="2"/>
      <c r="AC1533" s="2"/>
      <c r="AD1533" s="2"/>
      <c r="AE1533" s="2"/>
      <c r="AF1533" s="2"/>
      <c r="AG1533" s="2"/>
      <c r="AH1533" s="2"/>
      <c r="AI1533" s="2"/>
    </row>
    <row r="1534" spans="1:35" ht="14.25" customHeight="1" x14ac:dyDescent="0.2">
      <c r="A1534" s="1">
        <v>46721</v>
      </c>
      <c r="B1534" s="1" t="s">
        <v>1408</v>
      </c>
      <c r="C1534" s="1" t="s">
        <v>51</v>
      </c>
      <c r="D1534" s="2">
        <v>41895</v>
      </c>
      <c r="E1534" s="1" t="s">
        <v>101</v>
      </c>
      <c r="F1534" s="1" t="s">
        <v>765</v>
      </c>
      <c r="G1534" s="1">
        <v>17</v>
      </c>
      <c r="H1534" s="1">
        <v>7.38</v>
      </c>
      <c r="I1534" s="1">
        <f t="shared" si="69"/>
        <v>125.46</v>
      </c>
      <c r="J1534" t="str">
        <f t="shared" si="70"/>
        <v>Low</v>
      </c>
      <c r="K1534" s="1"/>
      <c r="L1534" s="1">
        <v>0.03</v>
      </c>
      <c r="M1534" s="1">
        <v>11.51</v>
      </c>
      <c r="N1534" s="1" t="s">
        <v>33</v>
      </c>
      <c r="O1534" s="1" t="s">
        <v>34</v>
      </c>
      <c r="P1534" s="2">
        <v>41896</v>
      </c>
      <c r="Q1534" s="2" t="b">
        <f t="shared" si="71"/>
        <v>0</v>
      </c>
      <c r="V1534" s="2"/>
      <c r="W1534" s="2"/>
      <c r="X1534" s="2"/>
      <c r="Y1534" s="2"/>
      <c r="Z1534" s="2"/>
      <c r="AA1534" s="2"/>
      <c r="AB1534" s="2"/>
      <c r="AC1534" s="2"/>
      <c r="AD1534" s="2"/>
      <c r="AE1534" s="2"/>
      <c r="AF1534" s="2"/>
      <c r="AG1534" s="2"/>
      <c r="AH1534" s="2"/>
      <c r="AI1534" s="2"/>
    </row>
    <row r="1535" spans="1:35" ht="14.25" customHeight="1" x14ac:dyDescent="0.2">
      <c r="A1535" s="1">
        <v>46721</v>
      </c>
      <c r="B1535" s="1" t="s">
        <v>1408</v>
      </c>
      <c r="C1535" s="1" t="s">
        <v>21</v>
      </c>
      <c r="D1535" s="2">
        <v>41895</v>
      </c>
      <c r="E1535" s="1" t="s">
        <v>101</v>
      </c>
      <c r="F1535" s="1" t="s">
        <v>1049</v>
      </c>
      <c r="G1535" s="1">
        <v>35</v>
      </c>
      <c r="H1535" s="1">
        <v>6.48</v>
      </c>
      <c r="I1535" s="1">
        <f t="shared" si="69"/>
        <v>226.8</v>
      </c>
      <c r="J1535" t="str">
        <f t="shared" si="70"/>
        <v>Low</v>
      </c>
      <c r="K1535" s="1"/>
      <c r="L1535" s="1">
        <v>0.05</v>
      </c>
      <c r="M1535" s="1">
        <v>7.91</v>
      </c>
      <c r="N1535" s="1" t="s">
        <v>33</v>
      </c>
      <c r="O1535" s="1" t="s">
        <v>34</v>
      </c>
      <c r="P1535" s="2">
        <v>41896</v>
      </c>
      <c r="Q1535" s="2" t="b">
        <f t="shared" si="71"/>
        <v>0</v>
      </c>
      <c r="V1535" s="2"/>
      <c r="W1535" s="2"/>
      <c r="X1535" s="2"/>
      <c r="Y1535" s="2"/>
      <c r="Z1535" s="2"/>
      <c r="AA1535" s="2"/>
      <c r="AB1535" s="2"/>
      <c r="AC1535" s="2"/>
      <c r="AD1535" s="2"/>
      <c r="AE1535" s="2"/>
      <c r="AF1535" s="2"/>
      <c r="AG1535" s="2"/>
      <c r="AH1535" s="2"/>
      <c r="AI1535" s="2"/>
    </row>
    <row r="1536" spans="1:35" ht="14.25" customHeight="1" x14ac:dyDescent="0.2">
      <c r="A1536" s="1">
        <v>46721</v>
      </c>
      <c r="B1536" s="1" t="s">
        <v>1408</v>
      </c>
      <c r="C1536" s="1" t="s">
        <v>30</v>
      </c>
      <c r="D1536" s="2">
        <v>41895</v>
      </c>
      <c r="E1536" s="1" t="s">
        <v>101</v>
      </c>
      <c r="F1536" s="1" t="s">
        <v>1409</v>
      </c>
      <c r="G1536" s="1">
        <v>17</v>
      </c>
      <c r="H1536" s="1">
        <v>111.03</v>
      </c>
      <c r="I1536" s="1">
        <f t="shared" si="69"/>
        <v>1887.51</v>
      </c>
      <c r="J1536" t="str">
        <f t="shared" si="70"/>
        <v>High</v>
      </c>
      <c r="K1536" s="1"/>
      <c r="L1536" s="1">
        <v>0.03</v>
      </c>
      <c r="M1536" s="1">
        <v>8.64</v>
      </c>
      <c r="N1536" s="1" t="s">
        <v>33</v>
      </c>
      <c r="O1536" s="1" t="s">
        <v>34</v>
      </c>
      <c r="P1536" s="2">
        <v>41896</v>
      </c>
      <c r="Q1536" s="2" t="b">
        <f t="shared" si="71"/>
        <v>0</v>
      </c>
      <c r="V1536" s="2"/>
      <c r="W1536" s="2"/>
      <c r="X1536" s="2"/>
      <c r="Y1536" s="2"/>
      <c r="Z1536" s="2"/>
      <c r="AA1536" s="2"/>
      <c r="AB1536" s="2"/>
      <c r="AC1536" s="2"/>
      <c r="AD1536" s="2"/>
      <c r="AE1536" s="2"/>
      <c r="AF1536" s="2"/>
      <c r="AG1536" s="2"/>
      <c r="AH1536" s="2"/>
      <c r="AI1536" s="2"/>
    </row>
    <row r="1537" spans="1:35" ht="14.25" customHeight="1" x14ac:dyDescent="0.2">
      <c r="A1537" s="1">
        <v>4772</v>
      </c>
      <c r="B1537" s="1" t="s">
        <v>899</v>
      </c>
      <c r="C1537" s="1" t="s">
        <v>21</v>
      </c>
      <c r="D1537" s="2">
        <v>41895</v>
      </c>
      <c r="E1537" s="1" t="s">
        <v>38</v>
      </c>
      <c r="F1537" s="1" t="s">
        <v>947</v>
      </c>
      <c r="G1537" s="1">
        <v>28</v>
      </c>
      <c r="H1537" s="1">
        <v>65.989999999999995</v>
      </c>
      <c r="I1537" s="1">
        <f t="shared" si="69"/>
        <v>1847.7199999999998</v>
      </c>
      <c r="J1537" t="str">
        <f t="shared" si="70"/>
        <v>High</v>
      </c>
      <c r="K1537" s="1"/>
      <c r="L1537" s="1">
        <v>0.04</v>
      </c>
      <c r="M1537" s="1">
        <v>8.99</v>
      </c>
      <c r="N1537" s="1" t="s">
        <v>33</v>
      </c>
      <c r="O1537" s="1" t="s">
        <v>34</v>
      </c>
      <c r="P1537" s="2">
        <v>41896</v>
      </c>
      <c r="Q1537" s="2" t="b">
        <f t="shared" si="71"/>
        <v>0</v>
      </c>
      <c r="V1537" s="2"/>
      <c r="W1537" s="2"/>
      <c r="X1537" s="2"/>
      <c r="Y1537" s="2"/>
      <c r="Z1537" s="2"/>
      <c r="AA1537" s="2"/>
      <c r="AB1537" s="2"/>
      <c r="AC1537" s="2"/>
      <c r="AD1537" s="2"/>
      <c r="AE1537" s="2"/>
      <c r="AF1537" s="2"/>
      <c r="AG1537" s="2"/>
      <c r="AH1537" s="2"/>
      <c r="AI1537" s="2"/>
    </row>
    <row r="1538" spans="1:35" ht="14.25" customHeight="1" x14ac:dyDescent="0.2">
      <c r="A1538" s="1">
        <v>10528</v>
      </c>
      <c r="B1538" s="1" t="s">
        <v>391</v>
      </c>
      <c r="C1538" s="1" t="s">
        <v>21</v>
      </c>
      <c r="D1538" s="2">
        <v>41895</v>
      </c>
      <c r="E1538" s="1" t="s">
        <v>101</v>
      </c>
      <c r="F1538" s="1" t="s">
        <v>417</v>
      </c>
      <c r="G1538" s="1">
        <v>47</v>
      </c>
      <c r="H1538" s="1">
        <v>17.7</v>
      </c>
      <c r="I1538" s="1">
        <f t="shared" ref="I1538:I1601" si="72">G1538*H1538</f>
        <v>831.9</v>
      </c>
      <c r="J1538" t="str">
        <f t="shared" ref="J1538:J1601" si="73">IF(I1538&lt;1000,"Low","High")</f>
        <v>Low</v>
      </c>
      <c r="K1538" s="1"/>
      <c r="L1538" s="1">
        <v>0.02</v>
      </c>
      <c r="M1538" s="1">
        <v>9.4700000000000006</v>
      </c>
      <c r="N1538" s="1" t="s">
        <v>25</v>
      </c>
      <c r="O1538" s="1" t="s">
        <v>34</v>
      </c>
      <c r="P1538" s="2">
        <v>41897</v>
      </c>
      <c r="Q1538" s="2" t="b">
        <f t="shared" ref="Q1538:Q1601" si="74">AND(N1538="Express Air",O1538="Large Box")</f>
        <v>0</v>
      </c>
      <c r="V1538" s="2"/>
      <c r="W1538" s="2"/>
      <c r="X1538" s="2"/>
      <c r="Y1538" s="2"/>
      <c r="Z1538" s="2"/>
      <c r="AA1538" s="2"/>
      <c r="AB1538" s="2"/>
      <c r="AC1538" s="2"/>
      <c r="AD1538" s="2"/>
      <c r="AE1538" s="2"/>
      <c r="AF1538" s="2"/>
      <c r="AG1538" s="2"/>
      <c r="AH1538" s="2"/>
      <c r="AI1538" s="2"/>
    </row>
    <row r="1539" spans="1:35" ht="14.25" customHeight="1" x14ac:dyDescent="0.2">
      <c r="A1539" s="1">
        <v>38080</v>
      </c>
      <c r="B1539" s="1" t="s">
        <v>1319</v>
      </c>
      <c r="C1539" s="1" t="s">
        <v>30</v>
      </c>
      <c r="D1539" s="2">
        <v>41896</v>
      </c>
      <c r="E1539" s="1" t="s">
        <v>22</v>
      </c>
      <c r="F1539" s="1" t="s">
        <v>1335</v>
      </c>
      <c r="G1539" s="1">
        <v>26</v>
      </c>
      <c r="H1539" s="1">
        <v>4.9800000000000004</v>
      </c>
      <c r="I1539" s="1">
        <f t="shared" si="72"/>
        <v>129.48000000000002</v>
      </c>
      <c r="J1539" t="str">
        <f t="shared" si="73"/>
        <v>Low</v>
      </c>
      <c r="K1539" s="1"/>
      <c r="L1539" s="1">
        <v>0.08</v>
      </c>
      <c r="M1539" s="1">
        <v>4.7</v>
      </c>
      <c r="N1539" s="1" t="s">
        <v>33</v>
      </c>
      <c r="O1539" s="1" t="s">
        <v>34</v>
      </c>
      <c r="P1539" s="2">
        <v>41897</v>
      </c>
      <c r="Q1539" s="2" t="b">
        <f t="shared" si="74"/>
        <v>0</v>
      </c>
      <c r="V1539" s="2"/>
      <c r="W1539" s="2"/>
      <c r="X1539" s="2"/>
      <c r="Y1539" s="2"/>
      <c r="Z1539" s="2"/>
      <c r="AA1539" s="2"/>
      <c r="AB1539" s="2"/>
      <c r="AC1539" s="2"/>
      <c r="AD1539" s="2"/>
      <c r="AE1539" s="2"/>
      <c r="AF1539" s="2"/>
      <c r="AG1539" s="2"/>
      <c r="AH1539" s="2"/>
      <c r="AI1539" s="2"/>
    </row>
    <row r="1540" spans="1:35" ht="14.25" customHeight="1" x14ac:dyDescent="0.2">
      <c r="A1540" s="1">
        <v>7297</v>
      </c>
      <c r="B1540" s="1" t="s">
        <v>317</v>
      </c>
      <c r="C1540" s="1" t="s">
        <v>21</v>
      </c>
      <c r="D1540" s="2">
        <v>41896</v>
      </c>
      <c r="E1540" s="1" t="s">
        <v>31</v>
      </c>
      <c r="F1540" s="1" t="s">
        <v>828</v>
      </c>
      <c r="G1540" s="1">
        <v>4</v>
      </c>
      <c r="H1540" s="1">
        <v>400.98</v>
      </c>
      <c r="I1540" s="1">
        <f t="shared" si="72"/>
        <v>1603.92</v>
      </c>
      <c r="J1540" t="str">
        <f t="shared" si="73"/>
        <v>High</v>
      </c>
      <c r="K1540" s="1"/>
      <c r="L1540" s="1">
        <v>0.1</v>
      </c>
      <c r="M1540" s="1">
        <v>76.37</v>
      </c>
      <c r="N1540" s="1" t="s">
        <v>45</v>
      </c>
      <c r="O1540" s="1" t="s">
        <v>63</v>
      </c>
      <c r="P1540" s="2">
        <v>41897</v>
      </c>
      <c r="Q1540" s="2" t="b">
        <f t="shared" si="74"/>
        <v>0</v>
      </c>
      <c r="V1540" s="2"/>
      <c r="W1540" s="2"/>
      <c r="X1540" s="2"/>
      <c r="Y1540" s="2"/>
      <c r="Z1540" s="2"/>
      <c r="AA1540" s="2"/>
      <c r="AB1540" s="2"/>
      <c r="AC1540" s="2"/>
      <c r="AD1540" s="2"/>
      <c r="AE1540" s="2"/>
      <c r="AF1540" s="2"/>
      <c r="AG1540" s="2"/>
      <c r="AH1540" s="2"/>
      <c r="AI1540" s="2"/>
    </row>
    <row r="1541" spans="1:35" ht="14.25" customHeight="1" x14ac:dyDescent="0.2">
      <c r="A1541" s="1">
        <v>7297</v>
      </c>
      <c r="B1541" s="1" t="s">
        <v>317</v>
      </c>
      <c r="C1541" s="1" t="s">
        <v>21</v>
      </c>
      <c r="D1541" s="2">
        <v>41896</v>
      </c>
      <c r="E1541" s="1" t="s">
        <v>31</v>
      </c>
      <c r="F1541" s="1" t="s">
        <v>368</v>
      </c>
      <c r="G1541" s="1">
        <v>7</v>
      </c>
      <c r="H1541" s="1">
        <v>45.19</v>
      </c>
      <c r="I1541" s="1">
        <f t="shared" si="72"/>
        <v>316.33</v>
      </c>
      <c r="J1541" t="str">
        <f t="shared" si="73"/>
        <v>Low</v>
      </c>
      <c r="K1541" s="1"/>
      <c r="L1541" s="1">
        <v>0.08</v>
      </c>
      <c r="M1541" s="1">
        <v>1.99</v>
      </c>
      <c r="N1541" s="1" t="s">
        <v>33</v>
      </c>
      <c r="O1541" s="1" t="s">
        <v>84</v>
      </c>
      <c r="P1541" s="2">
        <v>41897</v>
      </c>
      <c r="Q1541" s="2" t="b">
        <f t="shared" si="74"/>
        <v>0</v>
      </c>
      <c r="V1541" s="2"/>
      <c r="W1541" s="2"/>
      <c r="X1541" s="2"/>
      <c r="Y1541" s="2"/>
      <c r="Z1541" s="2"/>
      <c r="AA1541" s="2"/>
      <c r="AB1541" s="2"/>
      <c r="AC1541" s="2"/>
      <c r="AD1541" s="2"/>
      <c r="AE1541" s="2"/>
      <c r="AF1541" s="2"/>
      <c r="AG1541" s="2"/>
      <c r="AH1541" s="2"/>
      <c r="AI1541" s="2"/>
    </row>
    <row r="1542" spans="1:35" ht="14.25" customHeight="1" x14ac:dyDescent="0.2">
      <c r="A1542" s="1">
        <v>7297</v>
      </c>
      <c r="B1542" s="1" t="s">
        <v>317</v>
      </c>
      <c r="C1542" s="1" t="s">
        <v>21</v>
      </c>
      <c r="D1542" s="2">
        <v>41896</v>
      </c>
      <c r="E1542" s="1" t="s">
        <v>31</v>
      </c>
      <c r="F1542" s="1" t="s">
        <v>1410</v>
      </c>
      <c r="G1542" s="1">
        <v>26</v>
      </c>
      <c r="H1542" s="1">
        <v>33.979999999999997</v>
      </c>
      <c r="I1542" s="1">
        <f t="shared" si="72"/>
        <v>883.4799999999999</v>
      </c>
      <c r="J1542" t="str">
        <f t="shared" si="73"/>
        <v>Low</v>
      </c>
      <c r="K1542" s="1"/>
      <c r="L1542" s="1">
        <v>0.03</v>
      </c>
      <c r="M1542" s="1">
        <v>19.989999999999998</v>
      </c>
      <c r="N1542" s="1" t="s">
        <v>33</v>
      </c>
      <c r="O1542" s="1" t="s">
        <v>34</v>
      </c>
      <c r="P1542" s="2">
        <v>41897</v>
      </c>
      <c r="Q1542" s="2" t="b">
        <f t="shared" si="74"/>
        <v>0</v>
      </c>
      <c r="V1542" s="2"/>
      <c r="W1542" s="2"/>
      <c r="X1542" s="2"/>
      <c r="Y1542" s="2"/>
      <c r="Z1542" s="2"/>
      <c r="AA1542" s="2"/>
      <c r="AB1542" s="2"/>
      <c r="AC1542" s="2"/>
      <c r="AD1542" s="2"/>
      <c r="AE1542" s="2"/>
      <c r="AF1542" s="2"/>
      <c r="AG1542" s="2"/>
      <c r="AH1542" s="2"/>
      <c r="AI1542" s="2"/>
    </row>
    <row r="1543" spans="1:35" ht="14.25" customHeight="1" x14ac:dyDescent="0.2">
      <c r="A1543" s="1">
        <v>25831</v>
      </c>
      <c r="B1543" s="1" t="s">
        <v>786</v>
      </c>
      <c r="C1543" s="1" t="s">
        <v>51</v>
      </c>
      <c r="D1543" s="2">
        <v>41896</v>
      </c>
      <c r="E1543" s="1" t="s">
        <v>101</v>
      </c>
      <c r="F1543" s="1" t="s">
        <v>561</v>
      </c>
      <c r="G1543" s="1">
        <v>6</v>
      </c>
      <c r="H1543" s="1">
        <v>45.99</v>
      </c>
      <c r="I1543" s="1">
        <f t="shared" si="72"/>
        <v>275.94</v>
      </c>
      <c r="J1543" t="str">
        <f t="shared" si="73"/>
        <v>Low</v>
      </c>
      <c r="K1543" s="1"/>
      <c r="L1543" s="1">
        <v>0.01</v>
      </c>
      <c r="M1543" s="1">
        <v>4.99</v>
      </c>
      <c r="N1543" s="1" t="s">
        <v>33</v>
      </c>
      <c r="O1543" s="1" t="s">
        <v>34</v>
      </c>
      <c r="P1543" s="2">
        <v>41898</v>
      </c>
      <c r="Q1543" s="2" t="b">
        <f t="shared" si="74"/>
        <v>0</v>
      </c>
      <c r="V1543" s="2"/>
      <c r="W1543" s="2"/>
      <c r="X1543" s="2"/>
      <c r="Y1543" s="2"/>
      <c r="Z1543" s="2"/>
      <c r="AA1543" s="2"/>
      <c r="AB1543" s="2"/>
      <c r="AC1543" s="2"/>
      <c r="AD1543" s="2"/>
      <c r="AE1543" s="2"/>
      <c r="AF1543" s="2"/>
      <c r="AG1543" s="2"/>
      <c r="AH1543" s="2"/>
      <c r="AI1543" s="2"/>
    </row>
    <row r="1544" spans="1:35" ht="14.25" customHeight="1" x14ac:dyDescent="0.2">
      <c r="A1544" s="1">
        <v>7269</v>
      </c>
      <c r="B1544" s="1" t="s">
        <v>115</v>
      </c>
      <c r="C1544" s="1" t="s">
        <v>30</v>
      </c>
      <c r="D1544" s="2">
        <v>41896</v>
      </c>
      <c r="E1544" s="1" t="s">
        <v>101</v>
      </c>
      <c r="F1544" s="1" t="s">
        <v>408</v>
      </c>
      <c r="G1544" s="1">
        <v>29</v>
      </c>
      <c r="H1544" s="1">
        <v>65.989999999999995</v>
      </c>
      <c r="I1544" s="1">
        <f t="shared" si="72"/>
        <v>1913.7099999999998</v>
      </c>
      <c r="J1544" t="str">
        <f t="shared" si="73"/>
        <v>High</v>
      </c>
      <c r="K1544" s="1"/>
      <c r="L1544" s="1">
        <v>0</v>
      </c>
      <c r="M1544" s="1">
        <v>3.99</v>
      </c>
      <c r="N1544" s="1" t="s">
        <v>33</v>
      </c>
      <c r="O1544" s="1" t="s">
        <v>34</v>
      </c>
      <c r="P1544" s="2">
        <v>41897</v>
      </c>
      <c r="Q1544" s="2" t="b">
        <f t="shared" si="74"/>
        <v>0</v>
      </c>
      <c r="V1544" s="2"/>
      <c r="W1544" s="2"/>
      <c r="X1544" s="2"/>
      <c r="Y1544" s="2"/>
      <c r="Z1544" s="2"/>
      <c r="AA1544" s="2"/>
      <c r="AB1544" s="2"/>
      <c r="AC1544" s="2"/>
      <c r="AD1544" s="2"/>
      <c r="AE1544" s="2"/>
      <c r="AF1544" s="2"/>
      <c r="AG1544" s="2"/>
      <c r="AH1544" s="2"/>
      <c r="AI1544" s="2"/>
    </row>
    <row r="1545" spans="1:35" ht="14.25" customHeight="1" x14ac:dyDescent="0.2">
      <c r="A1545" s="1">
        <v>35558</v>
      </c>
      <c r="B1545" s="1" t="s">
        <v>243</v>
      </c>
      <c r="C1545" s="1" t="s">
        <v>21</v>
      </c>
      <c r="D1545" s="2">
        <v>41897</v>
      </c>
      <c r="E1545" s="1" t="s">
        <v>38</v>
      </c>
      <c r="F1545" s="1" t="s">
        <v>518</v>
      </c>
      <c r="G1545" s="1">
        <v>2</v>
      </c>
      <c r="H1545" s="1">
        <v>13.79</v>
      </c>
      <c r="I1545" s="1">
        <f t="shared" si="72"/>
        <v>27.58</v>
      </c>
      <c r="J1545" t="str">
        <f t="shared" si="73"/>
        <v>Low</v>
      </c>
      <c r="K1545" s="1"/>
      <c r="L1545" s="1">
        <v>0.09</v>
      </c>
      <c r="M1545" s="1">
        <v>8.7799999999999994</v>
      </c>
      <c r="N1545" s="1" t="s">
        <v>33</v>
      </c>
      <c r="O1545" s="1" t="s">
        <v>34</v>
      </c>
      <c r="P1545" s="2">
        <v>41899</v>
      </c>
      <c r="Q1545" s="2" t="b">
        <f t="shared" si="74"/>
        <v>0</v>
      </c>
      <c r="V1545" s="2"/>
      <c r="W1545" s="2"/>
      <c r="X1545" s="2"/>
      <c r="Y1545" s="2"/>
      <c r="Z1545" s="2"/>
      <c r="AA1545" s="2"/>
      <c r="AB1545" s="2"/>
      <c r="AC1545" s="2"/>
      <c r="AD1545" s="2"/>
      <c r="AE1545" s="2"/>
      <c r="AF1545" s="2"/>
      <c r="AG1545" s="2"/>
      <c r="AH1545" s="2"/>
      <c r="AI1545" s="2"/>
    </row>
    <row r="1546" spans="1:35" ht="14.25" customHeight="1" x14ac:dyDescent="0.2">
      <c r="A1546" s="1">
        <v>44352</v>
      </c>
      <c r="B1546" s="1" t="s">
        <v>1411</v>
      </c>
      <c r="C1546" s="1" t="s">
        <v>30</v>
      </c>
      <c r="D1546" s="2">
        <v>41897</v>
      </c>
      <c r="E1546" s="1" t="s">
        <v>22</v>
      </c>
      <c r="F1546" s="1" t="s">
        <v>152</v>
      </c>
      <c r="G1546" s="1">
        <v>25</v>
      </c>
      <c r="H1546" s="1">
        <v>3.29</v>
      </c>
      <c r="I1546" s="1">
        <f t="shared" si="72"/>
        <v>82.25</v>
      </c>
      <c r="J1546" t="str">
        <f t="shared" si="73"/>
        <v>Low</v>
      </c>
      <c r="K1546" s="1"/>
      <c r="L1546" s="1">
        <v>0.06</v>
      </c>
      <c r="M1546" s="1">
        <v>1.35</v>
      </c>
      <c r="N1546" s="1" t="s">
        <v>33</v>
      </c>
      <c r="O1546" s="1" t="s">
        <v>55</v>
      </c>
      <c r="P1546" s="2">
        <v>41899</v>
      </c>
      <c r="Q1546" s="2" t="b">
        <f t="shared" si="74"/>
        <v>0</v>
      </c>
      <c r="V1546" s="2"/>
      <c r="W1546" s="2"/>
      <c r="X1546" s="2"/>
      <c r="Y1546" s="2"/>
      <c r="Z1546" s="2"/>
      <c r="AA1546" s="2"/>
      <c r="AB1546" s="2"/>
      <c r="AC1546" s="2"/>
      <c r="AD1546" s="2"/>
      <c r="AE1546" s="2"/>
      <c r="AF1546" s="2"/>
      <c r="AG1546" s="2"/>
      <c r="AH1546" s="2"/>
      <c r="AI1546" s="2"/>
    </row>
    <row r="1547" spans="1:35" ht="14.25" customHeight="1" x14ac:dyDescent="0.2">
      <c r="A1547" s="1">
        <v>53412</v>
      </c>
      <c r="B1547" s="1" t="s">
        <v>1412</v>
      </c>
      <c r="C1547" s="1" t="s">
        <v>30</v>
      </c>
      <c r="D1547" s="2">
        <v>41897</v>
      </c>
      <c r="E1547" s="1" t="s">
        <v>38</v>
      </c>
      <c r="F1547" s="1" t="s">
        <v>1413</v>
      </c>
      <c r="G1547" s="1">
        <v>45</v>
      </c>
      <c r="H1547" s="1">
        <v>54.2</v>
      </c>
      <c r="I1547" s="1">
        <f t="shared" si="72"/>
        <v>2439</v>
      </c>
      <c r="J1547" t="str">
        <f t="shared" si="73"/>
        <v>High</v>
      </c>
      <c r="K1547" s="1"/>
      <c r="L1547" s="1">
        <v>0.02</v>
      </c>
      <c r="M1547" s="1">
        <v>11.1</v>
      </c>
      <c r="N1547" s="1" t="s">
        <v>33</v>
      </c>
      <c r="O1547" s="1" t="s">
        <v>72</v>
      </c>
      <c r="P1547" s="2">
        <v>41898</v>
      </c>
      <c r="Q1547" s="2" t="b">
        <f t="shared" si="74"/>
        <v>0</v>
      </c>
      <c r="V1547" s="2"/>
      <c r="W1547" s="2"/>
      <c r="X1547" s="2"/>
      <c r="Y1547" s="2"/>
      <c r="Z1547" s="2"/>
      <c r="AA1547" s="2"/>
      <c r="AB1547" s="2"/>
      <c r="AC1547" s="2"/>
      <c r="AD1547" s="2"/>
      <c r="AE1547" s="2"/>
      <c r="AF1547" s="2"/>
      <c r="AG1547" s="2"/>
      <c r="AH1547" s="2"/>
      <c r="AI1547" s="2"/>
    </row>
    <row r="1548" spans="1:35" ht="14.25" customHeight="1" x14ac:dyDescent="0.2">
      <c r="A1548" s="1">
        <v>18855</v>
      </c>
      <c r="B1548" s="1" t="s">
        <v>1414</v>
      </c>
      <c r="C1548" s="1" t="s">
        <v>30</v>
      </c>
      <c r="D1548" s="2">
        <v>41897</v>
      </c>
      <c r="E1548" s="1" t="s">
        <v>31</v>
      </c>
      <c r="F1548" s="1" t="s">
        <v>1415</v>
      </c>
      <c r="G1548" s="1">
        <v>31</v>
      </c>
      <c r="H1548" s="1">
        <v>7.3</v>
      </c>
      <c r="I1548" s="1">
        <f t="shared" si="72"/>
        <v>226.29999999999998</v>
      </c>
      <c r="J1548" t="str">
        <f t="shared" si="73"/>
        <v>Low</v>
      </c>
      <c r="K1548" s="1"/>
      <c r="L1548" s="1">
        <v>0.03</v>
      </c>
      <c r="M1548" s="1">
        <v>7.72</v>
      </c>
      <c r="N1548" s="1" t="s">
        <v>33</v>
      </c>
      <c r="O1548" s="1" t="s">
        <v>34</v>
      </c>
      <c r="P1548" s="2">
        <v>41900</v>
      </c>
      <c r="Q1548" s="2" t="b">
        <f t="shared" si="74"/>
        <v>0</v>
      </c>
      <c r="V1548" s="2"/>
      <c r="W1548" s="2"/>
      <c r="X1548" s="2"/>
      <c r="Y1548" s="2"/>
      <c r="Z1548" s="2"/>
      <c r="AA1548" s="2"/>
      <c r="AB1548" s="2"/>
      <c r="AC1548" s="2"/>
      <c r="AD1548" s="2"/>
      <c r="AE1548" s="2"/>
      <c r="AF1548" s="2"/>
      <c r="AG1548" s="2"/>
      <c r="AH1548" s="2"/>
      <c r="AI1548" s="2"/>
    </row>
    <row r="1549" spans="1:35" ht="14.25" customHeight="1" x14ac:dyDescent="0.2">
      <c r="A1549" s="1">
        <v>46437</v>
      </c>
      <c r="B1549" s="1" t="s">
        <v>476</v>
      </c>
      <c r="C1549" s="1" t="s">
        <v>51</v>
      </c>
      <c r="D1549" s="2">
        <v>41897</v>
      </c>
      <c r="E1549" s="1" t="s">
        <v>101</v>
      </c>
      <c r="F1549" s="1" t="s">
        <v>944</v>
      </c>
      <c r="G1549" s="1">
        <v>49</v>
      </c>
      <c r="H1549" s="1">
        <v>29.34</v>
      </c>
      <c r="I1549" s="1">
        <f t="shared" si="72"/>
        <v>1437.66</v>
      </c>
      <c r="J1549" t="str">
        <f t="shared" si="73"/>
        <v>High</v>
      </c>
      <c r="K1549" s="1"/>
      <c r="L1549" s="1">
        <v>0</v>
      </c>
      <c r="M1549" s="1">
        <v>7.87</v>
      </c>
      <c r="N1549" s="1" t="s">
        <v>33</v>
      </c>
      <c r="O1549" s="1" t="s">
        <v>34</v>
      </c>
      <c r="P1549" s="2">
        <v>41899</v>
      </c>
      <c r="Q1549" s="2" t="b">
        <f t="shared" si="74"/>
        <v>0</v>
      </c>
      <c r="V1549" s="2"/>
      <c r="W1549" s="2"/>
      <c r="X1549" s="2"/>
      <c r="Y1549" s="2"/>
      <c r="Z1549" s="2"/>
      <c r="AA1549" s="2"/>
      <c r="AB1549" s="2"/>
      <c r="AC1549" s="2"/>
      <c r="AD1549" s="2"/>
      <c r="AE1549" s="2"/>
      <c r="AF1549" s="2"/>
      <c r="AG1549" s="2"/>
      <c r="AH1549" s="2"/>
      <c r="AI1549" s="2"/>
    </row>
    <row r="1550" spans="1:35" ht="14.25" customHeight="1" x14ac:dyDescent="0.2">
      <c r="A1550" s="1">
        <v>17764</v>
      </c>
      <c r="B1550" s="1" t="s">
        <v>1416</v>
      </c>
      <c r="C1550" s="1" t="s">
        <v>30</v>
      </c>
      <c r="D1550" s="2">
        <v>41898</v>
      </c>
      <c r="E1550" s="1" t="s">
        <v>43</v>
      </c>
      <c r="F1550" s="1" t="s">
        <v>1247</v>
      </c>
      <c r="G1550" s="1">
        <v>27</v>
      </c>
      <c r="H1550" s="1">
        <v>22.84</v>
      </c>
      <c r="I1550" s="1">
        <f t="shared" si="72"/>
        <v>616.67999999999995</v>
      </c>
      <c r="J1550" t="str">
        <f t="shared" si="73"/>
        <v>Low</v>
      </c>
      <c r="K1550" s="1"/>
      <c r="L1550" s="1">
        <v>0.04</v>
      </c>
      <c r="M1550" s="1">
        <v>16.87</v>
      </c>
      <c r="N1550" s="1" t="s">
        <v>33</v>
      </c>
      <c r="O1550" s="1" t="s">
        <v>34</v>
      </c>
      <c r="P1550" s="2">
        <v>41898</v>
      </c>
      <c r="Q1550" s="2" t="b">
        <f t="shared" si="74"/>
        <v>0</v>
      </c>
      <c r="V1550" s="2"/>
      <c r="W1550" s="2"/>
      <c r="X1550" s="2"/>
      <c r="Y1550" s="2"/>
      <c r="Z1550" s="2"/>
      <c r="AA1550" s="2"/>
      <c r="AB1550" s="2"/>
      <c r="AC1550" s="2"/>
      <c r="AD1550" s="2"/>
      <c r="AE1550" s="2"/>
      <c r="AF1550" s="2"/>
      <c r="AG1550" s="2"/>
      <c r="AH1550" s="2"/>
      <c r="AI1550" s="2"/>
    </row>
    <row r="1551" spans="1:35" ht="14.25" customHeight="1" x14ac:dyDescent="0.2">
      <c r="A1551" s="1">
        <v>34880</v>
      </c>
      <c r="B1551" s="1" t="s">
        <v>735</v>
      </c>
      <c r="C1551" s="1" t="s">
        <v>21</v>
      </c>
      <c r="D1551" s="2">
        <v>41898</v>
      </c>
      <c r="E1551" s="1" t="s">
        <v>31</v>
      </c>
      <c r="F1551" s="1" t="s">
        <v>1296</v>
      </c>
      <c r="G1551" s="1">
        <v>44</v>
      </c>
      <c r="H1551" s="1">
        <v>6.48</v>
      </c>
      <c r="I1551" s="1">
        <f t="shared" si="72"/>
        <v>285.12</v>
      </c>
      <c r="J1551" t="str">
        <f t="shared" si="73"/>
        <v>Low</v>
      </c>
      <c r="K1551" s="1"/>
      <c r="L1551" s="1">
        <v>0.04</v>
      </c>
      <c r="M1551" s="1">
        <v>5.19</v>
      </c>
      <c r="N1551" s="1" t="s">
        <v>33</v>
      </c>
      <c r="O1551" s="1" t="s">
        <v>34</v>
      </c>
      <c r="P1551" s="2">
        <v>41899</v>
      </c>
      <c r="Q1551" s="2" t="b">
        <f t="shared" si="74"/>
        <v>0</v>
      </c>
      <c r="V1551" s="2"/>
      <c r="W1551" s="2"/>
      <c r="X1551" s="2"/>
      <c r="Y1551" s="2"/>
      <c r="Z1551" s="2"/>
      <c r="AA1551" s="2"/>
      <c r="AB1551" s="2"/>
      <c r="AC1551" s="2"/>
      <c r="AD1551" s="2"/>
      <c r="AE1551" s="2"/>
      <c r="AF1551" s="2"/>
      <c r="AG1551" s="2"/>
      <c r="AH1551" s="2"/>
      <c r="AI1551" s="2"/>
    </row>
    <row r="1552" spans="1:35" ht="14.25" customHeight="1" x14ac:dyDescent="0.2">
      <c r="A1552" s="1">
        <v>27330</v>
      </c>
      <c r="B1552" s="1" t="s">
        <v>1417</v>
      </c>
      <c r="C1552" s="1" t="s">
        <v>21</v>
      </c>
      <c r="D1552" s="2">
        <v>41898</v>
      </c>
      <c r="E1552" s="1" t="s">
        <v>43</v>
      </c>
      <c r="F1552" s="1" t="s">
        <v>963</v>
      </c>
      <c r="G1552" s="1">
        <v>8</v>
      </c>
      <c r="H1552" s="1">
        <v>55.5</v>
      </c>
      <c r="I1552" s="1">
        <f t="shared" si="72"/>
        <v>444</v>
      </c>
      <c r="J1552" t="str">
        <f t="shared" si="73"/>
        <v>Low</v>
      </c>
      <c r="K1552" s="1"/>
      <c r="L1552" s="1">
        <v>0.05</v>
      </c>
      <c r="M1552" s="1">
        <v>52.2</v>
      </c>
      <c r="N1552" s="1" t="s">
        <v>33</v>
      </c>
      <c r="O1552" s="1" t="s">
        <v>72</v>
      </c>
      <c r="P1552" s="2">
        <v>41898</v>
      </c>
      <c r="Q1552" s="2" t="b">
        <f t="shared" si="74"/>
        <v>0</v>
      </c>
      <c r="V1552" s="2"/>
      <c r="W1552" s="2"/>
      <c r="X1552" s="2"/>
      <c r="Y1552" s="2"/>
      <c r="Z1552" s="2"/>
      <c r="AA1552" s="2"/>
      <c r="AB1552" s="2"/>
      <c r="AC1552" s="2"/>
      <c r="AD1552" s="2"/>
      <c r="AE1552" s="2"/>
      <c r="AF1552" s="2"/>
      <c r="AG1552" s="2"/>
      <c r="AH1552" s="2"/>
      <c r="AI1552" s="2"/>
    </row>
    <row r="1553" spans="1:35" ht="14.25" customHeight="1" x14ac:dyDescent="0.2">
      <c r="A1553" s="1">
        <v>27330</v>
      </c>
      <c r="B1553" s="1" t="s">
        <v>1417</v>
      </c>
      <c r="C1553" s="1" t="s">
        <v>30</v>
      </c>
      <c r="D1553" s="2">
        <v>41898</v>
      </c>
      <c r="E1553" s="1" t="s">
        <v>43</v>
      </c>
      <c r="F1553" s="1" t="s">
        <v>512</v>
      </c>
      <c r="G1553" s="1">
        <v>30</v>
      </c>
      <c r="H1553" s="1">
        <v>442.14</v>
      </c>
      <c r="I1553" s="1">
        <f t="shared" si="72"/>
        <v>13264.199999999999</v>
      </c>
      <c r="J1553" t="str">
        <f t="shared" si="73"/>
        <v>High</v>
      </c>
      <c r="K1553" s="1"/>
      <c r="L1553" s="1">
        <v>0.05</v>
      </c>
      <c r="M1553" s="1">
        <v>14.7</v>
      </c>
      <c r="N1553" s="1" t="s">
        <v>45</v>
      </c>
      <c r="O1553" s="1" t="s">
        <v>46</v>
      </c>
      <c r="P1553" s="2">
        <v>41907</v>
      </c>
      <c r="Q1553" s="2" t="b">
        <f t="shared" si="74"/>
        <v>0</v>
      </c>
      <c r="V1553" s="2"/>
      <c r="W1553" s="2"/>
      <c r="X1553" s="2"/>
      <c r="Y1553" s="2"/>
      <c r="Z1553" s="2"/>
      <c r="AA1553" s="2"/>
      <c r="AB1553" s="2"/>
      <c r="AC1553" s="2"/>
      <c r="AD1553" s="2"/>
      <c r="AE1553" s="2"/>
      <c r="AF1553" s="2"/>
      <c r="AG1553" s="2"/>
      <c r="AH1553" s="2"/>
      <c r="AI1553" s="2"/>
    </row>
    <row r="1554" spans="1:35" ht="14.25" customHeight="1" x14ac:dyDescent="0.2">
      <c r="A1554" s="1">
        <v>10371</v>
      </c>
      <c r="B1554" s="1" t="s">
        <v>931</v>
      </c>
      <c r="C1554" s="1" t="s">
        <v>21</v>
      </c>
      <c r="D1554" s="2">
        <v>41898</v>
      </c>
      <c r="E1554" s="1" t="s">
        <v>31</v>
      </c>
      <c r="F1554" s="1" t="s">
        <v>1291</v>
      </c>
      <c r="G1554" s="1">
        <v>10</v>
      </c>
      <c r="H1554" s="1">
        <v>15.73</v>
      </c>
      <c r="I1554" s="1">
        <f t="shared" si="72"/>
        <v>157.30000000000001</v>
      </c>
      <c r="J1554" t="str">
        <f t="shared" si="73"/>
        <v>Low</v>
      </c>
      <c r="K1554" s="1"/>
      <c r="L1554" s="1">
        <v>0.08</v>
      </c>
      <c r="M1554" s="1">
        <v>7.42</v>
      </c>
      <c r="N1554" s="1" t="s">
        <v>25</v>
      </c>
      <c r="O1554" s="1" t="s">
        <v>84</v>
      </c>
      <c r="P1554" s="2">
        <v>41900</v>
      </c>
      <c r="Q1554" s="2" t="b">
        <f t="shared" si="74"/>
        <v>0</v>
      </c>
      <c r="V1554" s="2"/>
      <c r="W1554" s="2"/>
      <c r="X1554" s="2"/>
      <c r="Y1554" s="2"/>
      <c r="Z1554" s="2"/>
      <c r="AA1554" s="2"/>
      <c r="AB1554" s="2"/>
      <c r="AC1554" s="2"/>
      <c r="AD1554" s="2"/>
      <c r="AE1554" s="2"/>
      <c r="AF1554" s="2"/>
      <c r="AG1554" s="2"/>
      <c r="AH1554" s="2"/>
      <c r="AI1554" s="2"/>
    </row>
    <row r="1555" spans="1:35" ht="14.25" customHeight="1" x14ac:dyDescent="0.2">
      <c r="A1555" s="1">
        <v>54243</v>
      </c>
      <c r="B1555" s="1" t="s">
        <v>223</v>
      </c>
      <c r="C1555" s="1" t="s">
        <v>51</v>
      </c>
      <c r="D1555" s="2">
        <v>41898</v>
      </c>
      <c r="E1555" s="1" t="s">
        <v>43</v>
      </c>
      <c r="F1555" s="1" t="s">
        <v>373</v>
      </c>
      <c r="G1555" s="1">
        <v>6</v>
      </c>
      <c r="H1555" s="1">
        <v>154.13</v>
      </c>
      <c r="I1555" s="1">
        <f t="shared" si="72"/>
        <v>924.78</v>
      </c>
      <c r="J1555" t="str">
        <f t="shared" si="73"/>
        <v>Low</v>
      </c>
      <c r="K1555" s="1"/>
      <c r="L1555" s="1">
        <v>7.0000000000000007E-2</v>
      </c>
      <c r="M1555" s="1">
        <v>69</v>
      </c>
      <c r="N1555" s="1" t="s">
        <v>25</v>
      </c>
      <c r="O1555" s="1" t="s">
        <v>26</v>
      </c>
      <c r="P1555" s="2">
        <v>41898</v>
      </c>
      <c r="Q1555" s="2" t="b">
        <f t="shared" si="74"/>
        <v>1</v>
      </c>
      <c r="V1555" s="2"/>
      <c r="W1555" s="2"/>
      <c r="X1555" s="2"/>
      <c r="Y1555" s="2"/>
      <c r="Z1555" s="2"/>
      <c r="AA1555" s="2"/>
      <c r="AB1555" s="2"/>
      <c r="AC1555" s="2"/>
      <c r="AD1555" s="2"/>
      <c r="AE1555" s="2"/>
      <c r="AF1555" s="2"/>
      <c r="AG1555" s="2"/>
      <c r="AH1555" s="2"/>
      <c r="AI1555" s="2"/>
    </row>
    <row r="1556" spans="1:35" ht="14.25" customHeight="1" x14ac:dyDescent="0.2">
      <c r="A1556" s="1">
        <v>21121</v>
      </c>
      <c r="B1556" s="1" t="s">
        <v>1418</v>
      </c>
      <c r="C1556" s="1" t="s">
        <v>51</v>
      </c>
      <c r="D1556" s="2">
        <v>41898</v>
      </c>
      <c r="E1556" s="1" t="s">
        <v>22</v>
      </c>
      <c r="F1556" s="1" t="s">
        <v>1419</v>
      </c>
      <c r="G1556" s="1">
        <v>50</v>
      </c>
      <c r="H1556" s="1">
        <v>387.99</v>
      </c>
      <c r="I1556" s="1">
        <f t="shared" si="72"/>
        <v>19399.5</v>
      </c>
      <c r="J1556" t="str">
        <f t="shared" si="73"/>
        <v>High</v>
      </c>
      <c r="K1556" s="1"/>
      <c r="L1556" s="1">
        <v>0</v>
      </c>
      <c r="M1556" s="1">
        <v>19.989999999999998</v>
      </c>
      <c r="N1556" s="1" t="s">
        <v>33</v>
      </c>
      <c r="O1556" s="1" t="s">
        <v>34</v>
      </c>
      <c r="P1556" s="2">
        <v>41899</v>
      </c>
      <c r="Q1556" s="2" t="b">
        <f t="shared" si="74"/>
        <v>0</v>
      </c>
      <c r="V1556" s="2"/>
      <c r="W1556" s="2"/>
      <c r="X1556" s="2"/>
      <c r="Y1556" s="2"/>
      <c r="Z1556" s="2"/>
      <c r="AA1556" s="2"/>
      <c r="AB1556" s="2"/>
      <c r="AC1556" s="2"/>
      <c r="AD1556" s="2"/>
      <c r="AE1556" s="2"/>
      <c r="AF1556" s="2"/>
      <c r="AG1556" s="2"/>
      <c r="AH1556" s="2"/>
      <c r="AI1556" s="2"/>
    </row>
    <row r="1557" spans="1:35" ht="14.25" customHeight="1" x14ac:dyDescent="0.2">
      <c r="A1557" s="1">
        <v>43974</v>
      </c>
      <c r="B1557" s="1" t="s">
        <v>774</v>
      </c>
      <c r="C1557" s="1" t="s">
        <v>51</v>
      </c>
      <c r="D1557" s="2">
        <v>41898</v>
      </c>
      <c r="E1557" s="1" t="s">
        <v>22</v>
      </c>
      <c r="F1557" s="1" t="s">
        <v>598</v>
      </c>
      <c r="G1557" s="1">
        <v>8</v>
      </c>
      <c r="H1557" s="1">
        <v>7.64</v>
      </c>
      <c r="I1557" s="1">
        <f t="shared" si="72"/>
        <v>61.12</v>
      </c>
      <c r="J1557" t="str">
        <f t="shared" si="73"/>
        <v>Low</v>
      </c>
      <c r="K1557" s="1"/>
      <c r="L1557" s="1">
        <v>0.03</v>
      </c>
      <c r="M1557" s="1">
        <v>1.39</v>
      </c>
      <c r="N1557" s="1" t="s">
        <v>33</v>
      </c>
      <c r="O1557" s="1" t="s">
        <v>34</v>
      </c>
      <c r="P1557" s="2">
        <v>41899</v>
      </c>
      <c r="Q1557" s="2" t="b">
        <f t="shared" si="74"/>
        <v>0</v>
      </c>
      <c r="V1557" s="2"/>
      <c r="W1557" s="2"/>
      <c r="X1557" s="2"/>
      <c r="Y1557" s="2"/>
      <c r="Z1557" s="2"/>
      <c r="AA1557" s="2"/>
      <c r="AB1557" s="2"/>
      <c r="AC1557" s="2"/>
      <c r="AD1557" s="2"/>
      <c r="AE1557" s="2"/>
      <c r="AF1557" s="2"/>
      <c r="AG1557" s="2"/>
      <c r="AH1557" s="2"/>
      <c r="AI1557" s="2"/>
    </row>
    <row r="1558" spans="1:35" ht="14.25" customHeight="1" x14ac:dyDescent="0.2">
      <c r="A1558" s="1">
        <v>57734</v>
      </c>
      <c r="B1558" s="1" t="s">
        <v>531</v>
      </c>
      <c r="C1558" s="1" t="s">
        <v>21</v>
      </c>
      <c r="D1558" s="2">
        <v>41898</v>
      </c>
      <c r="E1558" s="1" t="s">
        <v>31</v>
      </c>
      <c r="F1558" s="1" t="s">
        <v>1117</v>
      </c>
      <c r="G1558" s="1">
        <v>26</v>
      </c>
      <c r="H1558" s="1">
        <v>4.24</v>
      </c>
      <c r="I1558" s="1">
        <f t="shared" si="72"/>
        <v>110.24000000000001</v>
      </c>
      <c r="J1558" t="str">
        <f t="shared" si="73"/>
        <v>Low</v>
      </c>
      <c r="K1558" s="1"/>
      <c r="L1558" s="1">
        <v>0.05</v>
      </c>
      <c r="M1558" s="1">
        <v>5.41</v>
      </c>
      <c r="N1558" s="1" t="s">
        <v>33</v>
      </c>
      <c r="O1558" s="1" t="s">
        <v>34</v>
      </c>
      <c r="P1558" s="2">
        <v>41900</v>
      </c>
      <c r="Q1558" s="2" t="b">
        <f t="shared" si="74"/>
        <v>0</v>
      </c>
      <c r="V1558" s="2"/>
      <c r="W1558" s="2"/>
      <c r="X1558" s="2"/>
      <c r="Y1558" s="2"/>
      <c r="Z1558" s="2"/>
      <c r="AA1558" s="2"/>
      <c r="AB1558" s="2"/>
      <c r="AC1558" s="2"/>
      <c r="AD1558" s="2"/>
      <c r="AE1558" s="2"/>
      <c r="AF1558" s="2"/>
      <c r="AG1558" s="2"/>
      <c r="AH1558" s="2"/>
      <c r="AI1558" s="2"/>
    </row>
    <row r="1559" spans="1:35" ht="14.25" customHeight="1" x14ac:dyDescent="0.2">
      <c r="A1559" s="1">
        <v>57734</v>
      </c>
      <c r="B1559" s="1" t="s">
        <v>531</v>
      </c>
      <c r="C1559" s="1" t="s">
        <v>21</v>
      </c>
      <c r="D1559" s="2">
        <v>41898</v>
      </c>
      <c r="E1559" s="1" t="s">
        <v>31</v>
      </c>
      <c r="F1559" s="1" t="s">
        <v>943</v>
      </c>
      <c r="G1559" s="1">
        <v>27</v>
      </c>
      <c r="H1559" s="1">
        <v>16.98</v>
      </c>
      <c r="I1559" s="1">
        <f t="shared" si="72"/>
        <v>458.46000000000004</v>
      </c>
      <c r="J1559" t="str">
        <f t="shared" si="73"/>
        <v>Low</v>
      </c>
      <c r="K1559" s="1"/>
      <c r="L1559" s="1">
        <v>0.1</v>
      </c>
      <c r="M1559" s="1">
        <v>12.39</v>
      </c>
      <c r="N1559" s="1" t="s">
        <v>33</v>
      </c>
      <c r="O1559" s="1" t="s">
        <v>34</v>
      </c>
      <c r="P1559" s="2">
        <v>41900</v>
      </c>
      <c r="Q1559" s="2" t="b">
        <f t="shared" si="74"/>
        <v>0</v>
      </c>
      <c r="V1559" s="2"/>
      <c r="W1559" s="2"/>
      <c r="X1559" s="2"/>
      <c r="Y1559" s="2"/>
      <c r="Z1559" s="2"/>
      <c r="AA1559" s="2"/>
      <c r="AB1559" s="2"/>
      <c r="AC1559" s="2"/>
      <c r="AD1559" s="2"/>
      <c r="AE1559" s="2"/>
      <c r="AF1559" s="2"/>
      <c r="AG1559" s="2"/>
      <c r="AH1559" s="2"/>
      <c r="AI1559" s="2"/>
    </row>
    <row r="1560" spans="1:35" ht="14.25" customHeight="1" x14ac:dyDescent="0.2">
      <c r="A1560" s="1">
        <v>41412</v>
      </c>
      <c r="B1560" s="1" t="s">
        <v>818</v>
      </c>
      <c r="C1560" s="1" t="s">
        <v>30</v>
      </c>
      <c r="D1560" s="2">
        <v>41899</v>
      </c>
      <c r="E1560" s="1" t="s">
        <v>22</v>
      </c>
      <c r="F1560" s="1" t="s">
        <v>980</v>
      </c>
      <c r="G1560" s="1">
        <v>47</v>
      </c>
      <c r="H1560" s="1">
        <v>5.4</v>
      </c>
      <c r="I1560" s="1">
        <f t="shared" si="72"/>
        <v>253.8</v>
      </c>
      <c r="J1560" t="str">
        <f t="shared" si="73"/>
        <v>Low</v>
      </c>
      <c r="K1560" s="1"/>
      <c r="L1560" s="1">
        <v>0.03</v>
      </c>
      <c r="M1560" s="1">
        <v>7.78</v>
      </c>
      <c r="N1560" s="1" t="s">
        <v>33</v>
      </c>
      <c r="O1560" s="1" t="s">
        <v>34</v>
      </c>
      <c r="P1560" s="2">
        <v>41901</v>
      </c>
      <c r="Q1560" s="2" t="b">
        <f t="shared" si="74"/>
        <v>0</v>
      </c>
      <c r="V1560" s="2"/>
      <c r="W1560" s="2"/>
      <c r="X1560" s="2"/>
      <c r="Y1560" s="2"/>
      <c r="Z1560" s="2"/>
      <c r="AA1560" s="2"/>
      <c r="AB1560" s="2"/>
      <c r="AC1560" s="2"/>
      <c r="AD1560" s="2"/>
      <c r="AE1560" s="2"/>
      <c r="AF1560" s="2"/>
      <c r="AG1560" s="2"/>
      <c r="AH1560" s="2"/>
      <c r="AI1560" s="2"/>
    </row>
    <row r="1561" spans="1:35" ht="14.25" customHeight="1" x14ac:dyDescent="0.2">
      <c r="A1561" s="1">
        <v>29410</v>
      </c>
      <c r="B1561" s="1" t="s">
        <v>1420</v>
      </c>
      <c r="C1561" s="1" t="s">
        <v>51</v>
      </c>
      <c r="D1561" s="2">
        <v>41899</v>
      </c>
      <c r="E1561" s="1" t="s">
        <v>38</v>
      </c>
      <c r="F1561" s="1" t="s">
        <v>1421</v>
      </c>
      <c r="G1561" s="1">
        <v>35</v>
      </c>
      <c r="H1561" s="1">
        <v>120.97</v>
      </c>
      <c r="I1561" s="1">
        <f t="shared" si="72"/>
        <v>4233.95</v>
      </c>
      <c r="J1561" t="str">
        <f t="shared" si="73"/>
        <v>High</v>
      </c>
      <c r="K1561" s="1"/>
      <c r="L1561" s="1">
        <v>0.04</v>
      </c>
      <c r="M1561" s="1">
        <v>7.11</v>
      </c>
      <c r="N1561" s="1" t="s">
        <v>33</v>
      </c>
      <c r="O1561" s="1" t="s">
        <v>72</v>
      </c>
      <c r="P1561" s="2">
        <v>41899</v>
      </c>
      <c r="Q1561" s="2" t="b">
        <f t="shared" si="74"/>
        <v>0</v>
      </c>
      <c r="V1561" s="2"/>
      <c r="W1561" s="2"/>
      <c r="X1561" s="2"/>
      <c r="Y1561" s="2"/>
      <c r="Z1561" s="2"/>
      <c r="AA1561" s="2"/>
      <c r="AB1561" s="2"/>
      <c r="AC1561" s="2"/>
      <c r="AD1561" s="2"/>
      <c r="AE1561" s="2"/>
      <c r="AF1561" s="2"/>
      <c r="AG1561" s="2"/>
      <c r="AH1561" s="2"/>
      <c r="AI1561" s="2"/>
    </row>
    <row r="1562" spans="1:35" ht="14.25" customHeight="1" x14ac:dyDescent="0.2">
      <c r="A1562" s="1">
        <v>29410</v>
      </c>
      <c r="B1562" s="1" t="s">
        <v>1420</v>
      </c>
      <c r="C1562" s="1" t="s">
        <v>21</v>
      </c>
      <c r="D1562" s="2">
        <v>41899</v>
      </c>
      <c r="E1562" s="1" t="s">
        <v>38</v>
      </c>
      <c r="F1562" s="1" t="s">
        <v>1422</v>
      </c>
      <c r="G1562" s="1">
        <v>36</v>
      </c>
      <c r="H1562" s="1">
        <v>195.99</v>
      </c>
      <c r="I1562" s="1">
        <f t="shared" si="72"/>
        <v>7055.64</v>
      </c>
      <c r="J1562" t="str">
        <f t="shared" si="73"/>
        <v>High</v>
      </c>
      <c r="K1562" s="1"/>
      <c r="L1562" s="1">
        <v>0</v>
      </c>
      <c r="M1562" s="1">
        <v>4.2</v>
      </c>
      <c r="N1562" s="1" t="s">
        <v>33</v>
      </c>
      <c r="O1562" s="1" t="s">
        <v>34</v>
      </c>
      <c r="P1562" s="2">
        <v>41901</v>
      </c>
      <c r="Q1562" s="2" t="b">
        <f t="shared" si="74"/>
        <v>0</v>
      </c>
      <c r="V1562" s="2"/>
      <c r="W1562" s="2"/>
      <c r="X1562" s="2"/>
      <c r="Y1562" s="2"/>
      <c r="Z1562" s="2"/>
      <c r="AA1562" s="2"/>
      <c r="AB1562" s="2"/>
      <c r="AC1562" s="2"/>
      <c r="AD1562" s="2"/>
      <c r="AE1562" s="2"/>
      <c r="AF1562" s="2"/>
      <c r="AG1562" s="2"/>
      <c r="AH1562" s="2"/>
      <c r="AI1562" s="2"/>
    </row>
    <row r="1563" spans="1:35" ht="14.25" customHeight="1" x14ac:dyDescent="0.2">
      <c r="A1563" s="1">
        <v>38915</v>
      </c>
      <c r="B1563" s="1" t="s">
        <v>1423</v>
      </c>
      <c r="C1563" s="1" t="s">
        <v>30</v>
      </c>
      <c r="D1563" s="2">
        <v>41899</v>
      </c>
      <c r="E1563" s="1" t="s">
        <v>101</v>
      </c>
      <c r="F1563" s="1" t="s">
        <v>205</v>
      </c>
      <c r="G1563" s="1">
        <v>12</v>
      </c>
      <c r="H1563" s="1">
        <v>7.77</v>
      </c>
      <c r="I1563" s="1">
        <f t="shared" si="72"/>
        <v>93.24</v>
      </c>
      <c r="J1563" t="str">
        <f t="shared" si="73"/>
        <v>Low</v>
      </c>
      <c r="K1563" s="1"/>
      <c r="L1563" s="1">
        <v>0.08</v>
      </c>
      <c r="M1563" s="1">
        <v>9.23</v>
      </c>
      <c r="N1563" s="1" t="s">
        <v>33</v>
      </c>
      <c r="O1563" s="1" t="s">
        <v>34</v>
      </c>
      <c r="P1563" s="2">
        <v>41900</v>
      </c>
      <c r="Q1563" s="2" t="b">
        <f t="shared" si="74"/>
        <v>0</v>
      </c>
      <c r="V1563" s="2"/>
      <c r="W1563" s="2"/>
      <c r="X1563" s="2"/>
      <c r="Y1563" s="2"/>
      <c r="Z1563" s="2"/>
      <c r="AA1563" s="2"/>
      <c r="AB1563" s="2"/>
      <c r="AC1563" s="2"/>
      <c r="AD1563" s="2"/>
      <c r="AE1563" s="2"/>
      <c r="AF1563" s="2"/>
      <c r="AG1563" s="2"/>
      <c r="AH1563" s="2"/>
      <c r="AI1563" s="2"/>
    </row>
    <row r="1564" spans="1:35" ht="14.25" customHeight="1" x14ac:dyDescent="0.2">
      <c r="A1564" s="1">
        <v>38915</v>
      </c>
      <c r="B1564" s="1" t="s">
        <v>1423</v>
      </c>
      <c r="C1564" s="1" t="s">
        <v>51</v>
      </c>
      <c r="D1564" s="2">
        <v>41899</v>
      </c>
      <c r="E1564" s="1" t="s">
        <v>101</v>
      </c>
      <c r="F1564" s="1" t="s">
        <v>640</v>
      </c>
      <c r="G1564" s="1">
        <v>34</v>
      </c>
      <c r="H1564" s="1">
        <v>7.59</v>
      </c>
      <c r="I1564" s="1">
        <f t="shared" si="72"/>
        <v>258.06</v>
      </c>
      <c r="J1564" t="str">
        <f t="shared" si="73"/>
        <v>Low</v>
      </c>
      <c r="K1564" s="1"/>
      <c r="L1564" s="1">
        <v>7.0000000000000007E-2</v>
      </c>
      <c r="M1564" s="1">
        <v>4</v>
      </c>
      <c r="N1564" s="1" t="s">
        <v>33</v>
      </c>
      <c r="O1564" s="1" t="s">
        <v>55</v>
      </c>
      <c r="P1564" s="2">
        <v>41901</v>
      </c>
      <c r="Q1564" s="2" t="b">
        <f t="shared" si="74"/>
        <v>0</v>
      </c>
      <c r="V1564" s="2"/>
      <c r="W1564" s="2"/>
      <c r="X1564" s="2"/>
      <c r="Y1564" s="2"/>
      <c r="Z1564" s="2"/>
      <c r="AA1564" s="2"/>
      <c r="AB1564" s="2"/>
      <c r="AC1564" s="2"/>
      <c r="AD1564" s="2"/>
      <c r="AE1564" s="2"/>
      <c r="AF1564" s="2"/>
      <c r="AG1564" s="2"/>
      <c r="AH1564" s="2"/>
      <c r="AI1564" s="2"/>
    </row>
    <row r="1565" spans="1:35" ht="14.25" customHeight="1" x14ac:dyDescent="0.2">
      <c r="A1565" s="1">
        <v>31619</v>
      </c>
      <c r="B1565" s="1" t="s">
        <v>1424</v>
      </c>
      <c r="C1565" s="1" t="s">
        <v>30</v>
      </c>
      <c r="D1565" s="2">
        <v>41899</v>
      </c>
      <c r="E1565" s="1" t="s">
        <v>43</v>
      </c>
      <c r="F1565" s="1" t="s">
        <v>990</v>
      </c>
      <c r="G1565" s="1">
        <v>11</v>
      </c>
      <c r="H1565" s="1">
        <v>10.98</v>
      </c>
      <c r="I1565" s="1">
        <f t="shared" si="72"/>
        <v>120.78</v>
      </c>
      <c r="J1565" t="str">
        <f t="shared" si="73"/>
        <v>Low</v>
      </c>
      <c r="K1565" s="1"/>
      <c r="L1565" s="1">
        <v>0.1</v>
      </c>
      <c r="M1565" s="1">
        <v>3.99</v>
      </c>
      <c r="N1565" s="1" t="s">
        <v>33</v>
      </c>
      <c r="O1565" s="1" t="s">
        <v>34</v>
      </c>
      <c r="P1565" s="2">
        <v>41906</v>
      </c>
      <c r="Q1565" s="2" t="b">
        <f t="shared" si="74"/>
        <v>0</v>
      </c>
      <c r="V1565" s="2"/>
      <c r="W1565" s="2"/>
      <c r="X1565" s="2"/>
      <c r="Y1565" s="2"/>
      <c r="Z1565" s="2"/>
      <c r="AA1565" s="2"/>
      <c r="AB1565" s="2"/>
      <c r="AC1565" s="2"/>
      <c r="AD1565" s="2"/>
      <c r="AE1565" s="2"/>
      <c r="AF1565" s="2"/>
      <c r="AG1565" s="2"/>
      <c r="AH1565" s="2"/>
      <c r="AI1565" s="2"/>
    </row>
    <row r="1566" spans="1:35" ht="14.25" customHeight="1" x14ac:dyDescent="0.2">
      <c r="A1566" s="1">
        <v>31619</v>
      </c>
      <c r="B1566" s="1" t="s">
        <v>1424</v>
      </c>
      <c r="C1566" s="1" t="s">
        <v>51</v>
      </c>
      <c r="D1566" s="2">
        <v>41899</v>
      </c>
      <c r="E1566" s="1" t="s">
        <v>43</v>
      </c>
      <c r="F1566" s="1" t="s">
        <v>1425</v>
      </c>
      <c r="G1566" s="1">
        <v>9</v>
      </c>
      <c r="H1566" s="1">
        <v>39.979999999999997</v>
      </c>
      <c r="I1566" s="1">
        <f t="shared" si="72"/>
        <v>359.82</v>
      </c>
      <c r="J1566" t="str">
        <f t="shared" si="73"/>
        <v>Low</v>
      </c>
      <c r="K1566" s="1"/>
      <c r="L1566" s="1">
        <v>0.01</v>
      </c>
      <c r="M1566" s="1">
        <v>9.1999999999999993</v>
      </c>
      <c r="N1566" s="1" t="s">
        <v>33</v>
      </c>
      <c r="O1566" s="1" t="s">
        <v>55</v>
      </c>
      <c r="P1566" s="2">
        <v>41901</v>
      </c>
      <c r="Q1566" s="2" t="b">
        <f t="shared" si="74"/>
        <v>0</v>
      </c>
      <c r="V1566" s="2"/>
      <c r="W1566" s="2"/>
      <c r="X1566" s="2"/>
      <c r="Y1566" s="2"/>
      <c r="Z1566" s="2"/>
      <c r="AA1566" s="2"/>
      <c r="AB1566" s="2"/>
      <c r="AC1566" s="2"/>
      <c r="AD1566" s="2"/>
      <c r="AE1566" s="2"/>
      <c r="AF1566" s="2"/>
      <c r="AG1566" s="2"/>
      <c r="AH1566" s="2"/>
      <c r="AI1566" s="2"/>
    </row>
    <row r="1567" spans="1:35" ht="14.25" customHeight="1" x14ac:dyDescent="0.2">
      <c r="A1567" s="1">
        <v>19204</v>
      </c>
      <c r="B1567" s="1" t="s">
        <v>1420</v>
      </c>
      <c r="C1567" s="1" t="s">
        <v>51</v>
      </c>
      <c r="D1567" s="2">
        <v>41900</v>
      </c>
      <c r="E1567" s="1" t="s">
        <v>101</v>
      </c>
      <c r="F1567" s="1" t="s">
        <v>1426</v>
      </c>
      <c r="G1567" s="1">
        <v>27</v>
      </c>
      <c r="H1567" s="1">
        <v>8.75</v>
      </c>
      <c r="I1567" s="1">
        <f t="shared" si="72"/>
        <v>236.25</v>
      </c>
      <c r="J1567" t="str">
        <f t="shared" si="73"/>
        <v>Low</v>
      </c>
      <c r="K1567" s="1"/>
      <c r="L1567" s="1">
        <v>0.1</v>
      </c>
      <c r="M1567" s="1">
        <v>8.5399999999999991</v>
      </c>
      <c r="N1567" s="1" t="s">
        <v>33</v>
      </c>
      <c r="O1567" s="1" t="s">
        <v>84</v>
      </c>
      <c r="P1567" s="2">
        <v>41901</v>
      </c>
      <c r="Q1567" s="2" t="b">
        <f t="shared" si="74"/>
        <v>0</v>
      </c>
      <c r="V1567" s="2"/>
      <c r="W1567" s="2"/>
      <c r="X1567" s="2"/>
      <c r="Y1567" s="2"/>
      <c r="Z1567" s="2"/>
      <c r="AA1567" s="2"/>
      <c r="AB1567" s="2"/>
      <c r="AC1567" s="2"/>
      <c r="AD1567" s="2"/>
      <c r="AE1567" s="2"/>
      <c r="AF1567" s="2"/>
      <c r="AG1567" s="2"/>
      <c r="AH1567" s="2"/>
      <c r="AI1567" s="2"/>
    </row>
    <row r="1568" spans="1:35" ht="14.25" customHeight="1" x14ac:dyDescent="0.2">
      <c r="A1568" s="1">
        <v>19204</v>
      </c>
      <c r="B1568" s="1" t="s">
        <v>1420</v>
      </c>
      <c r="C1568" s="1" t="s">
        <v>51</v>
      </c>
      <c r="D1568" s="2">
        <v>41900</v>
      </c>
      <c r="E1568" s="1" t="s">
        <v>101</v>
      </c>
      <c r="F1568" s="1" t="s">
        <v>1192</v>
      </c>
      <c r="G1568" s="1">
        <v>28</v>
      </c>
      <c r="H1568" s="1">
        <v>55.98</v>
      </c>
      <c r="I1568" s="1">
        <f t="shared" si="72"/>
        <v>1567.4399999999998</v>
      </c>
      <c r="J1568" t="str">
        <f t="shared" si="73"/>
        <v>High</v>
      </c>
      <c r="K1568" s="1"/>
      <c r="L1568" s="1">
        <v>0.03</v>
      </c>
      <c r="M1568" s="1">
        <v>4.8600000000000003</v>
      </c>
      <c r="N1568" s="1" t="s">
        <v>33</v>
      </c>
      <c r="O1568" s="1" t="s">
        <v>34</v>
      </c>
      <c r="P1568" s="2">
        <v>41902</v>
      </c>
      <c r="Q1568" s="2" t="b">
        <f t="shared" si="74"/>
        <v>0</v>
      </c>
      <c r="V1568" s="2"/>
      <c r="W1568" s="2"/>
      <c r="X1568" s="2"/>
      <c r="Y1568" s="2"/>
      <c r="Z1568" s="2"/>
      <c r="AA1568" s="2"/>
      <c r="AB1568" s="2"/>
      <c r="AC1568" s="2"/>
      <c r="AD1568" s="2"/>
      <c r="AE1568" s="2"/>
      <c r="AF1568" s="2"/>
      <c r="AG1568" s="2"/>
      <c r="AH1568" s="2"/>
      <c r="AI1568" s="2"/>
    </row>
    <row r="1569" spans="1:35" ht="14.25" customHeight="1" x14ac:dyDescent="0.2">
      <c r="A1569" s="1">
        <v>37254</v>
      </c>
      <c r="B1569" s="1" t="s">
        <v>522</v>
      </c>
      <c r="C1569" s="1" t="s">
        <v>21</v>
      </c>
      <c r="D1569" s="2">
        <v>41900</v>
      </c>
      <c r="E1569" s="1" t="s">
        <v>31</v>
      </c>
      <c r="F1569" s="1" t="s">
        <v>1427</v>
      </c>
      <c r="G1569" s="1">
        <v>28</v>
      </c>
      <c r="H1569" s="1">
        <v>26.17</v>
      </c>
      <c r="I1569" s="1">
        <f t="shared" si="72"/>
        <v>732.76</v>
      </c>
      <c r="J1569" t="str">
        <f t="shared" si="73"/>
        <v>Low</v>
      </c>
      <c r="K1569" s="1"/>
      <c r="L1569" s="1">
        <v>0.01</v>
      </c>
      <c r="M1569" s="1">
        <v>1.39</v>
      </c>
      <c r="N1569" s="1" t="s">
        <v>33</v>
      </c>
      <c r="O1569" s="1" t="s">
        <v>34</v>
      </c>
      <c r="P1569" s="2">
        <v>41901</v>
      </c>
      <c r="Q1569" s="2" t="b">
        <f t="shared" si="74"/>
        <v>0</v>
      </c>
      <c r="V1569" s="2"/>
      <c r="W1569" s="2"/>
      <c r="X1569" s="2"/>
      <c r="Y1569" s="2"/>
      <c r="Z1569" s="2"/>
      <c r="AA1569" s="2"/>
      <c r="AB1569" s="2"/>
      <c r="AC1569" s="2"/>
      <c r="AD1569" s="2"/>
      <c r="AE1569" s="2"/>
      <c r="AF1569" s="2"/>
      <c r="AG1569" s="2"/>
      <c r="AH1569" s="2"/>
      <c r="AI1569" s="2"/>
    </row>
    <row r="1570" spans="1:35" ht="14.25" customHeight="1" x14ac:dyDescent="0.2">
      <c r="A1570" s="1">
        <v>18371</v>
      </c>
      <c r="B1570" s="1" t="s">
        <v>560</v>
      </c>
      <c r="C1570" s="1" t="s">
        <v>30</v>
      </c>
      <c r="D1570" s="2">
        <v>41900</v>
      </c>
      <c r="E1570" s="1" t="s">
        <v>101</v>
      </c>
      <c r="F1570" s="1" t="s">
        <v>337</v>
      </c>
      <c r="G1570" s="1">
        <v>30</v>
      </c>
      <c r="H1570" s="1">
        <v>43.98</v>
      </c>
      <c r="I1570" s="1">
        <f t="shared" si="72"/>
        <v>1319.3999999999999</v>
      </c>
      <c r="J1570" t="str">
        <f t="shared" si="73"/>
        <v>High</v>
      </c>
      <c r="K1570" s="1"/>
      <c r="L1570" s="1">
        <v>0</v>
      </c>
      <c r="M1570" s="1">
        <v>8.99</v>
      </c>
      <c r="N1570" s="1" t="s">
        <v>33</v>
      </c>
      <c r="O1570" s="1" t="s">
        <v>84</v>
      </c>
      <c r="P1570" s="2">
        <v>41900</v>
      </c>
      <c r="Q1570" s="2" t="b">
        <f t="shared" si="74"/>
        <v>0</v>
      </c>
      <c r="V1570" s="2"/>
      <c r="W1570" s="2"/>
      <c r="X1570" s="2"/>
      <c r="Y1570" s="2"/>
      <c r="Z1570" s="2"/>
      <c r="AA1570" s="2"/>
      <c r="AB1570" s="2"/>
      <c r="AC1570" s="2"/>
      <c r="AD1570" s="2"/>
      <c r="AE1570" s="2"/>
      <c r="AF1570" s="2"/>
      <c r="AG1570" s="2"/>
      <c r="AH1570" s="2"/>
      <c r="AI1570" s="2"/>
    </row>
    <row r="1571" spans="1:35" ht="14.25" customHeight="1" x14ac:dyDescent="0.2">
      <c r="A1571" s="1">
        <v>48385</v>
      </c>
      <c r="B1571" s="1" t="s">
        <v>1428</v>
      </c>
      <c r="C1571" s="1" t="s">
        <v>21</v>
      </c>
      <c r="D1571" s="2">
        <v>41900</v>
      </c>
      <c r="E1571" s="1" t="s">
        <v>101</v>
      </c>
      <c r="F1571" s="1" t="s">
        <v>481</v>
      </c>
      <c r="G1571" s="1">
        <v>16</v>
      </c>
      <c r="H1571" s="1">
        <v>4.9800000000000004</v>
      </c>
      <c r="I1571" s="1">
        <f t="shared" si="72"/>
        <v>79.680000000000007</v>
      </c>
      <c r="J1571" t="str">
        <f t="shared" si="73"/>
        <v>Low</v>
      </c>
      <c r="K1571" s="1"/>
      <c r="L1571" s="1">
        <v>0.01</v>
      </c>
      <c r="M1571" s="1">
        <v>4.62</v>
      </c>
      <c r="N1571" s="1" t="s">
        <v>33</v>
      </c>
      <c r="O1571" s="1" t="s">
        <v>84</v>
      </c>
      <c r="P1571" s="2">
        <v>41902</v>
      </c>
      <c r="Q1571" s="2" t="b">
        <f t="shared" si="74"/>
        <v>0</v>
      </c>
      <c r="V1571" s="2"/>
      <c r="W1571" s="2"/>
      <c r="X1571" s="2"/>
      <c r="Y1571" s="2"/>
      <c r="Z1571" s="2"/>
      <c r="AA1571" s="2"/>
      <c r="AB1571" s="2"/>
      <c r="AC1571" s="2"/>
      <c r="AD1571" s="2"/>
      <c r="AE1571" s="2"/>
      <c r="AF1571" s="2"/>
      <c r="AG1571" s="2"/>
      <c r="AH1571" s="2"/>
      <c r="AI1571" s="2"/>
    </row>
    <row r="1572" spans="1:35" ht="14.25" customHeight="1" x14ac:dyDescent="0.2">
      <c r="A1572" s="1">
        <v>54694</v>
      </c>
      <c r="B1572" s="1" t="s">
        <v>1314</v>
      </c>
      <c r="C1572" s="1" t="s">
        <v>30</v>
      </c>
      <c r="D1572" s="2">
        <v>41901</v>
      </c>
      <c r="E1572" s="1" t="s">
        <v>38</v>
      </c>
      <c r="F1572" s="1" t="s">
        <v>1429</v>
      </c>
      <c r="G1572" s="1">
        <v>43</v>
      </c>
      <c r="H1572" s="1">
        <v>2.66</v>
      </c>
      <c r="I1572" s="1">
        <f t="shared" si="72"/>
        <v>114.38000000000001</v>
      </c>
      <c r="J1572" t="str">
        <f t="shared" si="73"/>
        <v>Low</v>
      </c>
      <c r="K1572" s="1"/>
      <c r="L1572" s="1">
        <v>0.08</v>
      </c>
      <c r="M1572" s="1">
        <v>6.35</v>
      </c>
      <c r="N1572" s="1" t="s">
        <v>33</v>
      </c>
      <c r="O1572" s="1" t="s">
        <v>34</v>
      </c>
      <c r="P1572" s="2">
        <v>41901</v>
      </c>
      <c r="Q1572" s="2" t="b">
        <f t="shared" si="74"/>
        <v>0</v>
      </c>
      <c r="V1572" s="2"/>
      <c r="W1572" s="2"/>
      <c r="X1572" s="2"/>
      <c r="Y1572" s="2"/>
      <c r="Z1572" s="2"/>
      <c r="AA1572" s="2"/>
      <c r="AB1572" s="2"/>
      <c r="AC1572" s="2"/>
      <c r="AD1572" s="2"/>
      <c r="AE1572" s="2"/>
      <c r="AF1572" s="2"/>
      <c r="AG1572" s="2"/>
      <c r="AH1572" s="2"/>
      <c r="AI1572" s="2"/>
    </row>
    <row r="1573" spans="1:35" ht="14.25" customHeight="1" x14ac:dyDescent="0.2">
      <c r="A1573" s="1">
        <v>8320</v>
      </c>
      <c r="B1573" s="1" t="s">
        <v>1114</v>
      </c>
      <c r="C1573" s="1" t="s">
        <v>51</v>
      </c>
      <c r="D1573" s="2">
        <v>41901</v>
      </c>
      <c r="E1573" s="1" t="s">
        <v>22</v>
      </c>
      <c r="F1573" s="1" t="s">
        <v>562</v>
      </c>
      <c r="G1573" s="1">
        <v>35</v>
      </c>
      <c r="H1573" s="1">
        <v>30.73</v>
      </c>
      <c r="I1573" s="1">
        <f t="shared" si="72"/>
        <v>1075.55</v>
      </c>
      <c r="J1573" t="str">
        <f t="shared" si="73"/>
        <v>High</v>
      </c>
      <c r="K1573" s="1"/>
      <c r="L1573" s="1">
        <v>0.02</v>
      </c>
      <c r="M1573" s="1">
        <v>4</v>
      </c>
      <c r="N1573" s="1" t="s">
        <v>33</v>
      </c>
      <c r="O1573" s="1" t="s">
        <v>34</v>
      </c>
      <c r="P1573" s="2">
        <v>41904</v>
      </c>
      <c r="Q1573" s="2" t="b">
        <f t="shared" si="74"/>
        <v>0</v>
      </c>
      <c r="V1573" s="2"/>
      <c r="W1573" s="2"/>
      <c r="X1573" s="2"/>
      <c r="Y1573" s="2"/>
      <c r="Z1573" s="2"/>
      <c r="AA1573" s="2"/>
      <c r="AB1573" s="2"/>
      <c r="AC1573" s="2"/>
      <c r="AD1573" s="2"/>
      <c r="AE1573" s="2"/>
      <c r="AF1573" s="2"/>
      <c r="AG1573" s="2"/>
      <c r="AH1573" s="2"/>
      <c r="AI1573" s="2"/>
    </row>
    <row r="1574" spans="1:35" ht="14.25" customHeight="1" x14ac:dyDescent="0.2">
      <c r="A1574" s="1">
        <v>2816</v>
      </c>
      <c r="B1574" s="1" t="s">
        <v>1430</v>
      </c>
      <c r="C1574" s="1" t="s">
        <v>30</v>
      </c>
      <c r="D1574" s="2">
        <v>41901</v>
      </c>
      <c r="E1574" s="1" t="s">
        <v>31</v>
      </c>
      <c r="F1574" s="1" t="s">
        <v>910</v>
      </c>
      <c r="G1574" s="1">
        <v>35</v>
      </c>
      <c r="H1574" s="1">
        <v>21.98</v>
      </c>
      <c r="I1574" s="1">
        <f t="shared" si="72"/>
        <v>769.30000000000007</v>
      </c>
      <c r="J1574" t="str">
        <f t="shared" si="73"/>
        <v>Low</v>
      </c>
      <c r="K1574" s="1"/>
      <c r="L1574" s="1">
        <v>0</v>
      </c>
      <c r="M1574" s="1">
        <v>2.87</v>
      </c>
      <c r="N1574" s="1" t="s">
        <v>33</v>
      </c>
      <c r="O1574" s="1" t="s">
        <v>84</v>
      </c>
      <c r="P1574" s="2">
        <v>41902</v>
      </c>
      <c r="Q1574" s="2" t="b">
        <f t="shared" si="74"/>
        <v>0</v>
      </c>
      <c r="V1574" s="2"/>
      <c r="W1574" s="2"/>
      <c r="X1574" s="2"/>
      <c r="Y1574" s="2"/>
      <c r="Z1574" s="2"/>
      <c r="AA1574" s="2"/>
      <c r="AB1574" s="2"/>
      <c r="AC1574" s="2"/>
      <c r="AD1574" s="2"/>
      <c r="AE1574" s="2"/>
      <c r="AF1574" s="2"/>
      <c r="AG1574" s="2"/>
      <c r="AH1574" s="2"/>
      <c r="AI1574" s="2"/>
    </row>
    <row r="1575" spans="1:35" ht="14.25" customHeight="1" x14ac:dyDescent="0.2">
      <c r="A1575" s="1">
        <v>54436</v>
      </c>
      <c r="B1575" s="1" t="s">
        <v>1431</v>
      </c>
      <c r="C1575" s="1" t="s">
        <v>21</v>
      </c>
      <c r="D1575" s="2">
        <v>41901</v>
      </c>
      <c r="E1575" s="1" t="s">
        <v>31</v>
      </c>
      <c r="F1575" s="1" t="s">
        <v>499</v>
      </c>
      <c r="G1575" s="1">
        <v>17</v>
      </c>
      <c r="H1575" s="1">
        <v>39.479999999999997</v>
      </c>
      <c r="I1575" s="1">
        <f t="shared" si="72"/>
        <v>671.16</v>
      </c>
      <c r="J1575" t="str">
        <f t="shared" si="73"/>
        <v>Low</v>
      </c>
      <c r="K1575" s="1"/>
      <c r="L1575" s="1">
        <v>0.04</v>
      </c>
      <c r="M1575" s="1">
        <v>1.99</v>
      </c>
      <c r="N1575" s="1" t="s">
        <v>25</v>
      </c>
      <c r="O1575" s="1" t="s">
        <v>84</v>
      </c>
      <c r="P1575" s="2">
        <v>41901</v>
      </c>
      <c r="Q1575" s="2" t="b">
        <f t="shared" si="74"/>
        <v>0</v>
      </c>
      <c r="V1575" s="2"/>
      <c r="W1575" s="2"/>
      <c r="X1575" s="2"/>
      <c r="Y1575" s="2"/>
      <c r="Z1575" s="2"/>
      <c r="AA1575" s="2"/>
      <c r="AB1575" s="2"/>
      <c r="AC1575" s="2"/>
      <c r="AD1575" s="2"/>
      <c r="AE1575" s="2"/>
      <c r="AF1575" s="2"/>
      <c r="AG1575" s="2"/>
      <c r="AH1575" s="2"/>
      <c r="AI1575" s="2"/>
    </row>
    <row r="1576" spans="1:35" ht="14.25" customHeight="1" x14ac:dyDescent="0.2">
      <c r="A1576" s="1">
        <v>54436</v>
      </c>
      <c r="B1576" s="1" t="s">
        <v>1431</v>
      </c>
      <c r="C1576" s="1" t="s">
        <v>30</v>
      </c>
      <c r="D1576" s="2">
        <v>41901</v>
      </c>
      <c r="E1576" s="1" t="s">
        <v>31</v>
      </c>
      <c r="F1576" s="1" t="s">
        <v>647</v>
      </c>
      <c r="G1576" s="1">
        <v>37</v>
      </c>
      <c r="H1576" s="1">
        <v>8.1199999999999992</v>
      </c>
      <c r="I1576" s="1">
        <f t="shared" si="72"/>
        <v>300.44</v>
      </c>
      <c r="J1576" t="str">
        <f t="shared" si="73"/>
        <v>Low</v>
      </c>
      <c r="K1576" s="1"/>
      <c r="L1576" s="1">
        <v>0</v>
      </c>
      <c r="M1576" s="1">
        <v>2.83</v>
      </c>
      <c r="N1576" s="1" t="s">
        <v>33</v>
      </c>
      <c r="O1576" s="1" t="s">
        <v>84</v>
      </c>
      <c r="P1576" s="2">
        <v>41902</v>
      </c>
      <c r="Q1576" s="2" t="b">
        <f t="shared" si="74"/>
        <v>0</v>
      </c>
      <c r="V1576" s="2"/>
      <c r="W1576" s="2"/>
      <c r="X1576" s="2"/>
      <c r="Y1576" s="2"/>
      <c r="Z1576" s="2"/>
      <c r="AA1576" s="2"/>
      <c r="AB1576" s="2"/>
      <c r="AC1576" s="2"/>
      <c r="AD1576" s="2"/>
      <c r="AE1576" s="2"/>
      <c r="AF1576" s="2"/>
      <c r="AG1576" s="2"/>
      <c r="AH1576" s="2"/>
      <c r="AI1576" s="2"/>
    </row>
    <row r="1577" spans="1:35" ht="14.25" customHeight="1" x14ac:dyDescent="0.2">
      <c r="A1577" s="1">
        <v>59238</v>
      </c>
      <c r="B1577" s="1" t="s">
        <v>246</v>
      </c>
      <c r="C1577" s="1" t="s">
        <v>21</v>
      </c>
      <c r="D1577" s="2">
        <v>41901</v>
      </c>
      <c r="E1577" s="1" t="s">
        <v>31</v>
      </c>
      <c r="F1577" s="1" t="s">
        <v>1432</v>
      </c>
      <c r="G1577" s="1">
        <v>11</v>
      </c>
      <c r="H1577" s="1">
        <v>40.97</v>
      </c>
      <c r="I1577" s="1">
        <f t="shared" si="72"/>
        <v>450.66999999999996</v>
      </c>
      <c r="J1577" t="str">
        <f t="shared" si="73"/>
        <v>Low</v>
      </c>
      <c r="K1577" s="1"/>
      <c r="L1577" s="1">
        <v>0.03</v>
      </c>
      <c r="M1577" s="1">
        <v>8.99</v>
      </c>
      <c r="N1577" s="1" t="s">
        <v>25</v>
      </c>
      <c r="O1577" s="1" t="s">
        <v>84</v>
      </c>
      <c r="P1577" s="2">
        <v>41902</v>
      </c>
      <c r="Q1577" s="2" t="b">
        <f t="shared" si="74"/>
        <v>0</v>
      </c>
      <c r="V1577" s="2"/>
      <c r="W1577" s="2"/>
      <c r="X1577" s="2"/>
      <c r="Y1577" s="2"/>
      <c r="Z1577" s="2"/>
      <c r="AA1577" s="2"/>
      <c r="AB1577" s="2"/>
      <c r="AC1577" s="2"/>
      <c r="AD1577" s="2"/>
      <c r="AE1577" s="2"/>
      <c r="AF1577" s="2"/>
      <c r="AG1577" s="2"/>
      <c r="AH1577" s="2"/>
      <c r="AI1577" s="2"/>
    </row>
    <row r="1578" spans="1:35" ht="14.25" customHeight="1" x14ac:dyDescent="0.2">
      <c r="A1578" s="1">
        <v>8320</v>
      </c>
      <c r="B1578" s="1" t="s">
        <v>1114</v>
      </c>
      <c r="C1578" s="1" t="s">
        <v>21</v>
      </c>
      <c r="D1578" s="2">
        <v>41901</v>
      </c>
      <c r="E1578" s="1" t="s">
        <v>22</v>
      </c>
      <c r="F1578" s="1" t="s">
        <v>1076</v>
      </c>
      <c r="G1578" s="1">
        <v>22</v>
      </c>
      <c r="H1578" s="1">
        <v>6.48</v>
      </c>
      <c r="I1578" s="1">
        <f t="shared" si="72"/>
        <v>142.56</v>
      </c>
      <c r="J1578" t="str">
        <f t="shared" si="73"/>
        <v>Low</v>
      </c>
      <c r="K1578" s="1"/>
      <c r="L1578" s="1">
        <v>0.06</v>
      </c>
      <c r="M1578" s="1">
        <v>5.14</v>
      </c>
      <c r="N1578" s="1" t="s">
        <v>25</v>
      </c>
      <c r="O1578" s="1" t="s">
        <v>34</v>
      </c>
      <c r="P1578" s="2">
        <v>41903</v>
      </c>
      <c r="Q1578" s="2" t="b">
        <f t="shared" si="74"/>
        <v>0</v>
      </c>
      <c r="V1578" s="2"/>
      <c r="W1578" s="2"/>
      <c r="X1578" s="2"/>
      <c r="Y1578" s="2"/>
      <c r="Z1578" s="2"/>
      <c r="AA1578" s="2"/>
      <c r="AB1578" s="2"/>
      <c r="AC1578" s="2"/>
      <c r="AD1578" s="2"/>
      <c r="AE1578" s="2"/>
      <c r="AF1578" s="2"/>
      <c r="AG1578" s="2"/>
      <c r="AH1578" s="2"/>
      <c r="AI1578" s="2"/>
    </row>
    <row r="1579" spans="1:35" ht="14.25" customHeight="1" x14ac:dyDescent="0.2">
      <c r="A1579" s="1">
        <v>21831</v>
      </c>
      <c r="B1579" s="1" t="s">
        <v>1088</v>
      </c>
      <c r="C1579" s="1" t="s">
        <v>21</v>
      </c>
      <c r="D1579" s="2">
        <v>41901</v>
      </c>
      <c r="E1579" s="1" t="s">
        <v>22</v>
      </c>
      <c r="F1579" s="1" t="s">
        <v>1311</v>
      </c>
      <c r="G1579" s="1">
        <v>6</v>
      </c>
      <c r="H1579" s="1">
        <v>4.9800000000000004</v>
      </c>
      <c r="I1579" s="1">
        <f t="shared" si="72"/>
        <v>29.880000000000003</v>
      </c>
      <c r="J1579" t="str">
        <f t="shared" si="73"/>
        <v>Low</v>
      </c>
      <c r="K1579" s="1"/>
      <c r="L1579" s="1">
        <v>0.05</v>
      </c>
      <c r="M1579" s="1">
        <v>0.49</v>
      </c>
      <c r="N1579" s="1" t="s">
        <v>33</v>
      </c>
      <c r="O1579" s="1" t="s">
        <v>34</v>
      </c>
      <c r="P1579" s="2">
        <v>41901</v>
      </c>
      <c r="Q1579" s="2" t="b">
        <f t="shared" si="74"/>
        <v>0</v>
      </c>
      <c r="V1579" s="2"/>
      <c r="W1579" s="2"/>
      <c r="X1579" s="2"/>
      <c r="Y1579" s="2"/>
      <c r="Z1579" s="2"/>
      <c r="AA1579" s="2"/>
      <c r="AB1579" s="2"/>
      <c r="AC1579" s="2"/>
      <c r="AD1579" s="2"/>
      <c r="AE1579" s="2"/>
      <c r="AF1579" s="2"/>
      <c r="AG1579" s="2"/>
      <c r="AH1579" s="2"/>
      <c r="AI1579" s="2"/>
    </row>
    <row r="1580" spans="1:35" ht="14.25" customHeight="1" x14ac:dyDescent="0.2">
      <c r="A1580" s="1">
        <v>4645</v>
      </c>
      <c r="B1580" s="1" t="s">
        <v>204</v>
      </c>
      <c r="C1580" s="1" t="s">
        <v>21</v>
      </c>
      <c r="D1580" s="2">
        <v>41901</v>
      </c>
      <c r="E1580" s="1" t="s">
        <v>38</v>
      </c>
      <c r="F1580" s="1" t="s">
        <v>562</v>
      </c>
      <c r="G1580" s="1">
        <v>30</v>
      </c>
      <c r="H1580" s="1">
        <v>30.73</v>
      </c>
      <c r="I1580" s="1">
        <f t="shared" si="72"/>
        <v>921.9</v>
      </c>
      <c r="J1580" t="str">
        <f t="shared" si="73"/>
        <v>Low</v>
      </c>
      <c r="K1580" s="1"/>
      <c r="L1580" s="1">
        <v>0.08</v>
      </c>
      <c r="M1580" s="1">
        <v>4</v>
      </c>
      <c r="N1580" s="1" t="s">
        <v>33</v>
      </c>
      <c r="O1580" s="1" t="s">
        <v>34</v>
      </c>
      <c r="P1580" s="2">
        <v>41901</v>
      </c>
      <c r="Q1580" s="2" t="b">
        <f t="shared" si="74"/>
        <v>0</v>
      </c>
      <c r="V1580" s="2"/>
      <c r="W1580" s="2"/>
      <c r="X1580" s="2"/>
      <c r="Y1580" s="2"/>
      <c r="Z1580" s="2"/>
      <c r="AA1580" s="2"/>
      <c r="AB1580" s="2"/>
      <c r="AC1580" s="2"/>
      <c r="AD1580" s="2"/>
      <c r="AE1580" s="2"/>
      <c r="AF1580" s="2"/>
      <c r="AG1580" s="2"/>
      <c r="AH1580" s="2"/>
      <c r="AI1580" s="2"/>
    </row>
    <row r="1581" spans="1:35" ht="14.25" customHeight="1" x14ac:dyDescent="0.2">
      <c r="A1581" s="1">
        <v>4645</v>
      </c>
      <c r="B1581" s="1" t="s">
        <v>204</v>
      </c>
      <c r="C1581" s="1" t="s">
        <v>30</v>
      </c>
      <c r="D1581" s="2">
        <v>41901</v>
      </c>
      <c r="E1581" s="1" t="s">
        <v>38</v>
      </c>
      <c r="F1581" s="1" t="s">
        <v>142</v>
      </c>
      <c r="G1581" s="1">
        <v>7</v>
      </c>
      <c r="H1581" s="1">
        <v>14.56</v>
      </c>
      <c r="I1581" s="1">
        <f t="shared" si="72"/>
        <v>101.92</v>
      </c>
      <c r="J1581" t="str">
        <f t="shared" si="73"/>
        <v>Low</v>
      </c>
      <c r="K1581" s="1"/>
      <c r="L1581" s="1">
        <v>0.05</v>
      </c>
      <c r="M1581" s="1">
        <v>3.5</v>
      </c>
      <c r="N1581" s="1" t="s">
        <v>33</v>
      </c>
      <c r="O1581" s="1" t="s">
        <v>34</v>
      </c>
      <c r="P1581" s="2">
        <v>41903</v>
      </c>
      <c r="Q1581" s="2" t="b">
        <f t="shared" si="74"/>
        <v>0</v>
      </c>
      <c r="V1581" s="2"/>
      <c r="W1581" s="2"/>
      <c r="X1581" s="2"/>
      <c r="Y1581" s="2"/>
      <c r="Z1581" s="2"/>
      <c r="AA1581" s="2"/>
      <c r="AB1581" s="2"/>
      <c r="AC1581" s="2"/>
      <c r="AD1581" s="2"/>
      <c r="AE1581" s="2"/>
      <c r="AF1581" s="2"/>
      <c r="AG1581" s="2"/>
      <c r="AH1581" s="2"/>
      <c r="AI1581" s="2"/>
    </row>
    <row r="1582" spans="1:35" ht="14.25" customHeight="1" x14ac:dyDescent="0.2">
      <c r="A1582" s="1">
        <v>4645</v>
      </c>
      <c r="B1582" s="1" t="s">
        <v>204</v>
      </c>
      <c r="C1582" s="1" t="s">
        <v>51</v>
      </c>
      <c r="D1582" s="2">
        <v>41901</v>
      </c>
      <c r="E1582" s="1" t="s">
        <v>38</v>
      </c>
      <c r="F1582" s="1" t="s">
        <v>1433</v>
      </c>
      <c r="G1582" s="1">
        <v>11</v>
      </c>
      <c r="H1582" s="1">
        <v>299.99</v>
      </c>
      <c r="I1582" s="1">
        <f t="shared" si="72"/>
        <v>3299.8900000000003</v>
      </c>
      <c r="J1582" t="str">
        <f t="shared" si="73"/>
        <v>High</v>
      </c>
      <c r="K1582" s="1"/>
      <c r="L1582" s="1">
        <v>0</v>
      </c>
      <c r="M1582" s="1">
        <v>11.64</v>
      </c>
      <c r="N1582" s="1" t="s">
        <v>33</v>
      </c>
      <c r="O1582" s="1" t="s">
        <v>26</v>
      </c>
      <c r="P1582" s="2">
        <v>41903</v>
      </c>
      <c r="Q1582" s="2" t="b">
        <f t="shared" si="74"/>
        <v>0</v>
      </c>
      <c r="V1582" s="2"/>
      <c r="W1582" s="2"/>
      <c r="X1582" s="2"/>
      <c r="Y1582" s="2"/>
      <c r="Z1582" s="2"/>
      <c r="AA1582" s="2"/>
      <c r="AB1582" s="2"/>
      <c r="AC1582" s="2"/>
      <c r="AD1582" s="2"/>
      <c r="AE1582" s="2"/>
      <c r="AF1582" s="2"/>
      <c r="AG1582" s="2"/>
      <c r="AH1582" s="2"/>
      <c r="AI1582" s="2"/>
    </row>
    <row r="1583" spans="1:35" ht="14.25" customHeight="1" x14ac:dyDescent="0.2">
      <c r="A1583" s="1">
        <v>49059</v>
      </c>
      <c r="B1583" s="1" t="s">
        <v>580</v>
      </c>
      <c r="C1583" s="1" t="s">
        <v>30</v>
      </c>
      <c r="D1583" s="2">
        <v>41902</v>
      </c>
      <c r="E1583" s="1" t="s">
        <v>101</v>
      </c>
      <c r="F1583" s="1" t="s">
        <v>305</v>
      </c>
      <c r="G1583" s="1">
        <v>48</v>
      </c>
      <c r="H1583" s="1">
        <v>2.89</v>
      </c>
      <c r="I1583" s="1">
        <f t="shared" si="72"/>
        <v>138.72</v>
      </c>
      <c r="J1583" t="str">
        <f t="shared" si="73"/>
        <v>Low</v>
      </c>
      <c r="K1583" s="1"/>
      <c r="L1583" s="1">
        <v>0.09</v>
      </c>
      <c r="M1583" s="1">
        <v>0.5</v>
      </c>
      <c r="N1583" s="1" t="s">
        <v>33</v>
      </c>
      <c r="O1583" s="1" t="s">
        <v>34</v>
      </c>
      <c r="P1583" s="2">
        <v>41904</v>
      </c>
      <c r="Q1583" s="2" t="b">
        <f t="shared" si="74"/>
        <v>0</v>
      </c>
      <c r="V1583" s="2"/>
      <c r="W1583" s="2"/>
      <c r="X1583" s="2"/>
      <c r="Y1583" s="2"/>
      <c r="Z1583" s="2"/>
      <c r="AA1583" s="2"/>
      <c r="AB1583" s="2"/>
      <c r="AC1583" s="2"/>
      <c r="AD1583" s="2"/>
      <c r="AE1583" s="2"/>
      <c r="AF1583" s="2"/>
      <c r="AG1583" s="2"/>
      <c r="AH1583" s="2"/>
      <c r="AI1583" s="2"/>
    </row>
    <row r="1584" spans="1:35" ht="14.25" customHeight="1" x14ac:dyDescent="0.2">
      <c r="A1584" s="1">
        <v>49059</v>
      </c>
      <c r="B1584" s="1" t="s">
        <v>580</v>
      </c>
      <c r="C1584" s="1" t="s">
        <v>30</v>
      </c>
      <c r="D1584" s="2">
        <v>41902</v>
      </c>
      <c r="E1584" s="1" t="s">
        <v>101</v>
      </c>
      <c r="F1584" s="1" t="s">
        <v>266</v>
      </c>
      <c r="G1584" s="1">
        <v>5</v>
      </c>
      <c r="H1584" s="1">
        <v>48.91</v>
      </c>
      <c r="I1584" s="1">
        <f t="shared" si="72"/>
        <v>244.54999999999998</v>
      </c>
      <c r="J1584" t="str">
        <f t="shared" si="73"/>
        <v>Low</v>
      </c>
      <c r="K1584" s="1"/>
      <c r="L1584" s="1">
        <v>0.02</v>
      </c>
      <c r="M1584" s="1">
        <v>5.81</v>
      </c>
      <c r="N1584" s="1" t="s">
        <v>33</v>
      </c>
      <c r="O1584" s="1" t="s">
        <v>34</v>
      </c>
      <c r="P1584" s="2">
        <v>41903</v>
      </c>
      <c r="Q1584" s="2" t="b">
        <f t="shared" si="74"/>
        <v>0</v>
      </c>
      <c r="V1584" s="2"/>
      <c r="W1584" s="2"/>
      <c r="X1584" s="2"/>
      <c r="Y1584" s="2"/>
      <c r="Z1584" s="2"/>
      <c r="AA1584" s="2"/>
      <c r="AB1584" s="2"/>
      <c r="AC1584" s="2"/>
      <c r="AD1584" s="2"/>
      <c r="AE1584" s="2"/>
      <c r="AF1584" s="2"/>
      <c r="AG1584" s="2"/>
      <c r="AH1584" s="2"/>
      <c r="AI1584" s="2"/>
    </row>
    <row r="1585" spans="1:35" ht="14.25" customHeight="1" x14ac:dyDescent="0.2">
      <c r="A1585" s="1">
        <v>960</v>
      </c>
      <c r="B1585" s="1" t="s">
        <v>920</v>
      </c>
      <c r="C1585" s="1" t="s">
        <v>30</v>
      </c>
      <c r="D1585" s="2">
        <v>41902</v>
      </c>
      <c r="E1585" s="1" t="s">
        <v>101</v>
      </c>
      <c r="F1585" s="1" t="s">
        <v>1434</v>
      </c>
      <c r="G1585" s="1">
        <v>46</v>
      </c>
      <c r="H1585" s="1">
        <v>13.73</v>
      </c>
      <c r="I1585" s="1">
        <f t="shared" si="72"/>
        <v>631.58000000000004</v>
      </c>
      <c r="J1585" t="str">
        <f t="shared" si="73"/>
        <v>Low</v>
      </c>
      <c r="K1585" s="1"/>
      <c r="L1585" s="1">
        <v>7.0000000000000007E-2</v>
      </c>
      <c r="M1585" s="1">
        <v>6.85</v>
      </c>
      <c r="N1585" s="1" t="s">
        <v>33</v>
      </c>
      <c r="O1585" s="1" t="s">
        <v>55</v>
      </c>
      <c r="P1585" s="2">
        <v>41903</v>
      </c>
      <c r="Q1585" s="2" t="b">
        <f t="shared" si="74"/>
        <v>0</v>
      </c>
      <c r="V1585" s="2"/>
      <c r="W1585" s="2"/>
      <c r="X1585" s="2"/>
      <c r="Y1585" s="2"/>
      <c r="Z1585" s="2"/>
      <c r="AA1585" s="2"/>
      <c r="AB1585" s="2"/>
      <c r="AC1585" s="2"/>
      <c r="AD1585" s="2"/>
      <c r="AE1585" s="2"/>
      <c r="AF1585" s="2"/>
      <c r="AG1585" s="2"/>
      <c r="AH1585" s="2"/>
      <c r="AI1585" s="2"/>
    </row>
    <row r="1586" spans="1:35" ht="14.25" customHeight="1" x14ac:dyDescent="0.2">
      <c r="A1586" s="1">
        <v>548</v>
      </c>
      <c r="B1586" s="1" t="s">
        <v>1435</v>
      </c>
      <c r="C1586" s="1" t="s">
        <v>51</v>
      </c>
      <c r="D1586" s="2">
        <v>41902</v>
      </c>
      <c r="E1586" s="1" t="s">
        <v>38</v>
      </c>
      <c r="F1586" s="1" t="s">
        <v>1134</v>
      </c>
      <c r="G1586" s="1">
        <v>41</v>
      </c>
      <c r="H1586" s="1">
        <v>3.08</v>
      </c>
      <c r="I1586" s="1">
        <f t="shared" si="72"/>
        <v>126.28</v>
      </c>
      <c r="J1586" t="str">
        <f t="shared" si="73"/>
        <v>Low</v>
      </c>
      <c r="K1586" s="1"/>
      <c r="L1586" s="1">
        <v>0.04</v>
      </c>
      <c r="M1586" s="1">
        <v>0.99</v>
      </c>
      <c r="N1586" s="1" t="s">
        <v>33</v>
      </c>
      <c r="O1586" s="1" t="s">
        <v>34</v>
      </c>
      <c r="P1586" s="2">
        <v>41903</v>
      </c>
      <c r="Q1586" s="2" t="b">
        <f t="shared" si="74"/>
        <v>0</v>
      </c>
      <c r="V1586" s="2"/>
      <c r="W1586" s="2"/>
      <c r="X1586" s="2"/>
      <c r="Y1586" s="2"/>
      <c r="Z1586" s="2"/>
      <c r="AA1586" s="2"/>
      <c r="AB1586" s="2"/>
      <c r="AC1586" s="2"/>
      <c r="AD1586" s="2"/>
      <c r="AE1586" s="2"/>
      <c r="AF1586" s="2"/>
      <c r="AG1586" s="2"/>
      <c r="AH1586" s="2"/>
      <c r="AI1586" s="2"/>
    </row>
    <row r="1587" spans="1:35" ht="14.25" customHeight="1" x14ac:dyDescent="0.2">
      <c r="A1587" s="1">
        <v>548</v>
      </c>
      <c r="B1587" s="1" t="s">
        <v>1435</v>
      </c>
      <c r="C1587" s="1" t="s">
        <v>30</v>
      </c>
      <c r="D1587" s="2">
        <v>41902</v>
      </c>
      <c r="E1587" s="1" t="s">
        <v>38</v>
      </c>
      <c r="F1587" s="1" t="s">
        <v>1436</v>
      </c>
      <c r="G1587" s="1">
        <v>29</v>
      </c>
      <c r="H1587" s="1">
        <v>6.48</v>
      </c>
      <c r="I1587" s="1">
        <f t="shared" si="72"/>
        <v>187.92000000000002</v>
      </c>
      <c r="J1587" t="str">
        <f t="shared" si="73"/>
        <v>Low</v>
      </c>
      <c r="K1587" s="1"/>
      <c r="L1587" s="1">
        <v>0.02</v>
      </c>
      <c r="M1587" s="1">
        <v>5.9</v>
      </c>
      <c r="N1587" s="1" t="s">
        <v>33</v>
      </c>
      <c r="O1587" s="1" t="s">
        <v>34</v>
      </c>
      <c r="P1587" s="2">
        <v>41903</v>
      </c>
      <c r="Q1587" s="2" t="b">
        <f t="shared" si="74"/>
        <v>0</v>
      </c>
      <c r="V1587" s="2"/>
      <c r="W1587" s="2"/>
      <c r="X1587" s="2"/>
      <c r="Y1587" s="2"/>
      <c r="Z1587" s="2"/>
      <c r="AA1587" s="2"/>
      <c r="AB1587" s="2"/>
      <c r="AC1587" s="2"/>
      <c r="AD1587" s="2"/>
      <c r="AE1587" s="2"/>
      <c r="AF1587" s="2"/>
      <c r="AG1587" s="2"/>
      <c r="AH1587" s="2"/>
      <c r="AI1587" s="2"/>
    </row>
    <row r="1588" spans="1:35" ht="14.25" customHeight="1" x14ac:dyDescent="0.2">
      <c r="A1588" s="1">
        <v>548</v>
      </c>
      <c r="B1588" s="1" t="s">
        <v>1435</v>
      </c>
      <c r="C1588" s="1" t="s">
        <v>51</v>
      </c>
      <c r="D1588" s="2">
        <v>41902</v>
      </c>
      <c r="E1588" s="1" t="s">
        <v>38</v>
      </c>
      <c r="F1588" s="1" t="s">
        <v>554</v>
      </c>
      <c r="G1588" s="1">
        <v>26</v>
      </c>
      <c r="H1588" s="1">
        <v>125.99</v>
      </c>
      <c r="I1588" s="1">
        <f t="shared" si="72"/>
        <v>3275.74</v>
      </c>
      <c r="J1588" t="str">
        <f t="shared" si="73"/>
        <v>High</v>
      </c>
      <c r="K1588" s="1"/>
      <c r="L1588" s="1">
        <v>0.04</v>
      </c>
      <c r="M1588" s="1">
        <v>4.2</v>
      </c>
      <c r="N1588" s="1" t="s">
        <v>33</v>
      </c>
      <c r="O1588" s="1" t="s">
        <v>34</v>
      </c>
      <c r="P1588" s="2">
        <v>41904</v>
      </c>
      <c r="Q1588" s="2" t="b">
        <f t="shared" si="74"/>
        <v>0</v>
      </c>
      <c r="V1588" s="2"/>
      <c r="W1588" s="2"/>
      <c r="X1588" s="2"/>
      <c r="Y1588" s="2"/>
      <c r="Z1588" s="2"/>
      <c r="AA1588" s="2"/>
      <c r="AB1588" s="2"/>
      <c r="AC1588" s="2"/>
      <c r="AD1588" s="2"/>
      <c r="AE1588" s="2"/>
      <c r="AF1588" s="2"/>
      <c r="AG1588" s="2"/>
      <c r="AH1588" s="2"/>
      <c r="AI1588" s="2"/>
    </row>
    <row r="1589" spans="1:35" ht="14.25" customHeight="1" x14ac:dyDescent="0.2">
      <c r="A1589" s="1">
        <v>13378</v>
      </c>
      <c r="B1589" s="1" t="s">
        <v>1437</v>
      </c>
      <c r="C1589" s="1" t="s">
        <v>21</v>
      </c>
      <c r="D1589" s="2">
        <v>41903</v>
      </c>
      <c r="E1589" s="1" t="s">
        <v>43</v>
      </c>
      <c r="F1589" s="1" t="s">
        <v>1438</v>
      </c>
      <c r="G1589" s="1">
        <v>16</v>
      </c>
      <c r="H1589" s="1">
        <v>5.74</v>
      </c>
      <c r="I1589" s="1">
        <f t="shared" si="72"/>
        <v>91.84</v>
      </c>
      <c r="J1589" t="str">
        <f t="shared" si="73"/>
        <v>Low</v>
      </c>
      <c r="K1589" s="1"/>
      <c r="L1589" s="1">
        <v>0.05</v>
      </c>
      <c r="M1589" s="1">
        <v>5.3</v>
      </c>
      <c r="N1589" s="1" t="s">
        <v>33</v>
      </c>
      <c r="O1589" s="1" t="s">
        <v>84</v>
      </c>
      <c r="P1589" s="2">
        <v>41908</v>
      </c>
      <c r="Q1589" s="2" t="b">
        <f t="shared" si="74"/>
        <v>0</v>
      </c>
      <c r="V1589" s="2"/>
      <c r="W1589" s="2"/>
      <c r="X1589" s="2"/>
      <c r="Y1589" s="2"/>
      <c r="Z1589" s="2"/>
      <c r="AA1589" s="2"/>
      <c r="AB1589" s="2"/>
      <c r="AC1589" s="2"/>
      <c r="AD1589" s="2"/>
      <c r="AE1589" s="2"/>
      <c r="AF1589" s="2"/>
      <c r="AG1589" s="2"/>
      <c r="AH1589" s="2"/>
      <c r="AI1589" s="2"/>
    </row>
    <row r="1590" spans="1:35" ht="14.25" customHeight="1" x14ac:dyDescent="0.2">
      <c r="A1590" s="1">
        <v>6020</v>
      </c>
      <c r="B1590" s="1" t="s">
        <v>1354</v>
      </c>
      <c r="C1590" s="1" t="s">
        <v>30</v>
      </c>
      <c r="D1590" s="2">
        <v>41903</v>
      </c>
      <c r="E1590" s="1" t="s">
        <v>101</v>
      </c>
      <c r="F1590" s="1" t="s">
        <v>1196</v>
      </c>
      <c r="G1590" s="1">
        <v>23</v>
      </c>
      <c r="H1590" s="1">
        <v>2.88</v>
      </c>
      <c r="I1590" s="1">
        <f t="shared" si="72"/>
        <v>66.239999999999995</v>
      </c>
      <c r="J1590" t="str">
        <f t="shared" si="73"/>
        <v>Low</v>
      </c>
      <c r="K1590" s="1"/>
      <c r="L1590" s="1">
        <v>0.09</v>
      </c>
      <c r="M1590" s="1">
        <v>0.99</v>
      </c>
      <c r="N1590" s="1" t="s">
        <v>33</v>
      </c>
      <c r="O1590" s="1" t="s">
        <v>34</v>
      </c>
      <c r="P1590" s="2">
        <v>41905</v>
      </c>
      <c r="Q1590" s="2" t="b">
        <f t="shared" si="74"/>
        <v>0</v>
      </c>
      <c r="V1590" s="2"/>
      <c r="W1590" s="2"/>
      <c r="X1590" s="2"/>
      <c r="Y1590" s="2"/>
      <c r="Z1590" s="2"/>
      <c r="AA1590" s="2"/>
      <c r="AB1590" s="2"/>
      <c r="AC1590" s="2"/>
      <c r="AD1590" s="2"/>
      <c r="AE1590" s="2"/>
      <c r="AF1590" s="2"/>
      <c r="AG1590" s="2"/>
      <c r="AH1590" s="2"/>
      <c r="AI1590" s="2"/>
    </row>
    <row r="1591" spans="1:35" ht="14.25" customHeight="1" x14ac:dyDescent="0.2">
      <c r="A1591" s="1">
        <v>41440</v>
      </c>
      <c r="B1591" s="1" t="s">
        <v>1072</v>
      </c>
      <c r="C1591" s="1" t="s">
        <v>21</v>
      </c>
      <c r="D1591" s="2">
        <v>41904</v>
      </c>
      <c r="E1591" s="1" t="s">
        <v>31</v>
      </c>
      <c r="F1591" s="1" t="s">
        <v>392</v>
      </c>
      <c r="G1591" s="1">
        <v>20</v>
      </c>
      <c r="H1591" s="1">
        <v>4.91</v>
      </c>
      <c r="I1591" s="1">
        <f t="shared" si="72"/>
        <v>98.2</v>
      </c>
      <c r="J1591" t="str">
        <f t="shared" si="73"/>
        <v>Low</v>
      </c>
      <c r="K1591" s="1"/>
      <c r="L1591" s="1">
        <v>0.09</v>
      </c>
      <c r="M1591" s="1">
        <v>0.5</v>
      </c>
      <c r="N1591" s="1" t="s">
        <v>33</v>
      </c>
      <c r="O1591" s="1" t="s">
        <v>34</v>
      </c>
      <c r="P1591" s="2">
        <v>41905</v>
      </c>
      <c r="Q1591" s="2" t="b">
        <f t="shared" si="74"/>
        <v>0</v>
      </c>
      <c r="V1591" s="2"/>
      <c r="W1591" s="2"/>
      <c r="X1591" s="2"/>
      <c r="Y1591" s="2"/>
      <c r="Z1591" s="2"/>
      <c r="AA1591" s="2"/>
      <c r="AB1591" s="2"/>
      <c r="AC1591" s="2"/>
      <c r="AD1591" s="2"/>
      <c r="AE1591" s="2"/>
      <c r="AF1591" s="2"/>
      <c r="AG1591" s="2"/>
      <c r="AH1591" s="2"/>
      <c r="AI1591" s="2"/>
    </row>
    <row r="1592" spans="1:35" ht="14.25" customHeight="1" x14ac:dyDescent="0.2">
      <c r="A1592" s="1">
        <v>41440</v>
      </c>
      <c r="B1592" s="1" t="s">
        <v>1072</v>
      </c>
      <c r="C1592" s="1" t="s">
        <v>51</v>
      </c>
      <c r="D1592" s="2">
        <v>41904</v>
      </c>
      <c r="E1592" s="1" t="s">
        <v>31</v>
      </c>
      <c r="F1592" s="1" t="s">
        <v>581</v>
      </c>
      <c r="G1592" s="1">
        <v>19</v>
      </c>
      <c r="H1592" s="1">
        <v>296.18</v>
      </c>
      <c r="I1592" s="1">
        <f t="shared" si="72"/>
        <v>5627.42</v>
      </c>
      <c r="J1592" t="str">
        <f t="shared" si="73"/>
        <v>High</v>
      </c>
      <c r="K1592" s="1"/>
      <c r="L1592" s="1">
        <v>0.01</v>
      </c>
      <c r="M1592" s="1">
        <v>54.12</v>
      </c>
      <c r="N1592" s="1" t="s">
        <v>45</v>
      </c>
      <c r="O1592" s="1" t="s">
        <v>63</v>
      </c>
      <c r="P1592" s="2">
        <v>41907</v>
      </c>
      <c r="Q1592" s="2" t="b">
        <f t="shared" si="74"/>
        <v>0</v>
      </c>
      <c r="V1592" s="2"/>
      <c r="W1592" s="2"/>
      <c r="X1592" s="2"/>
      <c r="Y1592" s="2"/>
      <c r="Z1592" s="2"/>
      <c r="AA1592" s="2"/>
      <c r="AB1592" s="2"/>
      <c r="AC1592" s="2"/>
      <c r="AD1592" s="2"/>
      <c r="AE1592" s="2"/>
      <c r="AF1592" s="2"/>
      <c r="AG1592" s="2"/>
      <c r="AH1592" s="2"/>
      <c r="AI1592" s="2"/>
    </row>
    <row r="1593" spans="1:35" ht="14.25" customHeight="1" x14ac:dyDescent="0.2">
      <c r="A1593" s="1">
        <v>49088</v>
      </c>
      <c r="B1593" s="1" t="s">
        <v>159</v>
      </c>
      <c r="C1593" s="1" t="s">
        <v>51</v>
      </c>
      <c r="D1593" s="2">
        <v>41905</v>
      </c>
      <c r="E1593" s="1" t="s">
        <v>38</v>
      </c>
      <c r="F1593" s="1" t="s">
        <v>647</v>
      </c>
      <c r="G1593" s="1">
        <v>16</v>
      </c>
      <c r="H1593" s="1">
        <v>8.1199999999999992</v>
      </c>
      <c r="I1593" s="1">
        <f t="shared" si="72"/>
        <v>129.91999999999999</v>
      </c>
      <c r="J1593" t="str">
        <f t="shared" si="73"/>
        <v>Low</v>
      </c>
      <c r="K1593" s="1"/>
      <c r="L1593" s="1">
        <v>0.03</v>
      </c>
      <c r="M1593" s="1">
        <v>2.83</v>
      </c>
      <c r="N1593" s="1" t="s">
        <v>33</v>
      </c>
      <c r="O1593" s="1" t="s">
        <v>84</v>
      </c>
      <c r="P1593" s="2">
        <v>41906</v>
      </c>
      <c r="Q1593" s="2" t="b">
        <f t="shared" si="74"/>
        <v>0</v>
      </c>
      <c r="V1593" s="2"/>
      <c r="W1593" s="2"/>
      <c r="X1593" s="2"/>
      <c r="Y1593" s="2"/>
      <c r="Z1593" s="2"/>
      <c r="AA1593" s="2"/>
      <c r="AB1593" s="2"/>
      <c r="AC1593" s="2"/>
      <c r="AD1593" s="2"/>
      <c r="AE1593" s="2"/>
      <c r="AF1593" s="2"/>
      <c r="AG1593" s="2"/>
      <c r="AH1593" s="2"/>
      <c r="AI1593" s="2"/>
    </row>
    <row r="1594" spans="1:35" ht="14.25" customHeight="1" x14ac:dyDescent="0.2">
      <c r="A1594" s="1">
        <v>49088</v>
      </c>
      <c r="B1594" s="1" t="s">
        <v>159</v>
      </c>
      <c r="C1594" s="1" t="s">
        <v>30</v>
      </c>
      <c r="D1594" s="2">
        <v>41905</v>
      </c>
      <c r="E1594" s="1" t="s">
        <v>38</v>
      </c>
      <c r="F1594" s="1" t="s">
        <v>978</v>
      </c>
      <c r="G1594" s="1">
        <v>15</v>
      </c>
      <c r="H1594" s="1">
        <v>279.48</v>
      </c>
      <c r="I1594" s="1">
        <f t="shared" si="72"/>
        <v>4192.2000000000007</v>
      </c>
      <c r="J1594" t="str">
        <f t="shared" si="73"/>
        <v>High</v>
      </c>
      <c r="K1594" s="1"/>
      <c r="L1594" s="1">
        <v>0.05</v>
      </c>
      <c r="M1594" s="1">
        <v>35</v>
      </c>
      <c r="N1594" s="1" t="s">
        <v>25</v>
      </c>
      <c r="O1594" s="1" t="s">
        <v>26</v>
      </c>
      <c r="P1594" s="2">
        <v>41906</v>
      </c>
      <c r="Q1594" s="2" t="b">
        <f t="shared" si="74"/>
        <v>1</v>
      </c>
      <c r="V1594" s="2"/>
      <c r="W1594" s="2"/>
      <c r="X1594" s="2"/>
      <c r="Y1594" s="2"/>
      <c r="Z1594" s="2"/>
      <c r="AA1594" s="2"/>
      <c r="AB1594" s="2"/>
      <c r="AC1594" s="2"/>
      <c r="AD1594" s="2"/>
      <c r="AE1594" s="2"/>
      <c r="AF1594" s="2"/>
      <c r="AG1594" s="2"/>
      <c r="AH1594" s="2"/>
      <c r="AI1594" s="2"/>
    </row>
    <row r="1595" spans="1:35" ht="14.25" customHeight="1" x14ac:dyDescent="0.2">
      <c r="A1595" s="1">
        <v>49088</v>
      </c>
      <c r="B1595" s="1" t="s">
        <v>159</v>
      </c>
      <c r="C1595" s="1" t="s">
        <v>30</v>
      </c>
      <c r="D1595" s="2">
        <v>41905</v>
      </c>
      <c r="E1595" s="1" t="s">
        <v>38</v>
      </c>
      <c r="F1595" s="1" t="s">
        <v>868</v>
      </c>
      <c r="G1595" s="1">
        <v>31</v>
      </c>
      <c r="H1595" s="1">
        <v>40.99</v>
      </c>
      <c r="I1595" s="1">
        <f t="shared" si="72"/>
        <v>1270.69</v>
      </c>
      <c r="J1595" t="str">
        <f t="shared" si="73"/>
        <v>High</v>
      </c>
      <c r="K1595" s="1"/>
      <c r="L1595" s="1">
        <v>0.06</v>
      </c>
      <c r="M1595" s="1">
        <v>17.48</v>
      </c>
      <c r="N1595" s="1" t="s">
        <v>33</v>
      </c>
      <c r="O1595" s="1" t="s">
        <v>34</v>
      </c>
      <c r="P1595" s="2">
        <v>41907</v>
      </c>
      <c r="Q1595" s="2" t="b">
        <f t="shared" si="74"/>
        <v>0</v>
      </c>
      <c r="V1595" s="2"/>
      <c r="W1595" s="2"/>
      <c r="X1595" s="2"/>
      <c r="Y1595" s="2"/>
      <c r="Z1595" s="2"/>
      <c r="AA1595" s="2"/>
      <c r="AB1595" s="2"/>
      <c r="AC1595" s="2"/>
      <c r="AD1595" s="2"/>
      <c r="AE1595" s="2"/>
      <c r="AF1595" s="2"/>
      <c r="AG1595" s="2"/>
      <c r="AH1595" s="2"/>
      <c r="AI1595" s="2"/>
    </row>
    <row r="1596" spans="1:35" ht="14.25" customHeight="1" x14ac:dyDescent="0.2">
      <c r="A1596" s="1">
        <v>55265</v>
      </c>
      <c r="B1596" s="1" t="s">
        <v>758</v>
      </c>
      <c r="C1596" s="1" t="s">
        <v>30</v>
      </c>
      <c r="D1596" s="2">
        <v>41905</v>
      </c>
      <c r="E1596" s="1" t="s">
        <v>43</v>
      </c>
      <c r="F1596" s="1" t="s">
        <v>1439</v>
      </c>
      <c r="G1596" s="1">
        <v>39</v>
      </c>
      <c r="H1596" s="1">
        <v>20.99</v>
      </c>
      <c r="I1596" s="1">
        <f t="shared" si="72"/>
        <v>818.6099999999999</v>
      </c>
      <c r="J1596" t="str">
        <f t="shared" si="73"/>
        <v>Low</v>
      </c>
      <c r="K1596" s="1"/>
      <c r="L1596" s="1">
        <v>0.06</v>
      </c>
      <c r="M1596" s="1">
        <v>0.99</v>
      </c>
      <c r="N1596" s="1" t="s">
        <v>33</v>
      </c>
      <c r="O1596" s="1" t="s">
        <v>55</v>
      </c>
      <c r="P1596" s="2">
        <v>41910</v>
      </c>
      <c r="Q1596" s="2" t="b">
        <f t="shared" si="74"/>
        <v>0</v>
      </c>
      <c r="V1596" s="2"/>
      <c r="W1596" s="2"/>
      <c r="X1596" s="2"/>
      <c r="Y1596" s="2"/>
      <c r="Z1596" s="2"/>
      <c r="AA1596" s="2"/>
      <c r="AB1596" s="2"/>
      <c r="AC1596" s="2"/>
      <c r="AD1596" s="2"/>
      <c r="AE1596" s="2"/>
      <c r="AF1596" s="2"/>
      <c r="AG1596" s="2"/>
      <c r="AH1596" s="2"/>
      <c r="AI1596" s="2"/>
    </row>
    <row r="1597" spans="1:35" ht="14.25" customHeight="1" x14ac:dyDescent="0.2">
      <c r="A1597" s="1">
        <v>49735</v>
      </c>
      <c r="B1597" s="1" t="s">
        <v>912</v>
      </c>
      <c r="C1597" s="1" t="s">
        <v>30</v>
      </c>
      <c r="D1597" s="2">
        <v>41905</v>
      </c>
      <c r="E1597" s="1" t="s">
        <v>22</v>
      </c>
      <c r="F1597" s="1" t="s">
        <v>1044</v>
      </c>
      <c r="G1597" s="1">
        <v>32</v>
      </c>
      <c r="H1597" s="1">
        <v>60.97</v>
      </c>
      <c r="I1597" s="1">
        <f t="shared" si="72"/>
        <v>1951.04</v>
      </c>
      <c r="J1597" t="str">
        <f t="shared" si="73"/>
        <v>High</v>
      </c>
      <c r="K1597" s="1"/>
      <c r="L1597" s="1">
        <v>0.04</v>
      </c>
      <c r="M1597" s="1">
        <v>4.5</v>
      </c>
      <c r="N1597" s="1" t="s">
        <v>33</v>
      </c>
      <c r="O1597" s="1" t="s">
        <v>34</v>
      </c>
      <c r="P1597" s="2">
        <v>41906</v>
      </c>
      <c r="Q1597" s="2" t="b">
        <f t="shared" si="74"/>
        <v>0</v>
      </c>
      <c r="V1597" s="2"/>
      <c r="W1597" s="2"/>
      <c r="X1597" s="2"/>
      <c r="Y1597" s="2"/>
      <c r="Z1597" s="2"/>
      <c r="AA1597" s="2"/>
      <c r="AB1597" s="2"/>
      <c r="AC1597" s="2"/>
      <c r="AD1597" s="2"/>
      <c r="AE1597" s="2"/>
      <c r="AF1597" s="2"/>
      <c r="AG1597" s="2"/>
      <c r="AH1597" s="2"/>
      <c r="AI1597" s="2"/>
    </row>
    <row r="1598" spans="1:35" ht="14.25" customHeight="1" x14ac:dyDescent="0.2">
      <c r="A1598" s="1">
        <v>53153</v>
      </c>
      <c r="B1598" s="1" t="s">
        <v>246</v>
      </c>
      <c r="C1598" s="1" t="s">
        <v>21</v>
      </c>
      <c r="D1598" s="2">
        <v>41905</v>
      </c>
      <c r="E1598" s="1" t="s">
        <v>38</v>
      </c>
      <c r="F1598" s="1" t="s">
        <v>1440</v>
      </c>
      <c r="G1598" s="1">
        <v>29</v>
      </c>
      <c r="H1598" s="1">
        <v>20.27</v>
      </c>
      <c r="I1598" s="1">
        <f t="shared" si="72"/>
        <v>587.83000000000004</v>
      </c>
      <c r="J1598" t="str">
        <f t="shared" si="73"/>
        <v>Low</v>
      </c>
      <c r="K1598" s="1"/>
      <c r="L1598" s="1">
        <v>0.1</v>
      </c>
      <c r="M1598" s="1">
        <v>3.99</v>
      </c>
      <c r="N1598" s="1" t="s">
        <v>33</v>
      </c>
      <c r="O1598" s="1" t="s">
        <v>34</v>
      </c>
      <c r="P1598" s="2">
        <v>41906</v>
      </c>
      <c r="Q1598" s="2" t="b">
        <f t="shared" si="74"/>
        <v>0</v>
      </c>
      <c r="V1598" s="2"/>
      <c r="W1598" s="2"/>
      <c r="X1598" s="2"/>
      <c r="Y1598" s="2"/>
      <c r="Z1598" s="2"/>
      <c r="AA1598" s="2"/>
      <c r="AB1598" s="2"/>
      <c r="AC1598" s="2"/>
      <c r="AD1598" s="2"/>
      <c r="AE1598" s="2"/>
      <c r="AF1598" s="2"/>
      <c r="AG1598" s="2"/>
      <c r="AH1598" s="2"/>
      <c r="AI1598" s="2"/>
    </row>
    <row r="1599" spans="1:35" ht="14.25" customHeight="1" x14ac:dyDescent="0.2">
      <c r="A1599" s="1">
        <v>55138</v>
      </c>
      <c r="B1599" s="1" t="s">
        <v>1258</v>
      </c>
      <c r="C1599" s="1" t="s">
        <v>30</v>
      </c>
      <c r="D1599" s="2">
        <v>41906</v>
      </c>
      <c r="E1599" s="1" t="s">
        <v>31</v>
      </c>
      <c r="F1599" s="1" t="s">
        <v>1348</v>
      </c>
      <c r="G1599" s="1">
        <v>22</v>
      </c>
      <c r="H1599" s="1">
        <v>48.91</v>
      </c>
      <c r="I1599" s="1">
        <f t="shared" si="72"/>
        <v>1076.02</v>
      </c>
      <c r="J1599" t="str">
        <f t="shared" si="73"/>
        <v>High</v>
      </c>
      <c r="K1599" s="1"/>
      <c r="L1599" s="1">
        <v>0</v>
      </c>
      <c r="M1599" s="1">
        <v>35</v>
      </c>
      <c r="N1599" s="1" t="s">
        <v>33</v>
      </c>
      <c r="O1599" s="1" t="s">
        <v>26</v>
      </c>
      <c r="P1599" s="2">
        <v>41907</v>
      </c>
      <c r="Q1599" s="2" t="b">
        <f t="shared" si="74"/>
        <v>0</v>
      </c>
      <c r="V1599" s="2"/>
      <c r="W1599" s="2"/>
      <c r="X1599" s="2"/>
      <c r="Y1599" s="2"/>
      <c r="Z1599" s="2"/>
      <c r="AA1599" s="2"/>
      <c r="AB1599" s="2"/>
      <c r="AC1599" s="2"/>
      <c r="AD1599" s="2"/>
      <c r="AE1599" s="2"/>
      <c r="AF1599" s="2"/>
      <c r="AG1599" s="2"/>
      <c r="AH1599" s="2"/>
      <c r="AI1599" s="2"/>
    </row>
    <row r="1600" spans="1:35" ht="14.25" customHeight="1" x14ac:dyDescent="0.2">
      <c r="A1600" s="1">
        <v>53190</v>
      </c>
      <c r="B1600" s="1" t="s">
        <v>1441</v>
      </c>
      <c r="C1600" s="1" t="s">
        <v>21</v>
      </c>
      <c r="D1600" s="2">
        <v>41906</v>
      </c>
      <c r="E1600" s="1" t="s">
        <v>101</v>
      </c>
      <c r="F1600" s="1" t="s">
        <v>723</v>
      </c>
      <c r="G1600" s="1">
        <v>10</v>
      </c>
      <c r="H1600" s="1">
        <v>28.53</v>
      </c>
      <c r="I1600" s="1">
        <f t="shared" si="72"/>
        <v>285.3</v>
      </c>
      <c r="J1600" t="str">
        <f t="shared" si="73"/>
        <v>Low</v>
      </c>
      <c r="K1600" s="1"/>
      <c r="L1600" s="1">
        <v>0.06</v>
      </c>
      <c r="M1600" s="1">
        <v>1.49</v>
      </c>
      <c r="N1600" s="1" t="s">
        <v>33</v>
      </c>
      <c r="O1600" s="1" t="s">
        <v>34</v>
      </c>
      <c r="P1600" s="2">
        <v>41909</v>
      </c>
      <c r="Q1600" s="2" t="b">
        <f t="shared" si="74"/>
        <v>0</v>
      </c>
      <c r="V1600" s="2"/>
      <c r="W1600" s="2"/>
      <c r="X1600" s="2"/>
      <c r="Y1600" s="2"/>
      <c r="Z1600" s="2"/>
      <c r="AA1600" s="2"/>
      <c r="AB1600" s="2"/>
      <c r="AC1600" s="2"/>
      <c r="AD1600" s="2"/>
      <c r="AE1600" s="2"/>
      <c r="AF1600" s="2"/>
      <c r="AG1600" s="2"/>
      <c r="AH1600" s="2"/>
      <c r="AI1600" s="2"/>
    </row>
    <row r="1601" spans="1:35" ht="14.25" customHeight="1" x14ac:dyDescent="0.2">
      <c r="A1601" s="1">
        <v>53190</v>
      </c>
      <c r="B1601" s="1" t="s">
        <v>1441</v>
      </c>
      <c r="C1601" s="1" t="s">
        <v>30</v>
      </c>
      <c r="D1601" s="2">
        <v>41906</v>
      </c>
      <c r="E1601" s="1" t="s">
        <v>101</v>
      </c>
      <c r="F1601" s="1" t="s">
        <v>408</v>
      </c>
      <c r="G1601" s="1">
        <v>9</v>
      </c>
      <c r="H1601" s="1">
        <v>65.989999999999995</v>
      </c>
      <c r="I1601" s="1">
        <f t="shared" si="72"/>
        <v>593.91</v>
      </c>
      <c r="J1601" t="str">
        <f t="shared" si="73"/>
        <v>Low</v>
      </c>
      <c r="K1601" s="1"/>
      <c r="L1601" s="1">
        <v>0.1</v>
      </c>
      <c r="M1601" s="1">
        <v>3.99</v>
      </c>
      <c r="N1601" s="1" t="s">
        <v>33</v>
      </c>
      <c r="O1601" s="1" t="s">
        <v>34</v>
      </c>
      <c r="P1601" s="2">
        <v>41907</v>
      </c>
      <c r="Q1601" s="2" t="b">
        <f t="shared" si="74"/>
        <v>0</v>
      </c>
      <c r="V1601" s="2"/>
      <c r="W1601" s="2"/>
      <c r="X1601" s="2"/>
      <c r="Y1601" s="2"/>
      <c r="Z1601" s="2"/>
      <c r="AA1601" s="2"/>
      <c r="AB1601" s="2"/>
      <c r="AC1601" s="2"/>
      <c r="AD1601" s="2"/>
      <c r="AE1601" s="2"/>
      <c r="AF1601" s="2"/>
      <c r="AG1601" s="2"/>
      <c r="AH1601" s="2"/>
      <c r="AI1601" s="2"/>
    </row>
    <row r="1602" spans="1:35" ht="14.25" customHeight="1" x14ac:dyDescent="0.2">
      <c r="A1602" s="1">
        <v>28420</v>
      </c>
      <c r="B1602" s="1" t="s">
        <v>57</v>
      </c>
      <c r="C1602" s="1" t="s">
        <v>30</v>
      </c>
      <c r="D1602" s="2">
        <v>41906</v>
      </c>
      <c r="E1602" s="1" t="s">
        <v>43</v>
      </c>
      <c r="F1602" s="1" t="s">
        <v>638</v>
      </c>
      <c r="G1602" s="1">
        <v>2</v>
      </c>
      <c r="H1602" s="1">
        <v>15.57</v>
      </c>
      <c r="I1602" s="1">
        <f t="shared" ref="I1602:I1665" si="75">G1602*H1602</f>
        <v>31.14</v>
      </c>
      <c r="J1602" t="str">
        <f t="shared" ref="J1602:J1665" si="76">IF(I1602&lt;1000,"Low","High")</f>
        <v>Low</v>
      </c>
      <c r="K1602" s="1"/>
      <c r="L1602" s="1">
        <v>0.08</v>
      </c>
      <c r="M1602" s="1">
        <v>1.39</v>
      </c>
      <c r="N1602" s="1" t="s">
        <v>25</v>
      </c>
      <c r="O1602" s="1" t="s">
        <v>34</v>
      </c>
      <c r="P1602" s="2">
        <v>41906</v>
      </c>
      <c r="Q1602" s="2" t="b">
        <f t="shared" ref="Q1602:Q1665" si="77">AND(N1602="Express Air",O1602="Large Box")</f>
        <v>0</v>
      </c>
      <c r="V1602" s="2"/>
      <c r="W1602" s="2"/>
      <c r="X1602" s="2"/>
      <c r="Y1602" s="2"/>
      <c r="Z1602" s="2"/>
      <c r="AA1602" s="2"/>
      <c r="AB1602" s="2"/>
      <c r="AC1602" s="2"/>
      <c r="AD1602" s="2"/>
      <c r="AE1602" s="2"/>
      <c r="AF1602" s="2"/>
      <c r="AG1602" s="2"/>
      <c r="AH1602" s="2"/>
      <c r="AI1602" s="2"/>
    </row>
    <row r="1603" spans="1:35" ht="14.25" customHeight="1" x14ac:dyDescent="0.2">
      <c r="A1603" s="1">
        <v>42022</v>
      </c>
      <c r="B1603" s="1" t="s">
        <v>881</v>
      </c>
      <c r="C1603" s="1" t="s">
        <v>30</v>
      </c>
      <c r="D1603" s="2">
        <v>41906</v>
      </c>
      <c r="E1603" s="1" t="s">
        <v>101</v>
      </c>
      <c r="F1603" s="1" t="s">
        <v>1415</v>
      </c>
      <c r="G1603" s="1">
        <v>45</v>
      </c>
      <c r="H1603" s="1">
        <v>7.3</v>
      </c>
      <c r="I1603" s="1">
        <f t="shared" si="75"/>
        <v>328.5</v>
      </c>
      <c r="J1603" t="str">
        <f t="shared" si="76"/>
        <v>Low</v>
      </c>
      <c r="K1603" s="1"/>
      <c r="L1603" s="1">
        <v>0.04</v>
      </c>
      <c r="M1603" s="1">
        <v>7.72</v>
      </c>
      <c r="N1603" s="1" t="s">
        <v>33</v>
      </c>
      <c r="O1603" s="1" t="s">
        <v>34</v>
      </c>
      <c r="P1603" s="2">
        <v>41907</v>
      </c>
      <c r="Q1603" s="2" t="b">
        <f t="shared" si="77"/>
        <v>0</v>
      </c>
      <c r="V1603" s="2"/>
      <c r="W1603" s="2"/>
      <c r="X1603" s="2"/>
      <c r="Y1603" s="2"/>
      <c r="Z1603" s="2"/>
      <c r="AA1603" s="2"/>
      <c r="AB1603" s="2"/>
      <c r="AC1603" s="2"/>
      <c r="AD1603" s="2"/>
      <c r="AE1603" s="2"/>
      <c r="AF1603" s="2"/>
      <c r="AG1603" s="2"/>
      <c r="AH1603" s="2"/>
      <c r="AI1603" s="2"/>
    </row>
    <row r="1604" spans="1:35" ht="14.25" customHeight="1" x14ac:dyDescent="0.2">
      <c r="A1604" s="1">
        <v>42022</v>
      </c>
      <c r="B1604" s="1" t="s">
        <v>881</v>
      </c>
      <c r="C1604" s="1" t="s">
        <v>21</v>
      </c>
      <c r="D1604" s="2">
        <v>41906</v>
      </c>
      <c r="E1604" s="1" t="s">
        <v>101</v>
      </c>
      <c r="F1604" s="1" t="s">
        <v>1442</v>
      </c>
      <c r="G1604" s="1">
        <v>11</v>
      </c>
      <c r="H1604" s="1">
        <v>3.95</v>
      </c>
      <c r="I1604" s="1">
        <f t="shared" si="75"/>
        <v>43.45</v>
      </c>
      <c r="J1604" t="str">
        <f t="shared" si="76"/>
        <v>Low</v>
      </c>
      <c r="K1604" s="1"/>
      <c r="L1604" s="1">
        <v>0.06</v>
      </c>
      <c r="M1604" s="1">
        <v>2</v>
      </c>
      <c r="N1604" s="1" t="s">
        <v>33</v>
      </c>
      <c r="O1604" s="1" t="s">
        <v>55</v>
      </c>
      <c r="P1604" s="2">
        <v>41907</v>
      </c>
      <c r="Q1604" s="2" t="b">
        <f t="shared" si="77"/>
        <v>0</v>
      </c>
      <c r="V1604" s="2"/>
      <c r="W1604" s="2"/>
      <c r="X1604" s="2"/>
      <c r="Y1604" s="2"/>
      <c r="Z1604" s="2"/>
      <c r="AA1604" s="2"/>
      <c r="AB1604" s="2"/>
      <c r="AC1604" s="2"/>
      <c r="AD1604" s="2"/>
      <c r="AE1604" s="2"/>
      <c r="AF1604" s="2"/>
      <c r="AG1604" s="2"/>
      <c r="AH1604" s="2"/>
      <c r="AI1604" s="2"/>
    </row>
    <row r="1605" spans="1:35" ht="14.25" customHeight="1" x14ac:dyDescent="0.2">
      <c r="A1605" s="1">
        <v>4583</v>
      </c>
      <c r="B1605" s="1" t="s">
        <v>597</v>
      </c>
      <c r="C1605" s="1" t="s">
        <v>21</v>
      </c>
      <c r="D1605" s="2">
        <v>41906</v>
      </c>
      <c r="E1605" s="1" t="s">
        <v>101</v>
      </c>
      <c r="F1605" s="1" t="s">
        <v>1443</v>
      </c>
      <c r="G1605" s="1">
        <v>44</v>
      </c>
      <c r="H1605" s="1">
        <v>70.98</v>
      </c>
      <c r="I1605" s="1">
        <f t="shared" si="75"/>
        <v>3123.1200000000003</v>
      </c>
      <c r="J1605" t="str">
        <f t="shared" si="76"/>
        <v>High</v>
      </c>
      <c r="K1605" s="1"/>
      <c r="L1605" s="1">
        <v>7.0000000000000007E-2</v>
      </c>
      <c r="M1605" s="1">
        <v>30</v>
      </c>
      <c r="N1605" s="1" t="s">
        <v>45</v>
      </c>
      <c r="O1605" s="1" t="s">
        <v>46</v>
      </c>
      <c r="P1605" s="2">
        <v>41908</v>
      </c>
      <c r="Q1605" s="2" t="b">
        <f t="shared" si="77"/>
        <v>0</v>
      </c>
      <c r="V1605" s="2"/>
      <c r="W1605" s="2"/>
      <c r="X1605" s="2"/>
      <c r="Y1605" s="2"/>
      <c r="Z1605" s="2"/>
      <c r="AA1605" s="2"/>
      <c r="AB1605" s="2"/>
      <c r="AC1605" s="2"/>
      <c r="AD1605" s="2"/>
      <c r="AE1605" s="2"/>
      <c r="AF1605" s="2"/>
      <c r="AG1605" s="2"/>
      <c r="AH1605" s="2"/>
      <c r="AI1605" s="2"/>
    </row>
    <row r="1606" spans="1:35" ht="14.25" customHeight="1" x14ac:dyDescent="0.2">
      <c r="A1606" s="1">
        <v>29826</v>
      </c>
      <c r="B1606" s="1" t="s">
        <v>444</v>
      </c>
      <c r="C1606" s="1" t="s">
        <v>51</v>
      </c>
      <c r="D1606" s="2">
        <v>41906</v>
      </c>
      <c r="E1606" s="1" t="s">
        <v>38</v>
      </c>
      <c r="F1606" s="1" t="s">
        <v>634</v>
      </c>
      <c r="G1606" s="1">
        <v>9</v>
      </c>
      <c r="H1606" s="1">
        <v>17.98</v>
      </c>
      <c r="I1606" s="1">
        <f t="shared" si="75"/>
        <v>161.82</v>
      </c>
      <c r="J1606" t="str">
        <f t="shared" si="76"/>
        <v>Low</v>
      </c>
      <c r="K1606" s="1"/>
      <c r="L1606" s="1">
        <v>0.06</v>
      </c>
      <c r="M1606" s="1">
        <v>4</v>
      </c>
      <c r="N1606" s="1" t="s">
        <v>33</v>
      </c>
      <c r="O1606" s="1" t="s">
        <v>34</v>
      </c>
      <c r="P1606" s="2">
        <v>41907</v>
      </c>
      <c r="Q1606" s="2" t="b">
        <f t="shared" si="77"/>
        <v>0</v>
      </c>
      <c r="V1606" s="2"/>
      <c r="W1606" s="2"/>
      <c r="X1606" s="2"/>
      <c r="Y1606" s="2"/>
      <c r="Z1606" s="2"/>
      <c r="AA1606" s="2"/>
      <c r="AB1606" s="2"/>
      <c r="AC1606" s="2"/>
      <c r="AD1606" s="2"/>
      <c r="AE1606" s="2"/>
      <c r="AF1606" s="2"/>
      <c r="AG1606" s="2"/>
      <c r="AH1606" s="2"/>
      <c r="AI1606" s="2"/>
    </row>
    <row r="1607" spans="1:35" ht="14.25" customHeight="1" x14ac:dyDescent="0.2">
      <c r="A1607" s="1">
        <v>28135</v>
      </c>
      <c r="B1607" s="1" t="s">
        <v>526</v>
      </c>
      <c r="C1607" s="1" t="s">
        <v>30</v>
      </c>
      <c r="D1607" s="2">
        <v>41907</v>
      </c>
      <c r="E1607" s="1" t="s">
        <v>38</v>
      </c>
      <c r="F1607" s="1" t="s">
        <v>882</v>
      </c>
      <c r="G1607" s="1">
        <v>37</v>
      </c>
      <c r="H1607" s="1">
        <v>46.89</v>
      </c>
      <c r="I1607" s="1">
        <f t="shared" si="75"/>
        <v>1734.93</v>
      </c>
      <c r="J1607" t="str">
        <f t="shared" si="76"/>
        <v>High</v>
      </c>
      <c r="K1607" s="1"/>
      <c r="L1607" s="1">
        <v>0.08</v>
      </c>
      <c r="M1607" s="1">
        <v>5.0999999999999996</v>
      </c>
      <c r="N1607" s="1" t="s">
        <v>33</v>
      </c>
      <c r="O1607" s="1" t="s">
        <v>72</v>
      </c>
      <c r="P1607" s="2">
        <v>41909</v>
      </c>
      <c r="Q1607" s="2" t="b">
        <f t="shared" si="77"/>
        <v>0</v>
      </c>
      <c r="V1607" s="2"/>
      <c r="W1607" s="2"/>
      <c r="X1607" s="2"/>
      <c r="Y1607" s="2"/>
      <c r="Z1607" s="2"/>
      <c r="AA1607" s="2"/>
      <c r="AB1607" s="2"/>
      <c r="AC1607" s="2"/>
      <c r="AD1607" s="2"/>
      <c r="AE1607" s="2"/>
      <c r="AF1607" s="2"/>
      <c r="AG1607" s="2"/>
      <c r="AH1607" s="2"/>
      <c r="AI1607" s="2"/>
    </row>
    <row r="1608" spans="1:35" ht="14.25" customHeight="1" x14ac:dyDescent="0.2">
      <c r="A1608" s="1">
        <v>28135</v>
      </c>
      <c r="B1608" s="1" t="s">
        <v>526</v>
      </c>
      <c r="C1608" s="1" t="s">
        <v>21</v>
      </c>
      <c r="D1608" s="2">
        <v>41907</v>
      </c>
      <c r="E1608" s="1" t="s">
        <v>38</v>
      </c>
      <c r="F1608" s="1" t="s">
        <v>1234</v>
      </c>
      <c r="G1608" s="1">
        <v>40</v>
      </c>
      <c r="H1608" s="1">
        <v>12.98</v>
      </c>
      <c r="I1608" s="1">
        <f t="shared" si="75"/>
        <v>519.20000000000005</v>
      </c>
      <c r="J1608" t="str">
        <f t="shared" si="76"/>
        <v>Low</v>
      </c>
      <c r="K1608" s="1"/>
      <c r="L1608" s="1">
        <v>0.05</v>
      </c>
      <c r="M1608" s="1">
        <v>3.14</v>
      </c>
      <c r="N1608" s="1" t="s">
        <v>33</v>
      </c>
      <c r="O1608" s="1" t="s">
        <v>84</v>
      </c>
      <c r="P1608" s="2">
        <v>41907</v>
      </c>
      <c r="Q1608" s="2" t="b">
        <f t="shared" si="77"/>
        <v>0</v>
      </c>
      <c r="V1608" s="2"/>
      <c r="W1608" s="2"/>
      <c r="X1608" s="2"/>
      <c r="Y1608" s="2"/>
      <c r="Z1608" s="2"/>
      <c r="AA1608" s="2"/>
      <c r="AB1608" s="2"/>
      <c r="AC1608" s="2"/>
      <c r="AD1608" s="2"/>
      <c r="AE1608" s="2"/>
      <c r="AF1608" s="2"/>
      <c r="AG1608" s="2"/>
      <c r="AH1608" s="2"/>
      <c r="AI1608" s="2"/>
    </row>
    <row r="1609" spans="1:35" ht="14.25" customHeight="1" x14ac:dyDescent="0.2">
      <c r="A1609" s="1">
        <v>16134</v>
      </c>
      <c r="B1609" s="1" t="s">
        <v>354</v>
      </c>
      <c r="C1609" s="1" t="s">
        <v>30</v>
      </c>
      <c r="D1609" s="2">
        <v>41907</v>
      </c>
      <c r="E1609" s="1" t="s">
        <v>38</v>
      </c>
      <c r="F1609" s="1" t="s">
        <v>1444</v>
      </c>
      <c r="G1609" s="1">
        <v>1</v>
      </c>
      <c r="H1609" s="1">
        <v>14.89</v>
      </c>
      <c r="I1609" s="1">
        <f t="shared" si="75"/>
        <v>14.89</v>
      </c>
      <c r="J1609" t="str">
        <f t="shared" si="76"/>
        <v>Low</v>
      </c>
      <c r="K1609" s="1"/>
      <c r="L1609" s="1">
        <v>0.17</v>
      </c>
      <c r="M1609" s="1">
        <v>13.56</v>
      </c>
      <c r="N1609" s="1" t="s">
        <v>33</v>
      </c>
      <c r="O1609" s="1" t="s">
        <v>26</v>
      </c>
      <c r="P1609" s="2">
        <v>41909</v>
      </c>
      <c r="Q1609" s="2" t="b">
        <f t="shared" si="77"/>
        <v>0</v>
      </c>
      <c r="V1609" s="2"/>
      <c r="W1609" s="2"/>
      <c r="X1609" s="2"/>
      <c r="Y1609" s="2"/>
      <c r="Z1609" s="2"/>
      <c r="AA1609" s="2"/>
      <c r="AB1609" s="2"/>
      <c r="AC1609" s="2"/>
      <c r="AD1609" s="2"/>
      <c r="AE1609" s="2"/>
      <c r="AF1609" s="2"/>
      <c r="AG1609" s="2"/>
      <c r="AH1609" s="2"/>
      <c r="AI1609" s="2"/>
    </row>
    <row r="1610" spans="1:35" ht="14.25" customHeight="1" x14ac:dyDescent="0.2">
      <c r="A1610" s="1">
        <v>18754</v>
      </c>
      <c r="B1610" s="1" t="s">
        <v>1445</v>
      </c>
      <c r="C1610" s="1" t="s">
        <v>51</v>
      </c>
      <c r="D1610" s="2">
        <v>41907</v>
      </c>
      <c r="E1610" s="1" t="s">
        <v>22</v>
      </c>
      <c r="F1610" s="1" t="s">
        <v>883</v>
      </c>
      <c r="G1610" s="1">
        <v>8</v>
      </c>
      <c r="H1610" s="1">
        <v>140.97999999999999</v>
      </c>
      <c r="I1610" s="1">
        <f t="shared" si="75"/>
        <v>1127.8399999999999</v>
      </c>
      <c r="J1610" t="str">
        <f t="shared" si="76"/>
        <v>High</v>
      </c>
      <c r="K1610" s="1"/>
      <c r="L1610" s="1">
        <v>0.03</v>
      </c>
      <c r="M1610" s="1">
        <v>36.090000000000003</v>
      </c>
      <c r="N1610" s="1" t="s">
        <v>45</v>
      </c>
      <c r="O1610" s="1" t="s">
        <v>63</v>
      </c>
      <c r="P1610" s="2">
        <v>41909</v>
      </c>
      <c r="Q1610" s="2" t="b">
        <f t="shared" si="77"/>
        <v>0</v>
      </c>
      <c r="V1610" s="2"/>
      <c r="W1610" s="2"/>
      <c r="X1610" s="2"/>
      <c r="Y1610" s="2"/>
      <c r="Z1610" s="2"/>
      <c r="AA1610" s="2"/>
      <c r="AB1610" s="2"/>
      <c r="AC1610" s="2"/>
      <c r="AD1610" s="2"/>
      <c r="AE1610" s="2"/>
      <c r="AF1610" s="2"/>
      <c r="AG1610" s="2"/>
      <c r="AH1610" s="2"/>
      <c r="AI1610" s="2"/>
    </row>
    <row r="1611" spans="1:35" ht="14.25" customHeight="1" x14ac:dyDescent="0.2">
      <c r="A1611" s="1">
        <v>18754</v>
      </c>
      <c r="B1611" s="1" t="s">
        <v>1445</v>
      </c>
      <c r="C1611" s="1" t="s">
        <v>51</v>
      </c>
      <c r="D1611" s="2">
        <v>41907</v>
      </c>
      <c r="E1611" s="1" t="s">
        <v>22</v>
      </c>
      <c r="F1611" s="1" t="s">
        <v>937</v>
      </c>
      <c r="G1611" s="1">
        <v>32</v>
      </c>
      <c r="H1611" s="1">
        <v>65.989999999999995</v>
      </c>
      <c r="I1611" s="1">
        <f t="shared" si="75"/>
        <v>2111.6799999999998</v>
      </c>
      <c r="J1611" t="str">
        <f t="shared" si="76"/>
        <v>High</v>
      </c>
      <c r="K1611" s="1"/>
      <c r="L1611" s="1">
        <v>0.08</v>
      </c>
      <c r="M1611" s="1">
        <v>8.99</v>
      </c>
      <c r="N1611" s="1" t="s">
        <v>33</v>
      </c>
      <c r="O1611" s="1" t="s">
        <v>34</v>
      </c>
      <c r="P1611" s="2">
        <v>41908</v>
      </c>
      <c r="Q1611" s="2" t="b">
        <f t="shared" si="77"/>
        <v>0</v>
      </c>
      <c r="V1611" s="2"/>
      <c r="W1611" s="2"/>
      <c r="X1611" s="2"/>
      <c r="Y1611" s="2"/>
      <c r="Z1611" s="2"/>
      <c r="AA1611" s="2"/>
      <c r="AB1611" s="2"/>
      <c r="AC1611" s="2"/>
      <c r="AD1611" s="2"/>
      <c r="AE1611" s="2"/>
      <c r="AF1611" s="2"/>
      <c r="AG1611" s="2"/>
      <c r="AH1611" s="2"/>
      <c r="AI1611" s="2"/>
    </row>
    <row r="1612" spans="1:35" ht="14.25" customHeight="1" x14ac:dyDescent="0.2">
      <c r="A1612" s="1">
        <v>16133</v>
      </c>
      <c r="B1612" s="1" t="s">
        <v>1418</v>
      </c>
      <c r="C1612" s="1" t="s">
        <v>21</v>
      </c>
      <c r="D1612" s="2">
        <v>41907</v>
      </c>
      <c r="E1612" s="1" t="s">
        <v>38</v>
      </c>
      <c r="F1612" s="1" t="s">
        <v>1285</v>
      </c>
      <c r="G1612" s="1">
        <v>16</v>
      </c>
      <c r="H1612" s="1">
        <v>200.97</v>
      </c>
      <c r="I1612" s="1">
        <f t="shared" si="75"/>
        <v>3215.52</v>
      </c>
      <c r="J1612" t="str">
        <f t="shared" si="76"/>
        <v>High</v>
      </c>
      <c r="K1612" s="1"/>
      <c r="L1612" s="1">
        <v>0.06</v>
      </c>
      <c r="M1612" s="1">
        <v>15.59</v>
      </c>
      <c r="N1612" s="1" t="s">
        <v>45</v>
      </c>
      <c r="O1612" s="1" t="s">
        <v>46</v>
      </c>
      <c r="P1612" s="2">
        <v>41907</v>
      </c>
      <c r="Q1612" s="2" t="b">
        <f t="shared" si="77"/>
        <v>0</v>
      </c>
      <c r="V1612" s="2"/>
      <c r="W1612" s="2"/>
      <c r="X1612" s="2"/>
      <c r="Y1612" s="2"/>
      <c r="Z1612" s="2"/>
      <c r="AA1612" s="2"/>
      <c r="AB1612" s="2"/>
      <c r="AC1612" s="2"/>
      <c r="AD1612" s="2"/>
      <c r="AE1612" s="2"/>
      <c r="AF1612" s="2"/>
      <c r="AG1612" s="2"/>
      <c r="AH1612" s="2"/>
      <c r="AI1612" s="2"/>
    </row>
    <row r="1613" spans="1:35" ht="14.25" customHeight="1" x14ac:dyDescent="0.2">
      <c r="A1613" s="1">
        <v>12903</v>
      </c>
      <c r="B1613" s="1" t="s">
        <v>1446</v>
      </c>
      <c r="C1613" s="1" t="s">
        <v>30</v>
      </c>
      <c r="D1613" s="2">
        <v>41907</v>
      </c>
      <c r="E1613" s="1" t="s">
        <v>38</v>
      </c>
      <c r="F1613" s="1" t="s">
        <v>1447</v>
      </c>
      <c r="G1613" s="1">
        <v>2</v>
      </c>
      <c r="H1613" s="1">
        <v>35.99</v>
      </c>
      <c r="I1613" s="1">
        <f t="shared" si="75"/>
        <v>71.98</v>
      </c>
      <c r="J1613" t="str">
        <f t="shared" si="76"/>
        <v>Low</v>
      </c>
      <c r="K1613" s="1"/>
      <c r="L1613" s="1">
        <v>7.0000000000000007E-2</v>
      </c>
      <c r="M1613" s="1">
        <v>5</v>
      </c>
      <c r="N1613" s="1" t="s">
        <v>33</v>
      </c>
      <c r="O1613" s="1" t="s">
        <v>55</v>
      </c>
      <c r="P1613" s="2">
        <v>41909</v>
      </c>
      <c r="Q1613" s="2" t="b">
        <f t="shared" si="77"/>
        <v>0</v>
      </c>
      <c r="V1613" s="2"/>
      <c r="W1613" s="2"/>
      <c r="X1613" s="2"/>
      <c r="Y1613" s="2"/>
      <c r="Z1613" s="2"/>
      <c r="AA1613" s="2"/>
      <c r="AB1613" s="2"/>
      <c r="AC1613" s="2"/>
      <c r="AD1613" s="2"/>
      <c r="AE1613" s="2"/>
      <c r="AF1613" s="2"/>
      <c r="AG1613" s="2"/>
      <c r="AH1613" s="2"/>
      <c r="AI1613" s="2"/>
    </row>
    <row r="1614" spans="1:35" ht="14.25" customHeight="1" x14ac:dyDescent="0.2">
      <c r="A1614" s="1">
        <v>3522</v>
      </c>
      <c r="B1614" s="1" t="s">
        <v>843</v>
      </c>
      <c r="C1614" s="1" t="s">
        <v>51</v>
      </c>
      <c r="D1614" s="2">
        <v>41907</v>
      </c>
      <c r="E1614" s="1" t="s">
        <v>43</v>
      </c>
      <c r="F1614" s="1" t="s">
        <v>436</v>
      </c>
      <c r="G1614" s="1">
        <v>33</v>
      </c>
      <c r="H1614" s="1">
        <v>60.98</v>
      </c>
      <c r="I1614" s="1">
        <f t="shared" si="75"/>
        <v>2012.34</v>
      </c>
      <c r="J1614" t="str">
        <f t="shared" si="76"/>
        <v>High</v>
      </c>
      <c r="K1614" s="1"/>
      <c r="L1614" s="1">
        <v>0.09</v>
      </c>
      <c r="M1614" s="1">
        <v>49</v>
      </c>
      <c r="N1614" s="1" t="s">
        <v>33</v>
      </c>
      <c r="O1614" s="1" t="s">
        <v>26</v>
      </c>
      <c r="P1614" s="2">
        <v>41914</v>
      </c>
      <c r="Q1614" s="2" t="b">
        <f t="shared" si="77"/>
        <v>0</v>
      </c>
      <c r="V1614" s="2"/>
      <c r="W1614" s="2"/>
      <c r="X1614" s="2"/>
      <c r="Y1614" s="2"/>
      <c r="Z1614" s="2"/>
      <c r="AA1614" s="2"/>
      <c r="AB1614" s="2"/>
      <c r="AC1614" s="2"/>
      <c r="AD1614" s="2"/>
      <c r="AE1614" s="2"/>
      <c r="AF1614" s="2"/>
      <c r="AG1614" s="2"/>
      <c r="AH1614" s="2"/>
      <c r="AI1614" s="2"/>
    </row>
    <row r="1615" spans="1:35" ht="14.25" customHeight="1" x14ac:dyDescent="0.2">
      <c r="A1615" s="1">
        <v>3522</v>
      </c>
      <c r="B1615" s="1" t="s">
        <v>843</v>
      </c>
      <c r="C1615" s="1" t="s">
        <v>30</v>
      </c>
      <c r="D1615" s="2">
        <v>41907</v>
      </c>
      <c r="E1615" s="1" t="s">
        <v>43</v>
      </c>
      <c r="F1615" s="1" t="s">
        <v>379</v>
      </c>
      <c r="G1615" s="1">
        <v>27</v>
      </c>
      <c r="H1615" s="1">
        <v>29.89</v>
      </c>
      <c r="I1615" s="1">
        <f t="shared" si="75"/>
        <v>807.03</v>
      </c>
      <c r="J1615" t="str">
        <f t="shared" si="76"/>
        <v>Low</v>
      </c>
      <c r="K1615" s="1"/>
      <c r="L1615" s="1">
        <v>0.05</v>
      </c>
      <c r="M1615" s="1">
        <v>1.99</v>
      </c>
      <c r="N1615" s="1" t="s">
        <v>33</v>
      </c>
      <c r="O1615" s="1" t="s">
        <v>84</v>
      </c>
      <c r="P1615" s="2">
        <v>41909</v>
      </c>
      <c r="Q1615" s="2" t="b">
        <f t="shared" si="77"/>
        <v>0</v>
      </c>
      <c r="V1615" s="2"/>
      <c r="W1615" s="2"/>
      <c r="X1615" s="2"/>
      <c r="Y1615" s="2"/>
      <c r="Z1615" s="2"/>
      <c r="AA1615" s="2"/>
      <c r="AB1615" s="2"/>
      <c r="AC1615" s="2"/>
      <c r="AD1615" s="2"/>
      <c r="AE1615" s="2"/>
      <c r="AF1615" s="2"/>
      <c r="AG1615" s="2"/>
      <c r="AH1615" s="2"/>
      <c r="AI1615" s="2"/>
    </row>
    <row r="1616" spans="1:35" ht="14.25" customHeight="1" x14ac:dyDescent="0.2">
      <c r="A1616" s="1">
        <v>23136</v>
      </c>
      <c r="B1616" s="1" t="s">
        <v>1448</v>
      </c>
      <c r="C1616" s="1" t="s">
        <v>21</v>
      </c>
      <c r="D1616" s="2">
        <v>41907</v>
      </c>
      <c r="E1616" s="1" t="s">
        <v>22</v>
      </c>
      <c r="F1616" s="1" t="s">
        <v>1004</v>
      </c>
      <c r="G1616" s="1">
        <v>41</v>
      </c>
      <c r="H1616" s="1">
        <v>218.08</v>
      </c>
      <c r="I1616" s="1">
        <f t="shared" si="75"/>
        <v>8941.2800000000007</v>
      </c>
      <c r="J1616" t="str">
        <f t="shared" si="76"/>
        <v>High</v>
      </c>
      <c r="K1616" s="1"/>
      <c r="L1616" s="1">
        <v>0.01</v>
      </c>
      <c r="M1616" s="1">
        <v>18.059999999999999</v>
      </c>
      <c r="N1616" s="1" t="s">
        <v>33</v>
      </c>
      <c r="O1616" s="1" t="s">
        <v>26</v>
      </c>
      <c r="P1616" s="2">
        <v>41908</v>
      </c>
      <c r="Q1616" s="2" t="b">
        <f t="shared" si="77"/>
        <v>0</v>
      </c>
      <c r="V1616" s="2"/>
      <c r="W1616" s="2"/>
      <c r="X1616" s="2"/>
      <c r="Y1616" s="2"/>
      <c r="Z1616" s="2"/>
      <c r="AA1616" s="2"/>
      <c r="AB1616" s="2"/>
      <c r="AC1616" s="2"/>
      <c r="AD1616" s="2"/>
      <c r="AE1616" s="2"/>
      <c r="AF1616" s="2"/>
      <c r="AG1616" s="2"/>
      <c r="AH1616" s="2"/>
      <c r="AI1616" s="2"/>
    </row>
    <row r="1617" spans="1:35" ht="14.25" customHeight="1" x14ac:dyDescent="0.2">
      <c r="A1617" s="1">
        <v>23136</v>
      </c>
      <c r="B1617" s="1" t="s">
        <v>1448</v>
      </c>
      <c r="C1617" s="1" t="s">
        <v>21</v>
      </c>
      <c r="D1617" s="2">
        <v>41907</v>
      </c>
      <c r="E1617" s="1" t="s">
        <v>22</v>
      </c>
      <c r="F1617" s="1" t="s">
        <v>481</v>
      </c>
      <c r="G1617" s="1">
        <v>43</v>
      </c>
      <c r="H1617" s="1">
        <v>4.9800000000000004</v>
      </c>
      <c r="I1617" s="1">
        <f t="shared" si="75"/>
        <v>214.14000000000001</v>
      </c>
      <c r="J1617" t="str">
        <f t="shared" si="76"/>
        <v>Low</v>
      </c>
      <c r="K1617" s="1"/>
      <c r="L1617" s="1">
        <v>0.04</v>
      </c>
      <c r="M1617" s="1">
        <v>4.62</v>
      </c>
      <c r="N1617" s="1" t="s">
        <v>33</v>
      </c>
      <c r="O1617" s="1" t="s">
        <v>84</v>
      </c>
      <c r="P1617" s="2">
        <v>41908</v>
      </c>
      <c r="Q1617" s="2" t="b">
        <f t="shared" si="77"/>
        <v>0</v>
      </c>
      <c r="V1617" s="2"/>
      <c r="W1617" s="2"/>
      <c r="X1617" s="2"/>
      <c r="Y1617" s="2"/>
      <c r="Z1617" s="2"/>
      <c r="AA1617" s="2"/>
      <c r="AB1617" s="2"/>
      <c r="AC1617" s="2"/>
      <c r="AD1617" s="2"/>
      <c r="AE1617" s="2"/>
      <c r="AF1617" s="2"/>
      <c r="AG1617" s="2"/>
      <c r="AH1617" s="2"/>
      <c r="AI1617" s="2"/>
    </row>
    <row r="1618" spans="1:35" ht="14.25" customHeight="1" x14ac:dyDescent="0.2">
      <c r="A1618" s="1">
        <v>41542</v>
      </c>
      <c r="B1618" s="1" t="s">
        <v>369</v>
      </c>
      <c r="C1618" s="1" t="s">
        <v>51</v>
      </c>
      <c r="D1618" s="2">
        <v>41908</v>
      </c>
      <c r="E1618" s="1" t="s">
        <v>31</v>
      </c>
      <c r="F1618" s="1" t="s">
        <v>1317</v>
      </c>
      <c r="G1618" s="1">
        <v>47</v>
      </c>
      <c r="H1618" s="1">
        <v>124.49</v>
      </c>
      <c r="I1618" s="1">
        <f t="shared" si="75"/>
        <v>5851.03</v>
      </c>
      <c r="J1618" t="str">
        <f t="shared" si="76"/>
        <v>High</v>
      </c>
      <c r="K1618" s="1"/>
      <c r="L1618" s="1">
        <v>0.03</v>
      </c>
      <c r="M1618" s="1">
        <v>51.94</v>
      </c>
      <c r="N1618" s="1" t="s">
        <v>45</v>
      </c>
      <c r="O1618" s="1" t="s">
        <v>63</v>
      </c>
      <c r="P1618" s="2">
        <v>41909</v>
      </c>
      <c r="Q1618" s="2" t="b">
        <f t="shared" si="77"/>
        <v>0</v>
      </c>
      <c r="V1618" s="2"/>
      <c r="W1618" s="2"/>
      <c r="X1618" s="2"/>
      <c r="Y1618" s="2"/>
      <c r="Z1618" s="2"/>
      <c r="AA1618" s="2"/>
      <c r="AB1618" s="2"/>
      <c r="AC1618" s="2"/>
      <c r="AD1618" s="2"/>
      <c r="AE1618" s="2"/>
      <c r="AF1618" s="2"/>
      <c r="AG1618" s="2"/>
      <c r="AH1618" s="2"/>
      <c r="AI1618" s="2"/>
    </row>
    <row r="1619" spans="1:35" ht="14.25" customHeight="1" x14ac:dyDescent="0.2">
      <c r="A1619" s="1">
        <v>20069</v>
      </c>
      <c r="B1619" s="1" t="s">
        <v>1449</v>
      </c>
      <c r="C1619" s="1" t="s">
        <v>30</v>
      </c>
      <c r="D1619" s="2">
        <v>41908</v>
      </c>
      <c r="E1619" s="1" t="s">
        <v>38</v>
      </c>
      <c r="F1619" s="1" t="s">
        <v>795</v>
      </c>
      <c r="G1619" s="1">
        <v>6</v>
      </c>
      <c r="H1619" s="1">
        <v>40.89</v>
      </c>
      <c r="I1619" s="1">
        <f t="shared" si="75"/>
        <v>245.34</v>
      </c>
      <c r="J1619" t="str">
        <f t="shared" si="76"/>
        <v>Low</v>
      </c>
      <c r="K1619" s="1"/>
      <c r="L1619" s="1">
        <v>7.0000000000000007E-2</v>
      </c>
      <c r="M1619" s="1">
        <v>18.98</v>
      </c>
      <c r="N1619" s="1" t="s">
        <v>33</v>
      </c>
      <c r="O1619" s="1" t="s">
        <v>34</v>
      </c>
      <c r="P1619" s="2">
        <v>41910</v>
      </c>
      <c r="Q1619" s="2" t="b">
        <f t="shared" si="77"/>
        <v>0</v>
      </c>
      <c r="V1619" s="2"/>
      <c r="W1619" s="2"/>
      <c r="X1619" s="2"/>
      <c r="Y1619" s="2"/>
      <c r="Z1619" s="2"/>
      <c r="AA1619" s="2"/>
      <c r="AB1619" s="2"/>
      <c r="AC1619" s="2"/>
      <c r="AD1619" s="2"/>
      <c r="AE1619" s="2"/>
      <c r="AF1619" s="2"/>
      <c r="AG1619" s="2"/>
      <c r="AH1619" s="2"/>
      <c r="AI1619" s="2"/>
    </row>
    <row r="1620" spans="1:35" ht="14.25" customHeight="1" x14ac:dyDescent="0.2">
      <c r="A1620" s="1">
        <v>19075</v>
      </c>
      <c r="B1620" s="1" t="s">
        <v>1450</v>
      </c>
      <c r="C1620" s="1" t="s">
        <v>51</v>
      </c>
      <c r="D1620" s="2">
        <v>41908</v>
      </c>
      <c r="E1620" s="1" t="s">
        <v>38</v>
      </c>
      <c r="F1620" s="1" t="s">
        <v>1451</v>
      </c>
      <c r="G1620" s="1">
        <v>36</v>
      </c>
      <c r="H1620" s="1">
        <v>50.98</v>
      </c>
      <c r="I1620" s="1">
        <f t="shared" si="75"/>
        <v>1835.28</v>
      </c>
      <c r="J1620" t="str">
        <f t="shared" si="76"/>
        <v>High</v>
      </c>
      <c r="K1620" s="1"/>
      <c r="L1620" s="1">
        <v>0.01</v>
      </c>
      <c r="M1620" s="1">
        <v>6.5</v>
      </c>
      <c r="N1620" s="1" t="s">
        <v>33</v>
      </c>
      <c r="O1620" s="1" t="s">
        <v>34</v>
      </c>
      <c r="P1620" s="2">
        <v>41909</v>
      </c>
      <c r="Q1620" s="2" t="b">
        <f t="shared" si="77"/>
        <v>0</v>
      </c>
      <c r="V1620" s="2"/>
      <c r="W1620" s="2"/>
      <c r="X1620" s="2"/>
      <c r="Y1620" s="2"/>
      <c r="Z1620" s="2"/>
      <c r="AA1620" s="2"/>
      <c r="AB1620" s="2"/>
      <c r="AC1620" s="2"/>
      <c r="AD1620" s="2"/>
      <c r="AE1620" s="2"/>
      <c r="AF1620" s="2"/>
      <c r="AG1620" s="2"/>
      <c r="AH1620" s="2"/>
      <c r="AI1620" s="2"/>
    </row>
    <row r="1621" spans="1:35" ht="14.25" customHeight="1" x14ac:dyDescent="0.2">
      <c r="A1621" s="1">
        <v>31175</v>
      </c>
      <c r="B1621" s="1" t="s">
        <v>693</v>
      </c>
      <c r="C1621" s="1" t="s">
        <v>51</v>
      </c>
      <c r="D1621" s="2">
        <v>41908</v>
      </c>
      <c r="E1621" s="1" t="s">
        <v>38</v>
      </c>
      <c r="F1621" s="1" t="s">
        <v>1452</v>
      </c>
      <c r="G1621" s="1">
        <v>26</v>
      </c>
      <c r="H1621" s="1">
        <v>19.98</v>
      </c>
      <c r="I1621" s="1">
        <f t="shared" si="75"/>
        <v>519.48</v>
      </c>
      <c r="J1621" t="str">
        <f t="shared" si="76"/>
        <v>Low</v>
      </c>
      <c r="K1621" s="1"/>
      <c r="L1621" s="1">
        <v>0</v>
      </c>
      <c r="M1621" s="1">
        <v>5.97</v>
      </c>
      <c r="N1621" s="1" t="s">
        <v>25</v>
      </c>
      <c r="O1621" s="1" t="s">
        <v>34</v>
      </c>
      <c r="P1621" s="2">
        <v>41911</v>
      </c>
      <c r="Q1621" s="2" t="b">
        <f t="shared" si="77"/>
        <v>0</v>
      </c>
      <c r="V1621" s="2"/>
      <c r="W1621" s="2"/>
      <c r="X1621" s="2"/>
      <c r="Y1621" s="2"/>
      <c r="Z1621" s="2"/>
      <c r="AA1621" s="2"/>
      <c r="AB1621" s="2"/>
      <c r="AC1621" s="2"/>
      <c r="AD1621" s="2"/>
      <c r="AE1621" s="2"/>
      <c r="AF1621" s="2"/>
      <c r="AG1621" s="2"/>
      <c r="AH1621" s="2"/>
      <c r="AI1621" s="2"/>
    </row>
    <row r="1622" spans="1:35" ht="14.25" customHeight="1" x14ac:dyDescent="0.2">
      <c r="A1622" s="1">
        <v>49441</v>
      </c>
      <c r="B1622" s="1" t="s">
        <v>515</v>
      </c>
      <c r="C1622" s="1" t="s">
        <v>21</v>
      </c>
      <c r="D1622" s="2">
        <v>41909</v>
      </c>
      <c r="E1622" s="1" t="s">
        <v>101</v>
      </c>
      <c r="F1622" s="1" t="s">
        <v>1453</v>
      </c>
      <c r="G1622" s="1">
        <v>49</v>
      </c>
      <c r="H1622" s="1">
        <v>41.32</v>
      </c>
      <c r="I1622" s="1">
        <f t="shared" si="75"/>
        <v>2024.68</v>
      </c>
      <c r="J1622" t="str">
        <f t="shared" si="76"/>
        <v>High</v>
      </c>
      <c r="K1622" s="1"/>
      <c r="L1622" s="1">
        <v>7.0000000000000007E-2</v>
      </c>
      <c r="M1622" s="1">
        <v>8.66</v>
      </c>
      <c r="N1622" s="1" t="s">
        <v>25</v>
      </c>
      <c r="O1622" s="1" t="s">
        <v>72</v>
      </c>
      <c r="P1622" s="2">
        <v>41910</v>
      </c>
      <c r="Q1622" s="2" t="b">
        <f t="shared" si="77"/>
        <v>0</v>
      </c>
      <c r="V1622" s="2"/>
      <c r="W1622" s="2"/>
      <c r="X1622" s="2"/>
      <c r="Y1622" s="2"/>
      <c r="Z1622" s="2"/>
      <c r="AA1622" s="2"/>
      <c r="AB1622" s="2"/>
      <c r="AC1622" s="2"/>
      <c r="AD1622" s="2"/>
      <c r="AE1622" s="2"/>
      <c r="AF1622" s="2"/>
      <c r="AG1622" s="2"/>
      <c r="AH1622" s="2"/>
      <c r="AI1622" s="2"/>
    </row>
    <row r="1623" spans="1:35" ht="14.25" customHeight="1" x14ac:dyDescent="0.2">
      <c r="A1623" s="1">
        <v>25953</v>
      </c>
      <c r="B1623" s="1" t="s">
        <v>1239</v>
      </c>
      <c r="C1623" s="1" t="s">
        <v>30</v>
      </c>
      <c r="D1623" s="2">
        <v>41909</v>
      </c>
      <c r="E1623" s="1" t="s">
        <v>38</v>
      </c>
      <c r="F1623" s="1" t="s">
        <v>1454</v>
      </c>
      <c r="G1623" s="1">
        <v>27</v>
      </c>
      <c r="H1623" s="1">
        <v>9.85</v>
      </c>
      <c r="I1623" s="1">
        <f t="shared" si="75"/>
        <v>265.95</v>
      </c>
      <c r="J1623" t="str">
        <f t="shared" si="76"/>
        <v>Low</v>
      </c>
      <c r="K1623" s="1"/>
      <c r="L1623" s="1">
        <v>0.1</v>
      </c>
      <c r="M1623" s="1">
        <v>4.82</v>
      </c>
      <c r="N1623" s="1" t="s">
        <v>33</v>
      </c>
      <c r="O1623" s="1" t="s">
        <v>55</v>
      </c>
      <c r="P1623" s="2">
        <v>41910</v>
      </c>
      <c r="Q1623" s="2" t="b">
        <f t="shared" si="77"/>
        <v>0</v>
      </c>
      <c r="V1623" s="2"/>
      <c r="W1623" s="2"/>
      <c r="X1623" s="2"/>
      <c r="Y1623" s="2"/>
      <c r="Z1623" s="2"/>
      <c r="AA1623" s="2"/>
      <c r="AB1623" s="2"/>
      <c r="AC1623" s="2"/>
      <c r="AD1623" s="2"/>
      <c r="AE1623" s="2"/>
      <c r="AF1623" s="2"/>
      <c r="AG1623" s="2"/>
      <c r="AH1623" s="2"/>
      <c r="AI1623" s="2"/>
    </row>
    <row r="1624" spans="1:35" ht="14.25" customHeight="1" x14ac:dyDescent="0.2">
      <c r="A1624" s="1">
        <v>25953</v>
      </c>
      <c r="B1624" s="1" t="s">
        <v>1239</v>
      </c>
      <c r="C1624" s="1" t="s">
        <v>51</v>
      </c>
      <c r="D1624" s="2">
        <v>41909</v>
      </c>
      <c r="E1624" s="1" t="s">
        <v>38</v>
      </c>
      <c r="F1624" s="1" t="s">
        <v>421</v>
      </c>
      <c r="G1624" s="1">
        <v>19</v>
      </c>
      <c r="H1624" s="1">
        <v>125.99</v>
      </c>
      <c r="I1624" s="1">
        <f t="shared" si="75"/>
        <v>2393.81</v>
      </c>
      <c r="J1624" t="str">
        <f t="shared" si="76"/>
        <v>High</v>
      </c>
      <c r="K1624" s="1"/>
      <c r="L1624" s="1">
        <v>0.04</v>
      </c>
      <c r="M1624" s="1">
        <v>7.69</v>
      </c>
      <c r="N1624" s="1" t="s">
        <v>33</v>
      </c>
      <c r="O1624" s="1" t="s">
        <v>34</v>
      </c>
      <c r="P1624" s="2">
        <v>41910</v>
      </c>
      <c r="Q1624" s="2" t="b">
        <f t="shared" si="77"/>
        <v>0</v>
      </c>
      <c r="V1624" s="2"/>
      <c r="W1624" s="2"/>
      <c r="X1624" s="2"/>
      <c r="Y1624" s="2"/>
      <c r="Z1624" s="2"/>
      <c r="AA1624" s="2"/>
      <c r="AB1624" s="2"/>
      <c r="AC1624" s="2"/>
      <c r="AD1624" s="2"/>
      <c r="AE1624" s="2"/>
      <c r="AF1624" s="2"/>
      <c r="AG1624" s="2"/>
      <c r="AH1624" s="2"/>
      <c r="AI1624" s="2"/>
    </row>
    <row r="1625" spans="1:35" ht="14.25" customHeight="1" x14ac:dyDescent="0.2">
      <c r="A1625" s="1">
        <v>12007</v>
      </c>
      <c r="B1625" s="1" t="s">
        <v>551</v>
      </c>
      <c r="C1625" s="1" t="s">
        <v>21</v>
      </c>
      <c r="D1625" s="2">
        <v>41909</v>
      </c>
      <c r="E1625" s="1" t="s">
        <v>22</v>
      </c>
      <c r="F1625" s="1" t="s">
        <v>1455</v>
      </c>
      <c r="G1625" s="1">
        <v>42</v>
      </c>
      <c r="H1625" s="1">
        <v>3.69</v>
      </c>
      <c r="I1625" s="1">
        <f t="shared" si="75"/>
        <v>154.97999999999999</v>
      </c>
      <c r="J1625" t="str">
        <f t="shared" si="76"/>
        <v>Low</v>
      </c>
      <c r="K1625" s="1"/>
      <c r="L1625" s="1">
        <v>0.04</v>
      </c>
      <c r="M1625" s="1">
        <v>0.5</v>
      </c>
      <c r="N1625" s="1" t="s">
        <v>33</v>
      </c>
      <c r="O1625" s="1" t="s">
        <v>34</v>
      </c>
      <c r="P1625" s="2">
        <v>41911</v>
      </c>
      <c r="Q1625" s="2" t="b">
        <f t="shared" si="77"/>
        <v>0</v>
      </c>
      <c r="V1625" s="2"/>
      <c r="W1625" s="2"/>
      <c r="X1625" s="2"/>
      <c r="Y1625" s="2"/>
      <c r="Z1625" s="2"/>
      <c r="AA1625" s="2"/>
      <c r="AB1625" s="2"/>
      <c r="AC1625" s="2"/>
      <c r="AD1625" s="2"/>
      <c r="AE1625" s="2"/>
      <c r="AF1625" s="2"/>
      <c r="AG1625" s="2"/>
      <c r="AH1625" s="2"/>
      <c r="AI1625" s="2"/>
    </row>
    <row r="1626" spans="1:35" ht="14.25" customHeight="1" x14ac:dyDescent="0.2">
      <c r="A1626" s="1">
        <v>55461</v>
      </c>
      <c r="B1626" s="1" t="s">
        <v>1039</v>
      </c>
      <c r="C1626" s="1" t="s">
        <v>30</v>
      </c>
      <c r="D1626" s="2">
        <v>41910</v>
      </c>
      <c r="E1626" s="1" t="s">
        <v>101</v>
      </c>
      <c r="F1626" s="1" t="s">
        <v>1456</v>
      </c>
      <c r="G1626" s="1">
        <v>16</v>
      </c>
      <c r="H1626" s="1">
        <v>4.82</v>
      </c>
      <c r="I1626" s="1">
        <f t="shared" si="75"/>
        <v>77.12</v>
      </c>
      <c r="J1626" t="str">
        <f t="shared" si="76"/>
        <v>Low</v>
      </c>
      <c r="K1626" s="1"/>
      <c r="L1626" s="1">
        <v>0.06</v>
      </c>
      <c r="M1626" s="1">
        <v>5.72</v>
      </c>
      <c r="N1626" s="1" t="s">
        <v>33</v>
      </c>
      <c r="O1626" s="1" t="s">
        <v>84</v>
      </c>
      <c r="P1626" s="2">
        <v>41911</v>
      </c>
      <c r="Q1626" s="2" t="b">
        <f t="shared" si="77"/>
        <v>0</v>
      </c>
      <c r="V1626" s="2"/>
      <c r="W1626" s="2"/>
      <c r="X1626" s="2"/>
      <c r="Y1626" s="2"/>
      <c r="Z1626" s="2"/>
      <c r="AA1626" s="2"/>
      <c r="AB1626" s="2"/>
      <c r="AC1626" s="2"/>
      <c r="AD1626" s="2"/>
      <c r="AE1626" s="2"/>
      <c r="AF1626" s="2"/>
      <c r="AG1626" s="2"/>
      <c r="AH1626" s="2"/>
      <c r="AI1626" s="2"/>
    </row>
    <row r="1627" spans="1:35" ht="14.25" customHeight="1" x14ac:dyDescent="0.2">
      <c r="A1627" s="1">
        <v>16771</v>
      </c>
      <c r="B1627" s="1" t="s">
        <v>1457</v>
      </c>
      <c r="C1627" s="1" t="s">
        <v>51</v>
      </c>
      <c r="D1627" s="2">
        <v>41910</v>
      </c>
      <c r="E1627" s="1" t="s">
        <v>31</v>
      </c>
      <c r="F1627" s="1" t="s">
        <v>1425</v>
      </c>
      <c r="G1627" s="1">
        <v>42</v>
      </c>
      <c r="H1627" s="1">
        <v>39.979999999999997</v>
      </c>
      <c r="I1627" s="1">
        <f t="shared" si="75"/>
        <v>1679.1599999999999</v>
      </c>
      <c r="J1627" t="str">
        <f t="shared" si="76"/>
        <v>High</v>
      </c>
      <c r="K1627" s="1"/>
      <c r="L1627" s="1">
        <v>0.02</v>
      </c>
      <c r="M1627" s="1">
        <v>9.1999999999999993</v>
      </c>
      <c r="N1627" s="1" t="s">
        <v>33</v>
      </c>
      <c r="O1627" s="1" t="s">
        <v>55</v>
      </c>
      <c r="P1627" s="2">
        <v>41912</v>
      </c>
      <c r="Q1627" s="2" t="b">
        <f t="shared" si="77"/>
        <v>0</v>
      </c>
      <c r="V1627" s="2"/>
      <c r="W1627" s="2"/>
      <c r="X1627" s="2"/>
      <c r="Y1627" s="2"/>
      <c r="Z1627" s="2"/>
      <c r="AA1627" s="2"/>
      <c r="AB1627" s="2"/>
      <c r="AC1627" s="2"/>
      <c r="AD1627" s="2"/>
      <c r="AE1627" s="2"/>
      <c r="AF1627" s="2"/>
      <c r="AG1627" s="2"/>
      <c r="AH1627" s="2"/>
      <c r="AI1627" s="2"/>
    </row>
    <row r="1628" spans="1:35" ht="14.25" customHeight="1" x14ac:dyDescent="0.2">
      <c r="A1628" s="1">
        <v>231</v>
      </c>
      <c r="B1628" s="1" t="s">
        <v>1352</v>
      </c>
      <c r="C1628" s="1" t="s">
        <v>51</v>
      </c>
      <c r="D1628" s="2">
        <v>41910</v>
      </c>
      <c r="E1628" s="1" t="s">
        <v>31</v>
      </c>
      <c r="F1628" s="1" t="s">
        <v>873</v>
      </c>
      <c r="G1628" s="1">
        <v>2</v>
      </c>
      <c r="H1628" s="1">
        <v>363.25</v>
      </c>
      <c r="I1628" s="1">
        <f t="shared" si="75"/>
        <v>726.5</v>
      </c>
      <c r="J1628" t="str">
        <f t="shared" si="76"/>
        <v>Low</v>
      </c>
      <c r="K1628" s="1"/>
      <c r="L1628" s="1">
        <v>0.06</v>
      </c>
      <c r="M1628" s="1">
        <v>19.989999999999998</v>
      </c>
      <c r="N1628" s="1" t="s">
        <v>33</v>
      </c>
      <c r="O1628" s="1" t="s">
        <v>34</v>
      </c>
      <c r="P1628" s="2">
        <v>41912</v>
      </c>
      <c r="Q1628" s="2" t="b">
        <f t="shared" si="77"/>
        <v>0</v>
      </c>
      <c r="V1628" s="2"/>
      <c r="W1628" s="2"/>
      <c r="X1628" s="2"/>
      <c r="Y1628" s="2"/>
      <c r="Z1628" s="2"/>
      <c r="AA1628" s="2"/>
      <c r="AB1628" s="2"/>
      <c r="AC1628" s="2"/>
      <c r="AD1628" s="2"/>
      <c r="AE1628" s="2"/>
      <c r="AF1628" s="2"/>
      <c r="AG1628" s="2"/>
      <c r="AH1628" s="2"/>
      <c r="AI1628" s="2"/>
    </row>
    <row r="1629" spans="1:35" ht="14.25" customHeight="1" x14ac:dyDescent="0.2">
      <c r="A1629" s="1">
        <v>9219</v>
      </c>
      <c r="B1629" s="1" t="s">
        <v>111</v>
      </c>
      <c r="C1629" s="1" t="s">
        <v>30</v>
      </c>
      <c r="D1629" s="2">
        <v>41910</v>
      </c>
      <c r="E1629" s="1" t="s">
        <v>43</v>
      </c>
      <c r="F1629" s="1" t="s">
        <v>1451</v>
      </c>
      <c r="G1629" s="1">
        <v>24</v>
      </c>
      <c r="H1629" s="1">
        <v>50.98</v>
      </c>
      <c r="I1629" s="1">
        <f t="shared" si="75"/>
        <v>1223.52</v>
      </c>
      <c r="J1629" t="str">
        <f t="shared" si="76"/>
        <v>High</v>
      </c>
      <c r="K1629" s="1"/>
      <c r="L1629" s="1">
        <v>0.04</v>
      </c>
      <c r="M1629" s="1">
        <v>6.5</v>
      </c>
      <c r="N1629" s="1" t="s">
        <v>33</v>
      </c>
      <c r="O1629" s="1" t="s">
        <v>34</v>
      </c>
      <c r="P1629" s="2">
        <v>41915</v>
      </c>
      <c r="Q1629" s="2" t="b">
        <f t="shared" si="77"/>
        <v>0</v>
      </c>
      <c r="V1629" s="2"/>
      <c r="W1629" s="2"/>
      <c r="X1629" s="2"/>
      <c r="Y1629" s="2"/>
      <c r="Z1629" s="2"/>
      <c r="AA1629" s="2"/>
      <c r="AB1629" s="2"/>
      <c r="AC1629" s="2"/>
      <c r="AD1629" s="2"/>
      <c r="AE1629" s="2"/>
      <c r="AF1629" s="2"/>
      <c r="AG1629" s="2"/>
      <c r="AH1629" s="2"/>
      <c r="AI1629" s="2"/>
    </row>
    <row r="1630" spans="1:35" ht="14.25" customHeight="1" x14ac:dyDescent="0.2">
      <c r="A1630" s="1">
        <v>9219</v>
      </c>
      <c r="B1630" s="1" t="s">
        <v>111</v>
      </c>
      <c r="C1630" s="1" t="s">
        <v>30</v>
      </c>
      <c r="D1630" s="2">
        <v>41910</v>
      </c>
      <c r="E1630" s="1" t="s">
        <v>43</v>
      </c>
      <c r="F1630" s="1" t="s">
        <v>1076</v>
      </c>
      <c r="G1630" s="1">
        <v>41</v>
      </c>
      <c r="H1630" s="1">
        <v>6.48</v>
      </c>
      <c r="I1630" s="1">
        <f t="shared" si="75"/>
        <v>265.68</v>
      </c>
      <c r="J1630" t="str">
        <f t="shared" si="76"/>
        <v>Low</v>
      </c>
      <c r="K1630" s="1"/>
      <c r="L1630" s="1">
        <v>0.02</v>
      </c>
      <c r="M1630" s="1">
        <v>5.14</v>
      </c>
      <c r="N1630" s="1" t="s">
        <v>33</v>
      </c>
      <c r="O1630" s="1" t="s">
        <v>34</v>
      </c>
      <c r="P1630" s="2">
        <v>41912</v>
      </c>
      <c r="Q1630" s="2" t="b">
        <f t="shared" si="77"/>
        <v>0</v>
      </c>
      <c r="V1630" s="2"/>
      <c r="W1630" s="2"/>
      <c r="X1630" s="2"/>
      <c r="Y1630" s="2"/>
      <c r="Z1630" s="2"/>
      <c r="AA1630" s="2"/>
      <c r="AB1630" s="2"/>
      <c r="AC1630" s="2"/>
      <c r="AD1630" s="2"/>
      <c r="AE1630" s="2"/>
      <c r="AF1630" s="2"/>
      <c r="AG1630" s="2"/>
      <c r="AH1630" s="2"/>
      <c r="AI1630" s="2"/>
    </row>
    <row r="1631" spans="1:35" ht="14.25" customHeight="1" x14ac:dyDescent="0.2">
      <c r="A1631" s="1">
        <v>4354</v>
      </c>
      <c r="B1631" s="1" t="s">
        <v>1277</v>
      </c>
      <c r="C1631" s="1" t="s">
        <v>30</v>
      </c>
      <c r="D1631" s="2">
        <v>41911</v>
      </c>
      <c r="E1631" s="1" t="s">
        <v>22</v>
      </c>
      <c r="F1631" s="1" t="s">
        <v>1125</v>
      </c>
      <c r="G1631" s="1">
        <v>6</v>
      </c>
      <c r="H1631" s="1">
        <v>7.38</v>
      </c>
      <c r="I1631" s="1">
        <f t="shared" si="75"/>
        <v>44.28</v>
      </c>
      <c r="J1631" t="str">
        <f t="shared" si="76"/>
        <v>Low</v>
      </c>
      <c r="K1631" s="1"/>
      <c r="L1631" s="1">
        <v>0.02</v>
      </c>
      <c r="M1631" s="1">
        <v>5.21</v>
      </c>
      <c r="N1631" s="1" t="s">
        <v>33</v>
      </c>
      <c r="O1631" s="1" t="s">
        <v>34</v>
      </c>
      <c r="P1631" s="2">
        <v>41912</v>
      </c>
      <c r="Q1631" s="2" t="b">
        <f t="shared" si="77"/>
        <v>0</v>
      </c>
      <c r="V1631" s="2"/>
      <c r="W1631" s="2"/>
      <c r="X1631" s="2"/>
      <c r="Y1631" s="2"/>
      <c r="Z1631" s="2"/>
      <c r="AA1631" s="2"/>
      <c r="AB1631" s="2"/>
      <c r="AC1631" s="2"/>
      <c r="AD1631" s="2"/>
      <c r="AE1631" s="2"/>
      <c r="AF1631" s="2"/>
      <c r="AG1631" s="2"/>
      <c r="AH1631" s="2"/>
      <c r="AI1631" s="2"/>
    </row>
    <row r="1632" spans="1:35" ht="14.25" customHeight="1" x14ac:dyDescent="0.2">
      <c r="A1632" s="1">
        <v>19716</v>
      </c>
      <c r="B1632" s="1" t="s">
        <v>696</v>
      </c>
      <c r="C1632" s="1" t="s">
        <v>30</v>
      </c>
      <c r="D1632" s="2">
        <v>41911</v>
      </c>
      <c r="E1632" s="1" t="s">
        <v>43</v>
      </c>
      <c r="F1632" s="1" t="s">
        <v>1458</v>
      </c>
      <c r="G1632" s="1">
        <v>5</v>
      </c>
      <c r="H1632" s="1">
        <v>140.99</v>
      </c>
      <c r="I1632" s="1">
        <f t="shared" si="75"/>
        <v>704.95</v>
      </c>
      <c r="J1632" t="str">
        <f t="shared" si="76"/>
        <v>Low</v>
      </c>
      <c r="K1632" s="1"/>
      <c r="L1632" s="1">
        <v>0.03</v>
      </c>
      <c r="M1632" s="1">
        <v>4.2</v>
      </c>
      <c r="N1632" s="1" t="s">
        <v>33</v>
      </c>
      <c r="O1632" s="1" t="s">
        <v>34</v>
      </c>
      <c r="P1632" s="2">
        <v>41918</v>
      </c>
      <c r="Q1632" s="2" t="b">
        <f t="shared" si="77"/>
        <v>0</v>
      </c>
      <c r="V1632" s="2"/>
      <c r="W1632" s="2"/>
      <c r="X1632" s="2"/>
      <c r="Y1632" s="2"/>
      <c r="Z1632" s="2"/>
      <c r="AA1632" s="2"/>
      <c r="AB1632" s="2"/>
      <c r="AC1632" s="2"/>
      <c r="AD1632" s="2"/>
      <c r="AE1632" s="2"/>
      <c r="AF1632" s="2"/>
      <c r="AG1632" s="2"/>
      <c r="AH1632" s="2"/>
      <c r="AI1632" s="2"/>
    </row>
    <row r="1633" spans="1:35" ht="14.25" customHeight="1" x14ac:dyDescent="0.2">
      <c r="A1633" s="1">
        <v>58151</v>
      </c>
      <c r="B1633" s="1" t="s">
        <v>198</v>
      </c>
      <c r="C1633" s="1" t="s">
        <v>30</v>
      </c>
      <c r="D1633" s="2">
        <v>41911</v>
      </c>
      <c r="E1633" s="1" t="s">
        <v>31</v>
      </c>
      <c r="F1633" s="1" t="s">
        <v>1198</v>
      </c>
      <c r="G1633" s="1">
        <v>33</v>
      </c>
      <c r="H1633" s="1">
        <v>6.75</v>
      </c>
      <c r="I1633" s="1">
        <f t="shared" si="75"/>
        <v>222.75</v>
      </c>
      <c r="J1633" t="str">
        <f t="shared" si="76"/>
        <v>Low</v>
      </c>
      <c r="K1633" s="1"/>
      <c r="L1633" s="1">
        <v>0.1</v>
      </c>
      <c r="M1633" s="1">
        <v>2.99</v>
      </c>
      <c r="N1633" s="1" t="s">
        <v>33</v>
      </c>
      <c r="O1633" s="1" t="s">
        <v>34</v>
      </c>
      <c r="P1633" s="2">
        <v>41911</v>
      </c>
      <c r="Q1633" s="2" t="b">
        <f t="shared" si="77"/>
        <v>0</v>
      </c>
      <c r="V1633" s="2"/>
      <c r="W1633" s="2"/>
      <c r="X1633" s="2"/>
      <c r="Y1633" s="2"/>
      <c r="Z1633" s="2"/>
      <c r="AA1633" s="2"/>
      <c r="AB1633" s="2"/>
      <c r="AC1633" s="2"/>
      <c r="AD1633" s="2"/>
      <c r="AE1633" s="2"/>
      <c r="AF1633" s="2"/>
      <c r="AG1633" s="2"/>
      <c r="AH1633" s="2"/>
      <c r="AI1633" s="2"/>
    </row>
    <row r="1634" spans="1:35" ht="14.25" customHeight="1" x14ac:dyDescent="0.2">
      <c r="A1634" s="1">
        <v>58151</v>
      </c>
      <c r="B1634" s="1" t="s">
        <v>198</v>
      </c>
      <c r="C1634" s="1" t="s">
        <v>30</v>
      </c>
      <c r="D1634" s="2">
        <v>41911</v>
      </c>
      <c r="E1634" s="1" t="s">
        <v>31</v>
      </c>
      <c r="F1634" s="1" t="s">
        <v>891</v>
      </c>
      <c r="G1634" s="1">
        <v>38</v>
      </c>
      <c r="H1634" s="1">
        <v>142.86000000000001</v>
      </c>
      <c r="I1634" s="1">
        <f t="shared" si="75"/>
        <v>5428.68</v>
      </c>
      <c r="J1634" t="str">
        <f t="shared" si="76"/>
        <v>High</v>
      </c>
      <c r="K1634" s="1"/>
      <c r="L1634" s="1">
        <v>0.02</v>
      </c>
      <c r="M1634" s="1">
        <v>19.989999999999998</v>
      </c>
      <c r="N1634" s="1" t="s">
        <v>25</v>
      </c>
      <c r="O1634" s="1" t="s">
        <v>34</v>
      </c>
      <c r="P1634" s="2">
        <v>41911</v>
      </c>
      <c r="Q1634" s="2" t="b">
        <f t="shared" si="77"/>
        <v>0</v>
      </c>
      <c r="V1634" s="2"/>
      <c r="W1634" s="2"/>
      <c r="X1634" s="2"/>
      <c r="Y1634" s="2"/>
      <c r="Z1634" s="2"/>
      <c r="AA1634" s="2"/>
      <c r="AB1634" s="2"/>
      <c r="AC1634" s="2"/>
      <c r="AD1634" s="2"/>
      <c r="AE1634" s="2"/>
      <c r="AF1634" s="2"/>
      <c r="AG1634" s="2"/>
      <c r="AH1634" s="2"/>
      <c r="AI1634" s="2"/>
    </row>
    <row r="1635" spans="1:35" ht="14.25" customHeight="1" x14ac:dyDescent="0.2">
      <c r="A1635" s="1">
        <v>44775</v>
      </c>
      <c r="B1635" s="1" t="s">
        <v>610</v>
      </c>
      <c r="C1635" s="1" t="s">
        <v>51</v>
      </c>
      <c r="D1635" s="2">
        <v>41911</v>
      </c>
      <c r="E1635" s="1" t="s">
        <v>101</v>
      </c>
      <c r="F1635" s="1" t="s">
        <v>821</v>
      </c>
      <c r="G1635" s="1">
        <v>29</v>
      </c>
      <c r="H1635" s="1">
        <v>7.08</v>
      </c>
      <c r="I1635" s="1">
        <f t="shared" si="75"/>
        <v>205.32</v>
      </c>
      <c r="J1635" t="str">
        <f t="shared" si="76"/>
        <v>Low</v>
      </c>
      <c r="K1635" s="1"/>
      <c r="L1635" s="1">
        <v>7.0000000000000007E-2</v>
      </c>
      <c r="M1635" s="1">
        <v>2.35</v>
      </c>
      <c r="N1635" s="1" t="s">
        <v>25</v>
      </c>
      <c r="O1635" s="1" t="s">
        <v>55</v>
      </c>
      <c r="P1635" s="2">
        <v>41912</v>
      </c>
      <c r="Q1635" s="2" t="b">
        <f t="shared" si="77"/>
        <v>0</v>
      </c>
      <c r="V1635" s="2"/>
      <c r="W1635" s="2"/>
      <c r="X1635" s="2"/>
      <c r="Y1635" s="2"/>
      <c r="Z1635" s="2"/>
      <c r="AA1635" s="2"/>
      <c r="AB1635" s="2"/>
      <c r="AC1635" s="2"/>
      <c r="AD1635" s="2"/>
      <c r="AE1635" s="2"/>
      <c r="AF1635" s="2"/>
      <c r="AG1635" s="2"/>
      <c r="AH1635" s="2"/>
      <c r="AI1635" s="2"/>
    </row>
    <row r="1636" spans="1:35" ht="14.25" customHeight="1" x14ac:dyDescent="0.2">
      <c r="A1636" s="1">
        <v>26913</v>
      </c>
      <c r="B1636" s="1" t="s">
        <v>227</v>
      </c>
      <c r="C1636" s="1" t="s">
        <v>51</v>
      </c>
      <c r="D1636" s="2">
        <v>41911</v>
      </c>
      <c r="E1636" s="1" t="s">
        <v>31</v>
      </c>
      <c r="F1636" s="1" t="s">
        <v>1459</v>
      </c>
      <c r="G1636" s="1">
        <v>11</v>
      </c>
      <c r="H1636" s="1">
        <v>65.989999999999995</v>
      </c>
      <c r="I1636" s="1">
        <f t="shared" si="75"/>
        <v>725.89</v>
      </c>
      <c r="J1636" t="str">
        <f t="shared" si="76"/>
        <v>Low</v>
      </c>
      <c r="K1636" s="1"/>
      <c r="L1636" s="1">
        <v>0.01</v>
      </c>
      <c r="M1636" s="1">
        <v>8.99</v>
      </c>
      <c r="N1636" s="1" t="s">
        <v>33</v>
      </c>
      <c r="O1636" s="1" t="s">
        <v>34</v>
      </c>
      <c r="P1636" s="2">
        <v>41913</v>
      </c>
      <c r="Q1636" s="2" t="b">
        <f t="shared" si="77"/>
        <v>0</v>
      </c>
      <c r="V1636" s="2"/>
      <c r="W1636" s="2"/>
      <c r="X1636" s="2"/>
      <c r="Y1636" s="2"/>
      <c r="Z1636" s="2"/>
      <c r="AA1636" s="2"/>
      <c r="AB1636" s="2"/>
      <c r="AC1636" s="2"/>
      <c r="AD1636" s="2"/>
      <c r="AE1636" s="2"/>
      <c r="AF1636" s="2"/>
      <c r="AG1636" s="2"/>
      <c r="AH1636" s="2"/>
      <c r="AI1636" s="2"/>
    </row>
    <row r="1637" spans="1:35" ht="14.25" customHeight="1" x14ac:dyDescent="0.2">
      <c r="A1637" s="1">
        <v>26689</v>
      </c>
      <c r="B1637" s="1" t="s">
        <v>1070</v>
      </c>
      <c r="C1637" s="1" t="s">
        <v>51</v>
      </c>
      <c r="D1637" s="2">
        <v>41911</v>
      </c>
      <c r="E1637" s="1" t="s">
        <v>31</v>
      </c>
      <c r="F1637" s="1" t="s">
        <v>1179</v>
      </c>
      <c r="G1637" s="1">
        <v>2</v>
      </c>
      <c r="H1637" s="1">
        <v>99.23</v>
      </c>
      <c r="I1637" s="1">
        <f t="shared" si="75"/>
        <v>198.46</v>
      </c>
      <c r="J1637" t="str">
        <f t="shared" si="76"/>
        <v>Low</v>
      </c>
      <c r="K1637" s="1"/>
      <c r="L1637" s="1">
        <v>0.01</v>
      </c>
      <c r="M1637" s="1">
        <v>8.99</v>
      </c>
      <c r="N1637" s="1" t="s">
        <v>33</v>
      </c>
      <c r="O1637" s="1" t="s">
        <v>84</v>
      </c>
      <c r="P1637" s="2">
        <v>41914</v>
      </c>
      <c r="Q1637" s="2" t="b">
        <f t="shared" si="77"/>
        <v>0</v>
      </c>
      <c r="V1637" s="2"/>
      <c r="W1637" s="2"/>
      <c r="X1637" s="2"/>
      <c r="Y1637" s="2"/>
      <c r="Z1637" s="2"/>
      <c r="AA1637" s="2"/>
      <c r="AB1637" s="2"/>
      <c r="AC1637" s="2"/>
      <c r="AD1637" s="2"/>
      <c r="AE1637" s="2"/>
      <c r="AF1637" s="2"/>
      <c r="AG1637" s="2"/>
      <c r="AH1637" s="2"/>
      <c r="AI1637" s="2"/>
    </row>
    <row r="1638" spans="1:35" ht="14.25" customHeight="1" x14ac:dyDescent="0.2">
      <c r="A1638" s="1">
        <v>900</v>
      </c>
      <c r="B1638" s="1" t="s">
        <v>1460</v>
      </c>
      <c r="C1638" s="1" t="s">
        <v>21</v>
      </c>
      <c r="D1638" s="2">
        <v>41912</v>
      </c>
      <c r="E1638" s="1" t="s">
        <v>22</v>
      </c>
      <c r="F1638" s="1" t="s">
        <v>39</v>
      </c>
      <c r="G1638" s="1">
        <v>29</v>
      </c>
      <c r="H1638" s="1">
        <v>40.98</v>
      </c>
      <c r="I1638" s="1">
        <f t="shared" si="75"/>
        <v>1188.4199999999998</v>
      </c>
      <c r="J1638" t="str">
        <f t="shared" si="76"/>
        <v>High</v>
      </c>
      <c r="K1638" s="1"/>
      <c r="L1638" s="1">
        <v>7.0000000000000007E-2</v>
      </c>
      <c r="M1638" s="1">
        <v>2.99</v>
      </c>
      <c r="N1638" s="1" t="s">
        <v>33</v>
      </c>
      <c r="O1638" s="1" t="s">
        <v>34</v>
      </c>
      <c r="P1638" s="2">
        <v>41913</v>
      </c>
      <c r="Q1638" s="2" t="b">
        <f t="shared" si="77"/>
        <v>0</v>
      </c>
      <c r="V1638" s="2"/>
      <c r="W1638" s="2"/>
      <c r="X1638" s="2"/>
      <c r="Y1638" s="2"/>
      <c r="Z1638" s="2"/>
      <c r="AA1638" s="2"/>
      <c r="AB1638" s="2"/>
      <c r="AC1638" s="2"/>
      <c r="AD1638" s="2"/>
      <c r="AE1638" s="2"/>
      <c r="AF1638" s="2"/>
      <c r="AG1638" s="2"/>
      <c r="AH1638" s="2"/>
      <c r="AI1638" s="2"/>
    </row>
    <row r="1639" spans="1:35" ht="14.25" customHeight="1" x14ac:dyDescent="0.2">
      <c r="A1639" s="1">
        <v>4708</v>
      </c>
      <c r="B1639" s="1" t="s">
        <v>1461</v>
      </c>
      <c r="C1639" s="1" t="s">
        <v>21</v>
      </c>
      <c r="D1639" s="2">
        <v>41912</v>
      </c>
      <c r="E1639" s="1" t="s">
        <v>38</v>
      </c>
      <c r="F1639" s="1" t="s">
        <v>764</v>
      </c>
      <c r="G1639" s="1">
        <v>29</v>
      </c>
      <c r="H1639" s="1">
        <v>6.48</v>
      </c>
      <c r="I1639" s="1">
        <f t="shared" si="75"/>
        <v>187.92000000000002</v>
      </c>
      <c r="J1639" t="str">
        <f t="shared" si="76"/>
        <v>Low</v>
      </c>
      <c r="K1639" s="1"/>
      <c r="L1639" s="1">
        <v>0.08</v>
      </c>
      <c r="M1639" s="1">
        <v>7.49</v>
      </c>
      <c r="N1639" s="1" t="s">
        <v>33</v>
      </c>
      <c r="O1639" s="1" t="s">
        <v>34</v>
      </c>
      <c r="P1639" s="2">
        <v>41914</v>
      </c>
      <c r="Q1639" s="2" t="b">
        <f t="shared" si="77"/>
        <v>0</v>
      </c>
      <c r="V1639" s="2"/>
      <c r="W1639" s="2"/>
      <c r="X1639" s="2"/>
      <c r="Y1639" s="2"/>
      <c r="Z1639" s="2"/>
      <c r="AA1639" s="2"/>
      <c r="AB1639" s="2"/>
      <c r="AC1639" s="2"/>
      <c r="AD1639" s="2"/>
      <c r="AE1639" s="2"/>
      <c r="AF1639" s="2"/>
      <c r="AG1639" s="2"/>
      <c r="AH1639" s="2"/>
      <c r="AI1639" s="2"/>
    </row>
    <row r="1640" spans="1:35" ht="14.25" customHeight="1" x14ac:dyDescent="0.2">
      <c r="A1640" s="1">
        <v>41728</v>
      </c>
      <c r="B1640" s="1" t="s">
        <v>374</v>
      </c>
      <c r="C1640" s="1" t="s">
        <v>51</v>
      </c>
      <c r="D1640" s="2">
        <v>41912</v>
      </c>
      <c r="E1640" s="1" t="s">
        <v>31</v>
      </c>
      <c r="F1640" s="1" t="s">
        <v>144</v>
      </c>
      <c r="G1640" s="1">
        <v>28</v>
      </c>
      <c r="H1640" s="1">
        <v>896.99</v>
      </c>
      <c r="I1640" s="1">
        <f t="shared" si="75"/>
        <v>25115.72</v>
      </c>
      <c r="J1640" t="str">
        <f t="shared" si="76"/>
        <v>High</v>
      </c>
      <c r="K1640" s="1"/>
      <c r="L1640" s="1">
        <v>0.08</v>
      </c>
      <c r="M1640" s="1">
        <v>19.989999999999998</v>
      </c>
      <c r="N1640" s="1" t="s">
        <v>33</v>
      </c>
      <c r="O1640" s="1" t="s">
        <v>34</v>
      </c>
      <c r="P1640" s="2">
        <v>41914</v>
      </c>
      <c r="Q1640" s="2" t="b">
        <f t="shared" si="77"/>
        <v>0</v>
      </c>
      <c r="V1640" s="2"/>
      <c r="W1640" s="2"/>
      <c r="X1640" s="2"/>
      <c r="Y1640" s="2"/>
      <c r="Z1640" s="2"/>
      <c r="AA1640" s="2"/>
      <c r="AB1640" s="2"/>
      <c r="AC1640" s="2"/>
      <c r="AD1640" s="2"/>
      <c r="AE1640" s="2"/>
      <c r="AF1640" s="2"/>
      <c r="AG1640" s="2"/>
      <c r="AH1640" s="2"/>
      <c r="AI1640" s="2"/>
    </row>
    <row r="1641" spans="1:35" ht="14.25" customHeight="1" x14ac:dyDescent="0.2">
      <c r="A1641" s="1">
        <v>41728</v>
      </c>
      <c r="B1641" s="1" t="s">
        <v>374</v>
      </c>
      <c r="C1641" s="1" t="s">
        <v>21</v>
      </c>
      <c r="D1641" s="2">
        <v>41912</v>
      </c>
      <c r="E1641" s="1" t="s">
        <v>31</v>
      </c>
      <c r="F1641" s="1" t="s">
        <v>1462</v>
      </c>
      <c r="G1641" s="1">
        <v>10</v>
      </c>
      <c r="H1641" s="1">
        <v>243.98</v>
      </c>
      <c r="I1641" s="1">
        <f t="shared" si="75"/>
        <v>2439.7999999999997</v>
      </c>
      <c r="J1641" t="str">
        <f t="shared" si="76"/>
        <v>High</v>
      </c>
      <c r="K1641" s="1"/>
      <c r="L1641" s="1">
        <v>0.02</v>
      </c>
      <c r="M1641" s="1">
        <v>62.94</v>
      </c>
      <c r="N1641" s="1" t="s">
        <v>45</v>
      </c>
      <c r="O1641" s="1" t="s">
        <v>46</v>
      </c>
      <c r="P1641" s="2">
        <v>41913</v>
      </c>
      <c r="Q1641" s="2" t="b">
        <f t="shared" si="77"/>
        <v>0</v>
      </c>
      <c r="V1641" s="2"/>
      <c r="W1641" s="2"/>
      <c r="X1641" s="2"/>
      <c r="Y1641" s="2"/>
      <c r="Z1641" s="2"/>
      <c r="AA1641" s="2"/>
      <c r="AB1641" s="2"/>
      <c r="AC1641" s="2"/>
      <c r="AD1641" s="2"/>
      <c r="AE1641" s="2"/>
      <c r="AF1641" s="2"/>
      <c r="AG1641" s="2"/>
      <c r="AH1641" s="2"/>
      <c r="AI1641" s="2"/>
    </row>
    <row r="1642" spans="1:35" ht="14.25" customHeight="1" x14ac:dyDescent="0.2">
      <c r="A1642" s="1">
        <v>30278</v>
      </c>
      <c r="B1642" s="1" t="s">
        <v>431</v>
      </c>
      <c r="C1642" s="1" t="s">
        <v>30</v>
      </c>
      <c r="D1642" s="2">
        <v>41912</v>
      </c>
      <c r="E1642" s="1" t="s">
        <v>43</v>
      </c>
      <c r="F1642" s="1" t="s">
        <v>665</v>
      </c>
      <c r="G1642" s="1">
        <v>50</v>
      </c>
      <c r="H1642" s="1">
        <v>65.989999999999995</v>
      </c>
      <c r="I1642" s="1">
        <f t="shared" si="75"/>
        <v>3299.4999999999995</v>
      </c>
      <c r="J1642" t="str">
        <f t="shared" si="76"/>
        <v>High</v>
      </c>
      <c r="K1642" s="1"/>
      <c r="L1642" s="1">
        <v>0.03</v>
      </c>
      <c r="M1642" s="1">
        <v>5.26</v>
      </c>
      <c r="N1642" s="1" t="s">
        <v>33</v>
      </c>
      <c r="O1642" s="1" t="s">
        <v>34</v>
      </c>
      <c r="P1642" s="2">
        <v>41921</v>
      </c>
      <c r="Q1642" s="2" t="b">
        <f t="shared" si="77"/>
        <v>0</v>
      </c>
      <c r="V1642" s="2"/>
      <c r="W1642" s="2"/>
      <c r="X1642" s="2"/>
      <c r="Y1642" s="2"/>
      <c r="Z1642" s="2"/>
      <c r="AA1642" s="2"/>
      <c r="AB1642" s="2"/>
      <c r="AC1642" s="2"/>
      <c r="AD1642" s="2"/>
      <c r="AE1642" s="2"/>
      <c r="AF1642" s="2"/>
      <c r="AG1642" s="2"/>
      <c r="AH1642" s="2"/>
      <c r="AI1642" s="2"/>
    </row>
    <row r="1643" spans="1:35" ht="14.25" customHeight="1" x14ac:dyDescent="0.2">
      <c r="A1643" s="1">
        <v>4451</v>
      </c>
      <c r="B1643" s="1" t="s">
        <v>277</v>
      </c>
      <c r="C1643" s="1" t="s">
        <v>30</v>
      </c>
      <c r="D1643" s="2">
        <v>41912</v>
      </c>
      <c r="E1643" s="1" t="s">
        <v>38</v>
      </c>
      <c r="F1643" s="1" t="s">
        <v>643</v>
      </c>
      <c r="G1643" s="1">
        <v>47</v>
      </c>
      <c r="H1643" s="1">
        <v>21.38</v>
      </c>
      <c r="I1643" s="1">
        <f t="shared" si="75"/>
        <v>1004.8599999999999</v>
      </c>
      <c r="J1643" t="str">
        <f t="shared" si="76"/>
        <v>High</v>
      </c>
      <c r="K1643" s="1"/>
      <c r="L1643" s="1">
        <v>0.04</v>
      </c>
      <c r="M1643" s="1">
        <v>8.99</v>
      </c>
      <c r="N1643" s="1" t="s">
        <v>33</v>
      </c>
      <c r="O1643" s="1" t="s">
        <v>84</v>
      </c>
      <c r="P1643" s="2">
        <v>41912</v>
      </c>
      <c r="Q1643" s="2" t="b">
        <f t="shared" si="77"/>
        <v>0</v>
      </c>
      <c r="V1643" s="2"/>
      <c r="W1643" s="2"/>
      <c r="X1643" s="2"/>
      <c r="Y1643" s="2"/>
      <c r="Z1643" s="2"/>
      <c r="AA1643" s="2"/>
      <c r="AB1643" s="2"/>
      <c r="AC1643" s="2"/>
      <c r="AD1643" s="2"/>
      <c r="AE1643" s="2"/>
      <c r="AF1643" s="2"/>
      <c r="AG1643" s="2"/>
      <c r="AH1643" s="2"/>
      <c r="AI1643" s="2"/>
    </row>
    <row r="1644" spans="1:35" ht="14.25" customHeight="1" x14ac:dyDescent="0.2">
      <c r="A1644" s="1">
        <v>19140</v>
      </c>
      <c r="B1644" s="1" t="s">
        <v>73</v>
      </c>
      <c r="C1644" s="1" t="s">
        <v>30</v>
      </c>
      <c r="D1644" s="2">
        <v>41912</v>
      </c>
      <c r="E1644" s="1" t="s">
        <v>101</v>
      </c>
      <c r="F1644" s="1" t="s">
        <v>1463</v>
      </c>
      <c r="G1644" s="1">
        <v>47</v>
      </c>
      <c r="H1644" s="1">
        <v>6.54</v>
      </c>
      <c r="I1644" s="1">
        <f t="shared" si="75"/>
        <v>307.38</v>
      </c>
      <c r="J1644" t="str">
        <f t="shared" si="76"/>
        <v>Low</v>
      </c>
      <c r="K1644" s="1"/>
      <c r="L1644" s="1">
        <v>7.0000000000000007E-2</v>
      </c>
      <c r="M1644" s="1">
        <v>5.27</v>
      </c>
      <c r="N1644" s="1" t="s">
        <v>33</v>
      </c>
      <c r="O1644" s="1" t="s">
        <v>34</v>
      </c>
      <c r="P1644" s="2">
        <v>41913</v>
      </c>
      <c r="Q1644" s="2" t="b">
        <f t="shared" si="77"/>
        <v>0</v>
      </c>
      <c r="V1644" s="2"/>
      <c r="W1644" s="2"/>
      <c r="X1644" s="2"/>
      <c r="Y1644" s="2"/>
      <c r="Z1644" s="2"/>
      <c r="AA1644" s="2"/>
      <c r="AB1644" s="2"/>
      <c r="AC1644" s="2"/>
      <c r="AD1644" s="2"/>
      <c r="AE1644" s="2"/>
      <c r="AF1644" s="2"/>
      <c r="AG1644" s="2"/>
      <c r="AH1644" s="2"/>
      <c r="AI1644" s="2"/>
    </row>
    <row r="1645" spans="1:35" ht="14.25" customHeight="1" x14ac:dyDescent="0.2">
      <c r="A1645" s="1">
        <v>19140</v>
      </c>
      <c r="B1645" s="1" t="s">
        <v>73</v>
      </c>
      <c r="C1645" s="1" t="s">
        <v>30</v>
      </c>
      <c r="D1645" s="2">
        <v>41912</v>
      </c>
      <c r="E1645" s="1" t="s">
        <v>101</v>
      </c>
      <c r="F1645" s="1" t="s">
        <v>152</v>
      </c>
      <c r="G1645" s="1">
        <v>50</v>
      </c>
      <c r="H1645" s="1">
        <v>3.29</v>
      </c>
      <c r="I1645" s="1">
        <f t="shared" si="75"/>
        <v>164.5</v>
      </c>
      <c r="J1645" t="str">
        <f t="shared" si="76"/>
        <v>Low</v>
      </c>
      <c r="K1645" s="1"/>
      <c r="L1645" s="1">
        <v>0.09</v>
      </c>
      <c r="M1645" s="1">
        <v>1.35</v>
      </c>
      <c r="N1645" s="1" t="s">
        <v>33</v>
      </c>
      <c r="O1645" s="1" t="s">
        <v>55</v>
      </c>
      <c r="P1645" s="2">
        <v>41913</v>
      </c>
      <c r="Q1645" s="2" t="b">
        <f t="shared" si="77"/>
        <v>0</v>
      </c>
      <c r="V1645" s="2"/>
      <c r="W1645" s="2"/>
      <c r="X1645" s="2"/>
      <c r="Y1645" s="2"/>
      <c r="Z1645" s="2"/>
      <c r="AA1645" s="2"/>
      <c r="AB1645" s="2"/>
      <c r="AC1645" s="2"/>
      <c r="AD1645" s="2"/>
      <c r="AE1645" s="2"/>
      <c r="AF1645" s="2"/>
      <c r="AG1645" s="2"/>
      <c r="AH1645" s="2"/>
      <c r="AI1645" s="2"/>
    </row>
    <row r="1646" spans="1:35" ht="14.25" customHeight="1" x14ac:dyDescent="0.2">
      <c r="A1646" s="1">
        <v>53797</v>
      </c>
      <c r="B1646" s="1" t="s">
        <v>1464</v>
      </c>
      <c r="C1646" s="1" t="s">
        <v>30</v>
      </c>
      <c r="D1646" s="2">
        <v>41913</v>
      </c>
      <c r="E1646" s="1" t="s">
        <v>38</v>
      </c>
      <c r="F1646" s="1" t="s">
        <v>1465</v>
      </c>
      <c r="G1646" s="1">
        <v>10</v>
      </c>
      <c r="H1646" s="1">
        <v>58.14</v>
      </c>
      <c r="I1646" s="1">
        <f t="shared" si="75"/>
        <v>581.4</v>
      </c>
      <c r="J1646" t="str">
        <f t="shared" si="76"/>
        <v>Low</v>
      </c>
      <c r="K1646" s="1"/>
      <c r="L1646" s="1">
        <v>0.01</v>
      </c>
      <c r="M1646" s="1">
        <v>36.61</v>
      </c>
      <c r="N1646" s="1" t="s">
        <v>45</v>
      </c>
      <c r="O1646" s="1" t="s">
        <v>63</v>
      </c>
      <c r="P1646" s="2">
        <v>41913</v>
      </c>
      <c r="Q1646" s="2" t="b">
        <f t="shared" si="77"/>
        <v>0</v>
      </c>
      <c r="V1646" s="2"/>
      <c r="W1646" s="2"/>
      <c r="X1646" s="2"/>
      <c r="Y1646" s="2"/>
      <c r="Z1646" s="2"/>
      <c r="AA1646" s="2"/>
      <c r="AB1646" s="2"/>
      <c r="AC1646" s="2"/>
      <c r="AD1646" s="2"/>
      <c r="AE1646" s="2"/>
      <c r="AF1646" s="2"/>
      <c r="AG1646" s="2"/>
      <c r="AH1646" s="2"/>
      <c r="AI1646" s="2"/>
    </row>
    <row r="1647" spans="1:35" ht="14.25" customHeight="1" x14ac:dyDescent="0.2">
      <c r="A1647" s="1">
        <v>37473</v>
      </c>
      <c r="B1647" s="1" t="s">
        <v>1092</v>
      </c>
      <c r="C1647" s="1" t="s">
        <v>51</v>
      </c>
      <c r="D1647" s="2">
        <v>41913</v>
      </c>
      <c r="E1647" s="1" t="s">
        <v>43</v>
      </c>
      <c r="F1647" s="1" t="s">
        <v>1010</v>
      </c>
      <c r="G1647" s="1">
        <v>8</v>
      </c>
      <c r="H1647" s="1">
        <v>5.18</v>
      </c>
      <c r="I1647" s="1">
        <f t="shared" si="75"/>
        <v>41.44</v>
      </c>
      <c r="J1647" t="str">
        <f t="shared" si="76"/>
        <v>Low</v>
      </c>
      <c r="K1647" s="1"/>
      <c r="L1647" s="1">
        <v>0.06</v>
      </c>
      <c r="M1647" s="1">
        <v>2.04</v>
      </c>
      <c r="N1647" s="1" t="s">
        <v>33</v>
      </c>
      <c r="O1647" s="1" t="s">
        <v>55</v>
      </c>
      <c r="P1647" s="2">
        <v>41913</v>
      </c>
      <c r="Q1647" s="2" t="b">
        <f t="shared" si="77"/>
        <v>0</v>
      </c>
      <c r="V1647" s="2"/>
      <c r="W1647" s="2"/>
      <c r="X1647" s="2"/>
      <c r="Y1647" s="2"/>
      <c r="Z1647" s="2"/>
      <c r="AA1647" s="2"/>
      <c r="AB1647" s="2"/>
      <c r="AC1647" s="2"/>
      <c r="AD1647" s="2"/>
      <c r="AE1647" s="2"/>
      <c r="AF1647" s="2"/>
      <c r="AG1647" s="2"/>
      <c r="AH1647" s="2"/>
      <c r="AI1647" s="2"/>
    </row>
    <row r="1648" spans="1:35" ht="14.25" customHeight="1" x14ac:dyDescent="0.2">
      <c r="A1648" s="1">
        <v>49056</v>
      </c>
      <c r="B1648" s="1" t="s">
        <v>534</v>
      </c>
      <c r="C1648" s="1" t="s">
        <v>51</v>
      </c>
      <c r="D1648" s="2">
        <v>41913</v>
      </c>
      <c r="E1648" s="1" t="s">
        <v>31</v>
      </c>
      <c r="F1648" s="1" t="s">
        <v>939</v>
      </c>
      <c r="G1648" s="1">
        <v>46</v>
      </c>
      <c r="H1648" s="1">
        <v>6.48</v>
      </c>
      <c r="I1648" s="1">
        <f t="shared" si="75"/>
        <v>298.08000000000004</v>
      </c>
      <c r="J1648" t="str">
        <f t="shared" si="76"/>
        <v>Low</v>
      </c>
      <c r="K1648" s="1"/>
      <c r="L1648" s="1">
        <v>0.05</v>
      </c>
      <c r="M1648" s="1">
        <v>8.4</v>
      </c>
      <c r="N1648" s="1" t="s">
        <v>33</v>
      </c>
      <c r="O1648" s="1" t="s">
        <v>34</v>
      </c>
      <c r="P1648" s="2">
        <v>41915</v>
      </c>
      <c r="Q1648" s="2" t="b">
        <f t="shared" si="77"/>
        <v>0</v>
      </c>
      <c r="V1648" s="2"/>
      <c r="W1648" s="2"/>
      <c r="X1648" s="2"/>
      <c r="Y1648" s="2"/>
      <c r="Z1648" s="2"/>
      <c r="AA1648" s="2"/>
      <c r="AB1648" s="2"/>
      <c r="AC1648" s="2"/>
      <c r="AD1648" s="2"/>
      <c r="AE1648" s="2"/>
      <c r="AF1648" s="2"/>
      <c r="AG1648" s="2"/>
      <c r="AH1648" s="2"/>
      <c r="AI1648" s="2"/>
    </row>
    <row r="1649" spans="1:35" ht="14.25" customHeight="1" x14ac:dyDescent="0.2">
      <c r="A1649" s="1">
        <v>49056</v>
      </c>
      <c r="B1649" s="1" t="s">
        <v>534</v>
      </c>
      <c r="C1649" s="1" t="s">
        <v>21</v>
      </c>
      <c r="D1649" s="2">
        <v>41913</v>
      </c>
      <c r="E1649" s="1" t="s">
        <v>31</v>
      </c>
      <c r="F1649" s="1" t="s">
        <v>748</v>
      </c>
      <c r="G1649" s="1">
        <v>5</v>
      </c>
      <c r="H1649" s="1">
        <v>55.99</v>
      </c>
      <c r="I1649" s="1">
        <f t="shared" si="75"/>
        <v>279.95</v>
      </c>
      <c r="J1649" t="str">
        <f t="shared" si="76"/>
        <v>Low</v>
      </c>
      <c r="K1649" s="1"/>
      <c r="L1649" s="1">
        <v>0.05</v>
      </c>
      <c r="M1649" s="1">
        <v>5</v>
      </c>
      <c r="N1649" s="1" t="s">
        <v>33</v>
      </c>
      <c r="O1649" s="1" t="s">
        <v>84</v>
      </c>
      <c r="P1649" s="2">
        <v>41913</v>
      </c>
      <c r="Q1649" s="2" t="b">
        <f t="shared" si="77"/>
        <v>0</v>
      </c>
      <c r="V1649" s="2"/>
      <c r="W1649" s="2"/>
      <c r="X1649" s="2"/>
      <c r="Y1649" s="2"/>
      <c r="Z1649" s="2"/>
      <c r="AA1649" s="2"/>
      <c r="AB1649" s="2"/>
      <c r="AC1649" s="2"/>
      <c r="AD1649" s="2"/>
      <c r="AE1649" s="2"/>
      <c r="AF1649" s="2"/>
      <c r="AG1649" s="2"/>
      <c r="AH1649" s="2"/>
      <c r="AI1649" s="2"/>
    </row>
    <row r="1650" spans="1:35" ht="14.25" customHeight="1" x14ac:dyDescent="0.2">
      <c r="A1650" s="1">
        <v>16321</v>
      </c>
      <c r="B1650" s="1" t="s">
        <v>832</v>
      </c>
      <c r="C1650" s="1" t="s">
        <v>51</v>
      </c>
      <c r="D1650" s="2">
        <v>41913</v>
      </c>
      <c r="E1650" s="1" t="s">
        <v>22</v>
      </c>
      <c r="F1650" s="1" t="s">
        <v>891</v>
      </c>
      <c r="G1650" s="1">
        <v>50</v>
      </c>
      <c r="H1650" s="1">
        <v>142.86000000000001</v>
      </c>
      <c r="I1650" s="1">
        <f t="shared" si="75"/>
        <v>7143.0000000000009</v>
      </c>
      <c r="J1650" t="str">
        <f t="shared" si="76"/>
        <v>High</v>
      </c>
      <c r="K1650" s="1"/>
      <c r="L1650" s="1">
        <v>0.03</v>
      </c>
      <c r="M1650" s="1">
        <v>19.989999999999998</v>
      </c>
      <c r="N1650" s="1" t="s">
        <v>33</v>
      </c>
      <c r="O1650" s="1" t="s">
        <v>34</v>
      </c>
      <c r="P1650" s="2">
        <v>41915</v>
      </c>
      <c r="Q1650" s="2" t="b">
        <f t="shared" si="77"/>
        <v>0</v>
      </c>
      <c r="V1650" s="2"/>
      <c r="W1650" s="2"/>
      <c r="X1650" s="2"/>
      <c r="Y1650" s="2"/>
      <c r="Z1650" s="2"/>
      <c r="AA1650" s="2"/>
      <c r="AB1650" s="2"/>
      <c r="AC1650" s="2"/>
      <c r="AD1650" s="2"/>
      <c r="AE1650" s="2"/>
      <c r="AF1650" s="2"/>
      <c r="AG1650" s="2"/>
      <c r="AH1650" s="2"/>
      <c r="AI1650" s="2"/>
    </row>
    <row r="1651" spans="1:35" ht="14.25" customHeight="1" x14ac:dyDescent="0.2">
      <c r="A1651" s="1">
        <v>33701</v>
      </c>
      <c r="B1651" s="1" t="s">
        <v>571</v>
      </c>
      <c r="C1651" s="1" t="s">
        <v>51</v>
      </c>
      <c r="D1651" s="2">
        <v>41913</v>
      </c>
      <c r="E1651" s="1" t="s">
        <v>101</v>
      </c>
      <c r="F1651" s="1" t="s">
        <v>1466</v>
      </c>
      <c r="G1651" s="1">
        <v>35</v>
      </c>
      <c r="H1651" s="1">
        <v>67.28</v>
      </c>
      <c r="I1651" s="1">
        <f t="shared" si="75"/>
        <v>2354.8000000000002</v>
      </c>
      <c r="J1651" t="str">
        <f t="shared" si="76"/>
        <v>High</v>
      </c>
      <c r="K1651" s="1"/>
      <c r="L1651" s="1">
        <v>0.08</v>
      </c>
      <c r="M1651" s="1">
        <v>19.989999999999998</v>
      </c>
      <c r="N1651" s="1" t="s">
        <v>25</v>
      </c>
      <c r="O1651" s="1" t="s">
        <v>34</v>
      </c>
      <c r="P1651" s="2">
        <v>41915</v>
      </c>
      <c r="Q1651" s="2" t="b">
        <f t="shared" si="77"/>
        <v>0</v>
      </c>
      <c r="V1651" s="2"/>
      <c r="W1651" s="2"/>
      <c r="X1651" s="2"/>
      <c r="Y1651" s="2"/>
      <c r="Z1651" s="2"/>
      <c r="AA1651" s="2"/>
      <c r="AB1651" s="2"/>
      <c r="AC1651" s="2"/>
      <c r="AD1651" s="2"/>
      <c r="AE1651" s="2"/>
      <c r="AF1651" s="2"/>
      <c r="AG1651" s="2"/>
      <c r="AH1651" s="2"/>
      <c r="AI1651" s="2"/>
    </row>
    <row r="1652" spans="1:35" ht="14.25" customHeight="1" x14ac:dyDescent="0.2">
      <c r="A1652" s="1">
        <v>37473</v>
      </c>
      <c r="B1652" s="1" t="s">
        <v>1092</v>
      </c>
      <c r="C1652" s="1" t="s">
        <v>51</v>
      </c>
      <c r="D1652" s="2">
        <v>41913</v>
      </c>
      <c r="E1652" s="1" t="s">
        <v>43</v>
      </c>
      <c r="F1652" s="1" t="s">
        <v>1467</v>
      </c>
      <c r="G1652" s="1">
        <v>42</v>
      </c>
      <c r="H1652" s="1">
        <v>2.1800000000000002</v>
      </c>
      <c r="I1652" s="1">
        <f t="shared" si="75"/>
        <v>91.56</v>
      </c>
      <c r="J1652" t="str">
        <f t="shared" si="76"/>
        <v>Low</v>
      </c>
      <c r="K1652" s="1"/>
      <c r="L1652" s="1">
        <v>0.1</v>
      </c>
      <c r="M1652" s="1">
        <v>5</v>
      </c>
      <c r="N1652" s="1" t="s">
        <v>33</v>
      </c>
      <c r="O1652" s="1" t="s">
        <v>55</v>
      </c>
      <c r="P1652" s="2">
        <v>41917</v>
      </c>
      <c r="Q1652" s="2" t="b">
        <f t="shared" si="77"/>
        <v>0</v>
      </c>
      <c r="V1652" s="2"/>
      <c r="W1652" s="2"/>
      <c r="X1652" s="2"/>
      <c r="Y1652" s="2"/>
      <c r="Z1652" s="2"/>
      <c r="AA1652" s="2"/>
      <c r="AB1652" s="2"/>
      <c r="AC1652" s="2"/>
      <c r="AD1652" s="2"/>
      <c r="AE1652" s="2"/>
      <c r="AF1652" s="2"/>
      <c r="AG1652" s="2"/>
      <c r="AH1652" s="2"/>
      <c r="AI1652" s="2"/>
    </row>
    <row r="1653" spans="1:35" ht="14.25" customHeight="1" x14ac:dyDescent="0.2">
      <c r="A1653" s="1">
        <v>18788</v>
      </c>
      <c r="B1653" s="1" t="s">
        <v>367</v>
      </c>
      <c r="C1653" s="1" t="s">
        <v>30</v>
      </c>
      <c r="D1653" s="2">
        <v>41914</v>
      </c>
      <c r="E1653" s="1" t="s">
        <v>22</v>
      </c>
      <c r="F1653" s="1" t="s">
        <v>95</v>
      </c>
      <c r="G1653" s="1">
        <v>27</v>
      </c>
      <c r="H1653" s="1">
        <v>19.989999999999998</v>
      </c>
      <c r="I1653" s="1">
        <f t="shared" si="75"/>
        <v>539.7299999999999</v>
      </c>
      <c r="J1653" t="str">
        <f t="shared" si="76"/>
        <v>Low</v>
      </c>
      <c r="K1653" s="1"/>
      <c r="L1653" s="1">
        <v>0.03</v>
      </c>
      <c r="M1653" s="1">
        <v>11.17</v>
      </c>
      <c r="N1653" s="1" t="s">
        <v>33</v>
      </c>
      <c r="O1653" s="1" t="s">
        <v>26</v>
      </c>
      <c r="P1653" s="2">
        <v>41915</v>
      </c>
      <c r="Q1653" s="2" t="b">
        <f t="shared" si="77"/>
        <v>0</v>
      </c>
      <c r="V1653" s="2"/>
      <c r="W1653" s="2"/>
      <c r="X1653" s="2"/>
      <c r="Y1653" s="2"/>
      <c r="Z1653" s="2"/>
      <c r="AA1653" s="2"/>
      <c r="AB1653" s="2"/>
      <c r="AC1653" s="2"/>
      <c r="AD1653" s="2"/>
      <c r="AE1653" s="2"/>
      <c r="AF1653" s="2"/>
      <c r="AG1653" s="2"/>
      <c r="AH1653" s="2"/>
      <c r="AI1653" s="2"/>
    </row>
    <row r="1654" spans="1:35" ht="14.25" customHeight="1" x14ac:dyDescent="0.2">
      <c r="A1654" s="1">
        <v>51072</v>
      </c>
      <c r="B1654" s="1" t="s">
        <v>1468</v>
      </c>
      <c r="C1654" s="1" t="s">
        <v>51</v>
      </c>
      <c r="D1654" s="2">
        <v>41914</v>
      </c>
      <c r="E1654" s="1" t="s">
        <v>38</v>
      </c>
      <c r="F1654" s="1" t="s">
        <v>166</v>
      </c>
      <c r="G1654" s="1">
        <v>43</v>
      </c>
      <c r="H1654" s="1">
        <v>161.55000000000001</v>
      </c>
      <c r="I1654" s="1">
        <f t="shared" si="75"/>
        <v>6946.6500000000005</v>
      </c>
      <c r="J1654" t="str">
        <f t="shared" si="76"/>
        <v>High</v>
      </c>
      <c r="K1654" s="1"/>
      <c r="L1654" s="1">
        <v>0</v>
      </c>
      <c r="M1654" s="1">
        <v>19.989999999999998</v>
      </c>
      <c r="N1654" s="1" t="s">
        <v>33</v>
      </c>
      <c r="O1654" s="1" t="s">
        <v>34</v>
      </c>
      <c r="P1654" s="2">
        <v>41916</v>
      </c>
      <c r="Q1654" s="2" t="b">
        <f t="shared" si="77"/>
        <v>0</v>
      </c>
      <c r="V1654" s="2"/>
      <c r="W1654" s="2"/>
      <c r="X1654" s="2"/>
      <c r="Y1654" s="2"/>
      <c r="Z1654" s="2"/>
      <c r="AA1654" s="2"/>
      <c r="AB1654" s="2"/>
      <c r="AC1654" s="2"/>
      <c r="AD1654" s="2"/>
      <c r="AE1654" s="2"/>
      <c r="AF1654" s="2"/>
      <c r="AG1654" s="2"/>
      <c r="AH1654" s="2"/>
      <c r="AI1654" s="2"/>
    </row>
    <row r="1655" spans="1:35" ht="14.25" customHeight="1" x14ac:dyDescent="0.2">
      <c r="A1655" s="1">
        <v>15654</v>
      </c>
      <c r="B1655" s="1" t="s">
        <v>1469</v>
      </c>
      <c r="C1655" s="1" t="s">
        <v>21</v>
      </c>
      <c r="D1655" s="2">
        <v>41914</v>
      </c>
      <c r="E1655" s="1" t="s">
        <v>22</v>
      </c>
      <c r="F1655" s="1" t="s">
        <v>782</v>
      </c>
      <c r="G1655" s="1">
        <v>27</v>
      </c>
      <c r="H1655" s="1">
        <v>300.98</v>
      </c>
      <c r="I1655" s="1">
        <f t="shared" si="75"/>
        <v>8126.4600000000009</v>
      </c>
      <c r="J1655" t="str">
        <f t="shared" si="76"/>
        <v>High</v>
      </c>
      <c r="K1655" s="1"/>
      <c r="L1655" s="1">
        <v>0.03</v>
      </c>
      <c r="M1655" s="1">
        <v>54.92</v>
      </c>
      <c r="N1655" s="1" t="s">
        <v>45</v>
      </c>
      <c r="O1655" s="1" t="s">
        <v>63</v>
      </c>
      <c r="P1655" s="2">
        <v>41916</v>
      </c>
      <c r="Q1655" s="2" t="b">
        <f t="shared" si="77"/>
        <v>0</v>
      </c>
      <c r="V1655" s="2"/>
      <c r="W1655" s="2"/>
      <c r="X1655" s="2"/>
      <c r="Y1655" s="2"/>
      <c r="Z1655" s="2"/>
      <c r="AA1655" s="2"/>
      <c r="AB1655" s="2"/>
      <c r="AC1655" s="2"/>
      <c r="AD1655" s="2"/>
      <c r="AE1655" s="2"/>
      <c r="AF1655" s="2"/>
      <c r="AG1655" s="2"/>
      <c r="AH1655" s="2"/>
      <c r="AI1655" s="2"/>
    </row>
    <row r="1656" spans="1:35" ht="14.25" customHeight="1" x14ac:dyDescent="0.2">
      <c r="A1656" s="1">
        <v>15654</v>
      </c>
      <c r="B1656" s="1" t="s">
        <v>1469</v>
      </c>
      <c r="C1656" s="1" t="s">
        <v>30</v>
      </c>
      <c r="D1656" s="2">
        <v>41914</v>
      </c>
      <c r="E1656" s="1" t="s">
        <v>22</v>
      </c>
      <c r="F1656" s="1" t="s">
        <v>835</v>
      </c>
      <c r="G1656" s="1">
        <v>4</v>
      </c>
      <c r="H1656" s="1">
        <v>2550.14</v>
      </c>
      <c r="I1656" s="1">
        <f t="shared" si="75"/>
        <v>10200.56</v>
      </c>
      <c r="J1656" t="str">
        <f t="shared" si="76"/>
        <v>High</v>
      </c>
      <c r="K1656" s="1"/>
      <c r="L1656" s="1">
        <v>0.02</v>
      </c>
      <c r="M1656" s="1">
        <v>29.7</v>
      </c>
      <c r="N1656" s="1" t="s">
        <v>45</v>
      </c>
      <c r="O1656" s="1" t="s">
        <v>46</v>
      </c>
      <c r="P1656" s="2">
        <v>41916</v>
      </c>
      <c r="Q1656" s="2" t="b">
        <f t="shared" si="77"/>
        <v>0</v>
      </c>
      <c r="V1656" s="2"/>
      <c r="W1656" s="2"/>
      <c r="X1656" s="2"/>
      <c r="Y1656" s="2"/>
      <c r="Z1656" s="2"/>
      <c r="AA1656" s="2"/>
      <c r="AB1656" s="2"/>
      <c r="AC1656" s="2"/>
      <c r="AD1656" s="2"/>
      <c r="AE1656" s="2"/>
      <c r="AF1656" s="2"/>
      <c r="AG1656" s="2"/>
      <c r="AH1656" s="2"/>
      <c r="AI1656" s="2"/>
    </row>
    <row r="1657" spans="1:35" ht="14.25" customHeight="1" x14ac:dyDescent="0.2">
      <c r="A1657" s="1">
        <v>50051</v>
      </c>
      <c r="B1657" s="1" t="s">
        <v>1336</v>
      </c>
      <c r="C1657" s="1" t="s">
        <v>51</v>
      </c>
      <c r="D1657" s="2">
        <v>41916</v>
      </c>
      <c r="E1657" s="1" t="s">
        <v>101</v>
      </c>
      <c r="F1657" s="1" t="s">
        <v>1470</v>
      </c>
      <c r="G1657" s="1">
        <v>17</v>
      </c>
      <c r="H1657" s="1">
        <v>5.53</v>
      </c>
      <c r="I1657" s="1">
        <f t="shared" si="75"/>
        <v>94.01</v>
      </c>
      <c r="J1657" t="str">
        <f t="shared" si="76"/>
        <v>Low</v>
      </c>
      <c r="K1657" s="1"/>
      <c r="L1657" s="1">
        <v>0.02</v>
      </c>
      <c r="M1657" s="1">
        <v>6.98</v>
      </c>
      <c r="N1657" s="1" t="s">
        <v>33</v>
      </c>
      <c r="O1657" s="1" t="s">
        <v>34</v>
      </c>
      <c r="P1657" s="2">
        <v>41918</v>
      </c>
      <c r="Q1657" s="2" t="b">
        <f t="shared" si="77"/>
        <v>0</v>
      </c>
      <c r="V1657" s="2"/>
      <c r="W1657" s="2"/>
      <c r="X1657" s="2"/>
      <c r="Y1657" s="2"/>
      <c r="Z1657" s="2"/>
      <c r="AA1657" s="2"/>
      <c r="AB1657" s="2"/>
      <c r="AC1657" s="2"/>
      <c r="AD1657" s="2"/>
      <c r="AE1657" s="2"/>
      <c r="AF1657" s="2"/>
      <c r="AG1657" s="2"/>
      <c r="AH1657" s="2"/>
      <c r="AI1657" s="2"/>
    </row>
    <row r="1658" spans="1:35" ht="14.25" customHeight="1" x14ac:dyDescent="0.2">
      <c r="A1658" s="1">
        <v>50051</v>
      </c>
      <c r="B1658" s="1" t="s">
        <v>1336</v>
      </c>
      <c r="C1658" s="1" t="s">
        <v>30</v>
      </c>
      <c r="D1658" s="2">
        <v>41916</v>
      </c>
      <c r="E1658" s="1" t="s">
        <v>101</v>
      </c>
      <c r="F1658" s="1" t="s">
        <v>489</v>
      </c>
      <c r="G1658" s="1">
        <v>4</v>
      </c>
      <c r="H1658" s="1">
        <v>41.47</v>
      </c>
      <c r="I1658" s="1">
        <f t="shared" si="75"/>
        <v>165.88</v>
      </c>
      <c r="J1658" t="str">
        <f t="shared" si="76"/>
        <v>Low</v>
      </c>
      <c r="K1658" s="1"/>
      <c r="L1658" s="1">
        <v>0.09</v>
      </c>
      <c r="M1658" s="1">
        <v>34.200000000000003</v>
      </c>
      <c r="N1658" s="1" t="s">
        <v>33</v>
      </c>
      <c r="O1658" s="1" t="s">
        <v>55</v>
      </c>
      <c r="P1658" s="2">
        <v>41918</v>
      </c>
      <c r="Q1658" s="2" t="b">
        <f t="shared" si="77"/>
        <v>0</v>
      </c>
      <c r="V1658" s="2"/>
      <c r="W1658" s="2"/>
      <c r="X1658" s="2"/>
      <c r="Y1658" s="2"/>
      <c r="Z1658" s="2"/>
      <c r="AA1658" s="2"/>
      <c r="AB1658" s="2"/>
      <c r="AC1658" s="2"/>
      <c r="AD1658" s="2"/>
      <c r="AE1658" s="2"/>
      <c r="AF1658" s="2"/>
      <c r="AG1658" s="2"/>
      <c r="AH1658" s="2"/>
      <c r="AI1658" s="2"/>
    </row>
    <row r="1659" spans="1:35" ht="14.25" customHeight="1" x14ac:dyDescent="0.2">
      <c r="A1659" s="1">
        <v>44583</v>
      </c>
      <c r="B1659" s="1" t="s">
        <v>1294</v>
      </c>
      <c r="C1659" s="1" t="s">
        <v>51</v>
      </c>
      <c r="D1659" s="2">
        <v>41916</v>
      </c>
      <c r="E1659" s="1" t="s">
        <v>43</v>
      </c>
      <c r="F1659" s="1" t="s">
        <v>1471</v>
      </c>
      <c r="G1659" s="1">
        <v>6</v>
      </c>
      <c r="H1659" s="1">
        <v>2.2200000000000002</v>
      </c>
      <c r="I1659" s="1">
        <f t="shared" si="75"/>
        <v>13.32</v>
      </c>
      <c r="J1659" t="str">
        <f t="shared" si="76"/>
        <v>Low</v>
      </c>
      <c r="K1659" s="1"/>
      <c r="L1659" s="1">
        <v>0.1</v>
      </c>
      <c r="M1659" s="1">
        <v>5</v>
      </c>
      <c r="N1659" s="1" t="s">
        <v>33</v>
      </c>
      <c r="O1659" s="1" t="s">
        <v>34</v>
      </c>
      <c r="P1659" s="2">
        <v>41921</v>
      </c>
      <c r="Q1659" s="2" t="b">
        <f t="shared" si="77"/>
        <v>0</v>
      </c>
      <c r="V1659" s="2"/>
      <c r="W1659" s="2"/>
      <c r="X1659" s="2"/>
      <c r="Y1659" s="2"/>
      <c r="Z1659" s="2"/>
      <c r="AA1659" s="2"/>
      <c r="AB1659" s="2"/>
      <c r="AC1659" s="2"/>
      <c r="AD1659" s="2"/>
      <c r="AE1659" s="2"/>
      <c r="AF1659" s="2"/>
      <c r="AG1659" s="2"/>
      <c r="AH1659" s="2"/>
      <c r="AI1659" s="2"/>
    </row>
    <row r="1660" spans="1:35" ht="14.25" customHeight="1" x14ac:dyDescent="0.2">
      <c r="A1660" s="1">
        <v>19111</v>
      </c>
      <c r="B1660" s="1" t="s">
        <v>1472</v>
      </c>
      <c r="C1660" s="1" t="s">
        <v>51</v>
      </c>
      <c r="D1660" s="2">
        <v>41916</v>
      </c>
      <c r="E1660" s="1" t="s">
        <v>43</v>
      </c>
      <c r="F1660" s="1" t="s">
        <v>530</v>
      </c>
      <c r="G1660" s="1">
        <v>24</v>
      </c>
      <c r="H1660" s="1">
        <v>8.33</v>
      </c>
      <c r="I1660" s="1">
        <f t="shared" si="75"/>
        <v>199.92000000000002</v>
      </c>
      <c r="J1660" t="str">
        <f t="shared" si="76"/>
        <v>Low</v>
      </c>
      <c r="K1660" s="1"/>
      <c r="L1660" s="1">
        <v>0.04</v>
      </c>
      <c r="M1660" s="1">
        <v>1.99</v>
      </c>
      <c r="N1660" s="1" t="s">
        <v>33</v>
      </c>
      <c r="O1660" s="1" t="s">
        <v>84</v>
      </c>
      <c r="P1660" s="2">
        <v>41921</v>
      </c>
      <c r="Q1660" s="2" t="b">
        <f t="shared" si="77"/>
        <v>0</v>
      </c>
      <c r="V1660" s="2"/>
      <c r="W1660" s="2"/>
      <c r="X1660" s="2"/>
      <c r="Y1660" s="2"/>
      <c r="Z1660" s="2"/>
      <c r="AA1660" s="2"/>
      <c r="AB1660" s="2"/>
      <c r="AC1660" s="2"/>
      <c r="AD1660" s="2"/>
      <c r="AE1660" s="2"/>
      <c r="AF1660" s="2"/>
      <c r="AG1660" s="2"/>
      <c r="AH1660" s="2"/>
      <c r="AI1660" s="2"/>
    </row>
    <row r="1661" spans="1:35" ht="14.25" customHeight="1" x14ac:dyDescent="0.2">
      <c r="A1661" s="1">
        <v>44583</v>
      </c>
      <c r="B1661" s="1" t="s">
        <v>1294</v>
      </c>
      <c r="C1661" s="1" t="s">
        <v>51</v>
      </c>
      <c r="D1661" s="2">
        <v>41916</v>
      </c>
      <c r="E1661" s="1" t="s">
        <v>43</v>
      </c>
      <c r="F1661" s="1" t="s">
        <v>636</v>
      </c>
      <c r="G1661" s="1">
        <v>21</v>
      </c>
      <c r="H1661" s="1">
        <v>14.2</v>
      </c>
      <c r="I1661" s="1">
        <f t="shared" si="75"/>
        <v>298.2</v>
      </c>
      <c r="J1661" t="str">
        <f t="shared" si="76"/>
        <v>Low</v>
      </c>
      <c r="K1661" s="1"/>
      <c r="L1661" s="1">
        <v>0.02</v>
      </c>
      <c r="M1661" s="1">
        <v>5.3</v>
      </c>
      <c r="N1661" s="1" t="s">
        <v>33</v>
      </c>
      <c r="O1661" s="1" t="s">
        <v>55</v>
      </c>
      <c r="P1661" s="2">
        <v>41918</v>
      </c>
      <c r="Q1661" s="2" t="b">
        <f t="shared" si="77"/>
        <v>0</v>
      </c>
      <c r="V1661" s="2"/>
      <c r="W1661" s="2"/>
      <c r="X1661" s="2"/>
      <c r="Y1661" s="2"/>
      <c r="Z1661" s="2"/>
      <c r="AA1661" s="2"/>
      <c r="AB1661" s="2"/>
      <c r="AC1661" s="2"/>
      <c r="AD1661" s="2"/>
      <c r="AE1661" s="2"/>
      <c r="AF1661" s="2"/>
      <c r="AG1661" s="2"/>
      <c r="AH1661" s="2"/>
      <c r="AI1661" s="2"/>
    </row>
    <row r="1662" spans="1:35" ht="14.25" customHeight="1" x14ac:dyDescent="0.2">
      <c r="A1662" s="1">
        <v>3841</v>
      </c>
      <c r="B1662" s="1" t="s">
        <v>1473</v>
      </c>
      <c r="C1662" s="1" t="s">
        <v>30</v>
      </c>
      <c r="D1662" s="2">
        <v>41916</v>
      </c>
      <c r="E1662" s="1" t="s">
        <v>22</v>
      </c>
      <c r="F1662" s="1" t="s">
        <v>436</v>
      </c>
      <c r="G1662" s="1">
        <v>19</v>
      </c>
      <c r="H1662" s="1">
        <v>60.98</v>
      </c>
      <c r="I1662" s="1">
        <f t="shared" si="75"/>
        <v>1158.6199999999999</v>
      </c>
      <c r="J1662" t="str">
        <f t="shared" si="76"/>
        <v>High</v>
      </c>
      <c r="K1662" s="1"/>
      <c r="L1662" s="1">
        <v>0.02</v>
      </c>
      <c r="M1662" s="1">
        <v>49</v>
      </c>
      <c r="N1662" s="1" t="s">
        <v>33</v>
      </c>
      <c r="O1662" s="1" t="s">
        <v>26</v>
      </c>
      <c r="P1662" s="2">
        <v>41918</v>
      </c>
      <c r="Q1662" s="2" t="b">
        <f t="shared" si="77"/>
        <v>0</v>
      </c>
      <c r="V1662" s="2"/>
      <c r="W1662" s="2"/>
      <c r="X1662" s="2"/>
      <c r="Y1662" s="2"/>
      <c r="Z1662" s="2"/>
      <c r="AA1662" s="2"/>
      <c r="AB1662" s="2"/>
      <c r="AC1662" s="2"/>
      <c r="AD1662" s="2"/>
      <c r="AE1662" s="2"/>
      <c r="AF1662" s="2"/>
      <c r="AG1662" s="2"/>
      <c r="AH1662" s="2"/>
      <c r="AI1662" s="2"/>
    </row>
    <row r="1663" spans="1:35" ht="14.25" customHeight="1" x14ac:dyDescent="0.2">
      <c r="A1663" s="1">
        <v>3841</v>
      </c>
      <c r="B1663" s="1" t="s">
        <v>1473</v>
      </c>
      <c r="C1663" s="1" t="s">
        <v>51</v>
      </c>
      <c r="D1663" s="2">
        <v>41916</v>
      </c>
      <c r="E1663" s="1" t="s">
        <v>22</v>
      </c>
      <c r="F1663" s="1" t="s">
        <v>1081</v>
      </c>
      <c r="G1663" s="1">
        <v>20</v>
      </c>
      <c r="H1663" s="1">
        <v>1270.99</v>
      </c>
      <c r="I1663" s="1">
        <f t="shared" si="75"/>
        <v>25419.8</v>
      </c>
      <c r="J1663" t="str">
        <f t="shared" si="76"/>
        <v>High</v>
      </c>
      <c r="K1663" s="1"/>
      <c r="L1663" s="1">
        <v>0.02</v>
      </c>
      <c r="M1663" s="1">
        <v>19.989999999999998</v>
      </c>
      <c r="N1663" s="1" t="s">
        <v>33</v>
      </c>
      <c r="O1663" s="1" t="s">
        <v>34</v>
      </c>
      <c r="P1663" s="2">
        <v>41918</v>
      </c>
      <c r="Q1663" s="2" t="b">
        <f t="shared" si="77"/>
        <v>0</v>
      </c>
      <c r="V1663" s="2"/>
      <c r="W1663" s="2"/>
      <c r="X1663" s="2"/>
      <c r="Y1663" s="2"/>
      <c r="Z1663" s="2"/>
      <c r="AA1663" s="2"/>
      <c r="AB1663" s="2"/>
      <c r="AC1663" s="2"/>
      <c r="AD1663" s="2"/>
      <c r="AE1663" s="2"/>
      <c r="AF1663" s="2"/>
      <c r="AG1663" s="2"/>
      <c r="AH1663" s="2"/>
      <c r="AI1663" s="2"/>
    </row>
    <row r="1664" spans="1:35" ht="14.25" customHeight="1" x14ac:dyDescent="0.2">
      <c r="A1664" s="1">
        <v>3841</v>
      </c>
      <c r="B1664" s="1" t="s">
        <v>1473</v>
      </c>
      <c r="C1664" s="1" t="s">
        <v>30</v>
      </c>
      <c r="D1664" s="2">
        <v>41916</v>
      </c>
      <c r="E1664" s="1" t="s">
        <v>22</v>
      </c>
      <c r="F1664" s="1" t="s">
        <v>413</v>
      </c>
      <c r="G1664" s="1">
        <v>43</v>
      </c>
      <c r="H1664" s="1">
        <v>205.99</v>
      </c>
      <c r="I1664" s="1">
        <f t="shared" si="75"/>
        <v>8857.57</v>
      </c>
      <c r="J1664" t="str">
        <f t="shared" si="76"/>
        <v>High</v>
      </c>
      <c r="K1664" s="1"/>
      <c r="L1664" s="1">
        <v>0.05</v>
      </c>
      <c r="M1664" s="1">
        <v>8.99</v>
      </c>
      <c r="N1664" s="1" t="s">
        <v>25</v>
      </c>
      <c r="O1664" s="1" t="s">
        <v>34</v>
      </c>
      <c r="P1664" s="2">
        <v>41918</v>
      </c>
      <c r="Q1664" s="2" t="b">
        <f t="shared" si="77"/>
        <v>0</v>
      </c>
      <c r="V1664" s="2"/>
      <c r="W1664" s="2"/>
      <c r="X1664" s="2"/>
      <c r="Y1664" s="2"/>
      <c r="Z1664" s="2"/>
      <c r="AA1664" s="2"/>
      <c r="AB1664" s="2"/>
      <c r="AC1664" s="2"/>
      <c r="AD1664" s="2"/>
      <c r="AE1664" s="2"/>
      <c r="AF1664" s="2"/>
      <c r="AG1664" s="2"/>
      <c r="AH1664" s="2"/>
      <c r="AI1664" s="2"/>
    </row>
    <row r="1665" spans="1:35" ht="14.25" customHeight="1" x14ac:dyDescent="0.2">
      <c r="A1665" s="1">
        <v>50051</v>
      </c>
      <c r="B1665" s="1" t="s">
        <v>1336</v>
      </c>
      <c r="C1665" s="1" t="s">
        <v>21</v>
      </c>
      <c r="D1665" s="2">
        <v>41916</v>
      </c>
      <c r="E1665" s="1" t="s">
        <v>101</v>
      </c>
      <c r="F1665" s="1" t="s">
        <v>1474</v>
      </c>
      <c r="G1665" s="1">
        <v>15</v>
      </c>
      <c r="H1665" s="1">
        <v>19.04</v>
      </c>
      <c r="I1665" s="1">
        <f t="shared" si="75"/>
        <v>285.59999999999997</v>
      </c>
      <c r="J1665" t="str">
        <f t="shared" si="76"/>
        <v>Low</v>
      </c>
      <c r="K1665" s="1"/>
      <c r="L1665" s="1">
        <v>0.03</v>
      </c>
      <c r="M1665" s="1">
        <v>6.38</v>
      </c>
      <c r="N1665" s="1" t="s">
        <v>25</v>
      </c>
      <c r="O1665" s="1" t="s">
        <v>34</v>
      </c>
      <c r="P1665" s="2">
        <v>41916</v>
      </c>
      <c r="Q1665" s="2" t="b">
        <f t="shared" si="77"/>
        <v>0</v>
      </c>
      <c r="V1665" s="2"/>
      <c r="W1665" s="2"/>
      <c r="X1665" s="2"/>
      <c r="Y1665" s="2"/>
      <c r="Z1665" s="2"/>
      <c r="AA1665" s="2"/>
      <c r="AB1665" s="2"/>
      <c r="AC1665" s="2"/>
      <c r="AD1665" s="2"/>
      <c r="AE1665" s="2"/>
      <c r="AF1665" s="2"/>
      <c r="AG1665" s="2"/>
      <c r="AH1665" s="2"/>
      <c r="AI1665" s="2"/>
    </row>
    <row r="1666" spans="1:35" ht="14.25" customHeight="1" x14ac:dyDescent="0.2">
      <c r="A1666" s="1">
        <v>49313</v>
      </c>
      <c r="B1666" s="1" t="s">
        <v>741</v>
      </c>
      <c r="C1666" s="1" t="s">
        <v>21</v>
      </c>
      <c r="D1666" s="2">
        <v>41916</v>
      </c>
      <c r="E1666" s="1" t="s">
        <v>101</v>
      </c>
      <c r="F1666" s="1" t="s">
        <v>1475</v>
      </c>
      <c r="G1666" s="1">
        <v>34</v>
      </c>
      <c r="H1666" s="1">
        <v>9.3800000000000008</v>
      </c>
      <c r="I1666" s="1">
        <f t="shared" ref="I1666:I1729" si="78">G1666*H1666</f>
        <v>318.92</v>
      </c>
      <c r="J1666" t="str">
        <f t="shared" ref="J1666:J1729" si="79">IF(I1666&lt;1000,"Low","High")</f>
        <v>Low</v>
      </c>
      <c r="K1666" s="1"/>
      <c r="L1666" s="1">
        <v>0.1</v>
      </c>
      <c r="M1666" s="1">
        <v>4.93</v>
      </c>
      <c r="N1666" s="1" t="s">
        <v>25</v>
      </c>
      <c r="O1666" s="1" t="s">
        <v>34</v>
      </c>
      <c r="P1666" s="2">
        <v>41916</v>
      </c>
      <c r="Q1666" s="2" t="b">
        <f t="shared" ref="Q1666:Q1729" si="80">AND(N1666="Express Air",O1666="Large Box")</f>
        <v>0</v>
      </c>
      <c r="V1666" s="2"/>
      <c r="W1666" s="2"/>
      <c r="X1666" s="2"/>
      <c r="Y1666" s="2"/>
      <c r="Z1666" s="2"/>
      <c r="AA1666" s="2"/>
      <c r="AB1666" s="2"/>
      <c r="AC1666" s="2"/>
      <c r="AD1666" s="2"/>
      <c r="AE1666" s="2"/>
      <c r="AF1666" s="2"/>
      <c r="AG1666" s="2"/>
      <c r="AH1666" s="2"/>
      <c r="AI1666" s="2"/>
    </row>
    <row r="1667" spans="1:35" ht="14.25" customHeight="1" x14ac:dyDescent="0.2">
      <c r="A1667" s="1">
        <v>49313</v>
      </c>
      <c r="B1667" s="1" t="s">
        <v>741</v>
      </c>
      <c r="C1667" s="1" t="s">
        <v>30</v>
      </c>
      <c r="D1667" s="2">
        <v>41916</v>
      </c>
      <c r="E1667" s="1" t="s">
        <v>101</v>
      </c>
      <c r="F1667" s="1" t="s">
        <v>1276</v>
      </c>
      <c r="G1667" s="1">
        <v>36</v>
      </c>
      <c r="H1667" s="1">
        <v>35.99</v>
      </c>
      <c r="I1667" s="1">
        <f t="shared" si="78"/>
        <v>1295.6400000000001</v>
      </c>
      <c r="J1667" t="str">
        <f t="shared" si="79"/>
        <v>High</v>
      </c>
      <c r="K1667" s="1"/>
      <c r="L1667" s="1">
        <v>0.05</v>
      </c>
      <c r="M1667" s="1">
        <v>1.25</v>
      </c>
      <c r="N1667" s="1" t="s">
        <v>33</v>
      </c>
      <c r="O1667" s="1" t="s">
        <v>84</v>
      </c>
      <c r="P1667" s="2">
        <v>41917</v>
      </c>
      <c r="Q1667" s="2" t="b">
        <f t="shared" si="80"/>
        <v>0</v>
      </c>
      <c r="V1667" s="2"/>
      <c r="W1667" s="2"/>
      <c r="X1667" s="2"/>
      <c r="Y1667" s="2"/>
      <c r="Z1667" s="2"/>
      <c r="AA1667" s="2"/>
      <c r="AB1667" s="2"/>
      <c r="AC1667" s="2"/>
      <c r="AD1667" s="2"/>
      <c r="AE1667" s="2"/>
      <c r="AF1667" s="2"/>
      <c r="AG1667" s="2"/>
      <c r="AH1667" s="2"/>
      <c r="AI1667" s="2"/>
    </row>
    <row r="1668" spans="1:35" ht="14.25" customHeight="1" x14ac:dyDescent="0.2">
      <c r="A1668" s="1">
        <v>30214</v>
      </c>
      <c r="B1668" s="1" t="s">
        <v>545</v>
      </c>
      <c r="C1668" s="1" t="s">
        <v>51</v>
      </c>
      <c r="D1668" s="2">
        <v>41916</v>
      </c>
      <c r="E1668" s="1" t="s">
        <v>43</v>
      </c>
      <c r="F1668" s="1" t="s">
        <v>529</v>
      </c>
      <c r="G1668" s="1">
        <v>38</v>
      </c>
      <c r="H1668" s="1">
        <v>10.44</v>
      </c>
      <c r="I1668" s="1">
        <f t="shared" si="78"/>
        <v>396.71999999999997</v>
      </c>
      <c r="J1668" t="str">
        <f t="shared" si="79"/>
        <v>Low</v>
      </c>
      <c r="K1668" s="1"/>
      <c r="L1668" s="1">
        <v>0.1</v>
      </c>
      <c r="M1668" s="1">
        <v>5.75</v>
      </c>
      <c r="N1668" s="1" t="s">
        <v>25</v>
      </c>
      <c r="O1668" s="1" t="s">
        <v>34</v>
      </c>
      <c r="P1668" s="2">
        <v>41923</v>
      </c>
      <c r="Q1668" s="2" t="b">
        <f t="shared" si="80"/>
        <v>0</v>
      </c>
      <c r="V1668" s="2"/>
      <c r="W1668" s="2"/>
      <c r="X1668" s="2"/>
      <c r="Y1668" s="2"/>
      <c r="Z1668" s="2"/>
      <c r="AA1668" s="2"/>
      <c r="AB1668" s="2"/>
      <c r="AC1668" s="2"/>
      <c r="AD1668" s="2"/>
      <c r="AE1668" s="2"/>
      <c r="AF1668" s="2"/>
      <c r="AG1668" s="2"/>
      <c r="AH1668" s="2"/>
      <c r="AI1668" s="2"/>
    </row>
    <row r="1669" spans="1:35" ht="14.25" customHeight="1" x14ac:dyDescent="0.2">
      <c r="A1669" s="1">
        <v>15075</v>
      </c>
      <c r="B1669" s="1" t="s">
        <v>263</v>
      </c>
      <c r="C1669" s="1" t="s">
        <v>51</v>
      </c>
      <c r="D1669" s="2">
        <v>41916</v>
      </c>
      <c r="E1669" s="1" t="s">
        <v>101</v>
      </c>
      <c r="F1669" s="1" t="s">
        <v>1169</v>
      </c>
      <c r="G1669" s="1">
        <v>24</v>
      </c>
      <c r="H1669" s="1">
        <v>63.94</v>
      </c>
      <c r="I1669" s="1">
        <f t="shared" si="78"/>
        <v>1534.56</v>
      </c>
      <c r="J1669" t="str">
        <f t="shared" si="79"/>
        <v>High</v>
      </c>
      <c r="K1669" s="1"/>
      <c r="L1669" s="1">
        <v>0.02</v>
      </c>
      <c r="M1669" s="1">
        <v>14.48</v>
      </c>
      <c r="N1669" s="1" t="s">
        <v>33</v>
      </c>
      <c r="O1669" s="1" t="s">
        <v>34</v>
      </c>
      <c r="P1669" s="2">
        <v>41916</v>
      </c>
      <c r="Q1669" s="2" t="b">
        <f t="shared" si="80"/>
        <v>0</v>
      </c>
      <c r="V1669" s="2"/>
      <c r="W1669" s="2"/>
      <c r="X1669" s="2"/>
      <c r="Y1669" s="2"/>
      <c r="Z1669" s="2"/>
      <c r="AA1669" s="2"/>
      <c r="AB1669" s="2"/>
      <c r="AC1669" s="2"/>
      <c r="AD1669" s="2"/>
      <c r="AE1669" s="2"/>
      <c r="AF1669" s="2"/>
      <c r="AG1669" s="2"/>
      <c r="AH1669" s="2"/>
      <c r="AI1669" s="2"/>
    </row>
    <row r="1670" spans="1:35" ht="14.25" customHeight="1" x14ac:dyDescent="0.2">
      <c r="A1670" s="1">
        <v>15075</v>
      </c>
      <c r="B1670" s="1" t="s">
        <v>263</v>
      </c>
      <c r="C1670" s="1" t="s">
        <v>51</v>
      </c>
      <c r="D1670" s="2">
        <v>41916</v>
      </c>
      <c r="E1670" s="1" t="s">
        <v>101</v>
      </c>
      <c r="F1670" s="1" t="s">
        <v>170</v>
      </c>
      <c r="G1670" s="1">
        <v>10</v>
      </c>
      <c r="H1670" s="1">
        <v>5.0199999999999996</v>
      </c>
      <c r="I1670" s="1">
        <f t="shared" si="78"/>
        <v>50.199999999999996</v>
      </c>
      <c r="J1670" t="str">
        <f t="shared" si="79"/>
        <v>Low</v>
      </c>
      <c r="K1670" s="1"/>
      <c r="L1670" s="1">
        <v>0.01</v>
      </c>
      <c r="M1670" s="1">
        <v>5.14</v>
      </c>
      <c r="N1670" s="1" t="s">
        <v>33</v>
      </c>
      <c r="O1670" s="1" t="s">
        <v>84</v>
      </c>
      <c r="P1670" s="2">
        <v>41918</v>
      </c>
      <c r="Q1670" s="2" t="b">
        <f t="shared" si="80"/>
        <v>0</v>
      </c>
      <c r="V1670" s="2"/>
      <c r="W1670" s="2"/>
      <c r="X1670" s="2"/>
      <c r="Y1670" s="2"/>
      <c r="Z1670" s="2"/>
      <c r="AA1670" s="2"/>
      <c r="AB1670" s="2"/>
      <c r="AC1670" s="2"/>
      <c r="AD1670" s="2"/>
      <c r="AE1670" s="2"/>
      <c r="AF1670" s="2"/>
      <c r="AG1670" s="2"/>
      <c r="AH1670" s="2"/>
      <c r="AI1670" s="2"/>
    </row>
    <row r="1671" spans="1:35" ht="14.25" customHeight="1" x14ac:dyDescent="0.2">
      <c r="A1671" s="1">
        <v>9923</v>
      </c>
      <c r="B1671" s="1" t="s">
        <v>1476</v>
      </c>
      <c r="C1671" s="1" t="s">
        <v>21</v>
      </c>
      <c r="D1671" s="2">
        <v>41917</v>
      </c>
      <c r="E1671" s="1" t="s">
        <v>31</v>
      </c>
      <c r="F1671" s="1" t="s">
        <v>199</v>
      </c>
      <c r="G1671" s="1">
        <v>27</v>
      </c>
      <c r="H1671" s="1">
        <v>2.08</v>
      </c>
      <c r="I1671" s="1">
        <f t="shared" si="78"/>
        <v>56.160000000000004</v>
      </c>
      <c r="J1671" t="str">
        <f t="shared" si="79"/>
        <v>Low</v>
      </c>
      <c r="K1671" s="1"/>
      <c r="L1671" s="1">
        <v>0.01</v>
      </c>
      <c r="M1671" s="1">
        <v>5.33</v>
      </c>
      <c r="N1671" s="1" t="s">
        <v>33</v>
      </c>
      <c r="O1671" s="1" t="s">
        <v>34</v>
      </c>
      <c r="P1671" s="2">
        <v>41917</v>
      </c>
      <c r="Q1671" s="2" t="b">
        <f t="shared" si="80"/>
        <v>0</v>
      </c>
      <c r="V1671" s="2"/>
      <c r="W1671" s="2"/>
      <c r="X1671" s="2"/>
      <c r="Y1671" s="2"/>
      <c r="Z1671" s="2"/>
      <c r="AA1671" s="2"/>
      <c r="AB1671" s="2"/>
      <c r="AC1671" s="2"/>
      <c r="AD1671" s="2"/>
      <c r="AE1671" s="2"/>
      <c r="AF1671" s="2"/>
      <c r="AG1671" s="2"/>
      <c r="AH1671" s="2"/>
      <c r="AI1671" s="2"/>
    </row>
    <row r="1672" spans="1:35" ht="14.25" customHeight="1" x14ac:dyDescent="0.2">
      <c r="A1672" s="1">
        <v>9923</v>
      </c>
      <c r="B1672" s="1" t="s">
        <v>1476</v>
      </c>
      <c r="C1672" s="1" t="s">
        <v>51</v>
      </c>
      <c r="D1672" s="2">
        <v>41917</v>
      </c>
      <c r="E1672" s="1" t="s">
        <v>31</v>
      </c>
      <c r="F1672" s="1" t="s">
        <v>1477</v>
      </c>
      <c r="G1672" s="1">
        <v>14</v>
      </c>
      <c r="H1672" s="1">
        <v>370.98</v>
      </c>
      <c r="I1672" s="1">
        <f t="shared" si="78"/>
        <v>5193.72</v>
      </c>
      <c r="J1672" t="str">
        <f t="shared" si="79"/>
        <v>High</v>
      </c>
      <c r="K1672" s="1"/>
      <c r="L1672" s="1">
        <v>0.03</v>
      </c>
      <c r="M1672" s="1">
        <v>99</v>
      </c>
      <c r="N1672" s="1" t="s">
        <v>45</v>
      </c>
      <c r="O1672" s="1" t="s">
        <v>46</v>
      </c>
      <c r="P1672" s="2">
        <v>41918</v>
      </c>
      <c r="Q1672" s="2" t="b">
        <f t="shared" si="80"/>
        <v>0</v>
      </c>
      <c r="V1672" s="2"/>
      <c r="W1672" s="2"/>
      <c r="X1672" s="2"/>
      <c r="Y1672" s="2"/>
      <c r="Z1672" s="2"/>
      <c r="AA1672" s="2"/>
      <c r="AB1672" s="2"/>
      <c r="AC1672" s="2"/>
      <c r="AD1672" s="2"/>
      <c r="AE1672" s="2"/>
      <c r="AF1672" s="2"/>
      <c r="AG1672" s="2"/>
      <c r="AH1672" s="2"/>
      <c r="AI1672" s="2"/>
    </row>
    <row r="1673" spans="1:35" ht="14.25" customHeight="1" x14ac:dyDescent="0.2">
      <c r="A1673" s="1">
        <v>20518</v>
      </c>
      <c r="B1673" s="1" t="s">
        <v>1437</v>
      </c>
      <c r="C1673" s="1" t="s">
        <v>21</v>
      </c>
      <c r="D1673" s="2">
        <v>41917</v>
      </c>
      <c r="E1673" s="1" t="s">
        <v>38</v>
      </c>
      <c r="F1673" s="1" t="s">
        <v>1157</v>
      </c>
      <c r="G1673" s="1">
        <v>49</v>
      </c>
      <c r="H1673" s="1">
        <v>200.99</v>
      </c>
      <c r="I1673" s="1">
        <f t="shared" si="78"/>
        <v>9848.51</v>
      </c>
      <c r="J1673" t="str">
        <f t="shared" si="79"/>
        <v>High</v>
      </c>
      <c r="K1673" s="1"/>
      <c r="L1673" s="1">
        <v>7.0000000000000007E-2</v>
      </c>
      <c r="M1673" s="1">
        <v>4.2</v>
      </c>
      <c r="N1673" s="1" t="s">
        <v>33</v>
      </c>
      <c r="O1673" s="1" t="s">
        <v>34</v>
      </c>
      <c r="P1673" s="2">
        <v>41918</v>
      </c>
      <c r="Q1673" s="2" t="b">
        <f t="shared" si="80"/>
        <v>0</v>
      </c>
      <c r="V1673" s="2"/>
      <c r="W1673" s="2"/>
      <c r="X1673" s="2"/>
      <c r="Y1673" s="2"/>
      <c r="Z1673" s="2"/>
      <c r="AA1673" s="2"/>
      <c r="AB1673" s="2"/>
      <c r="AC1673" s="2"/>
      <c r="AD1673" s="2"/>
      <c r="AE1673" s="2"/>
      <c r="AF1673" s="2"/>
      <c r="AG1673" s="2"/>
      <c r="AH1673" s="2"/>
      <c r="AI1673" s="2"/>
    </row>
    <row r="1674" spans="1:35" ht="14.25" customHeight="1" x14ac:dyDescent="0.2">
      <c r="A1674" s="1">
        <v>20518</v>
      </c>
      <c r="B1674" s="1" t="s">
        <v>1437</v>
      </c>
      <c r="C1674" s="1" t="s">
        <v>21</v>
      </c>
      <c r="D1674" s="2">
        <v>41917</v>
      </c>
      <c r="E1674" s="1" t="s">
        <v>38</v>
      </c>
      <c r="F1674" s="1" t="s">
        <v>175</v>
      </c>
      <c r="G1674" s="1">
        <v>7</v>
      </c>
      <c r="H1674" s="1">
        <v>297.48</v>
      </c>
      <c r="I1674" s="1">
        <f t="shared" si="78"/>
        <v>2082.36</v>
      </c>
      <c r="J1674" t="str">
        <f t="shared" si="79"/>
        <v>High</v>
      </c>
      <c r="K1674" s="1"/>
      <c r="L1674" s="1">
        <v>0.01</v>
      </c>
      <c r="M1674" s="1">
        <v>18.059999999999999</v>
      </c>
      <c r="N1674" s="1" t="s">
        <v>45</v>
      </c>
      <c r="O1674" s="1" t="s">
        <v>46</v>
      </c>
      <c r="P1674" s="2">
        <v>41918</v>
      </c>
      <c r="Q1674" s="2" t="b">
        <f t="shared" si="80"/>
        <v>0</v>
      </c>
      <c r="V1674" s="2"/>
      <c r="W1674" s="2"/>
      <c r="X1674" s="2"/>
      <c r="Y1674" s="2"/>
      <c r="Z1674" s="2"/>
      <c r="AA1674" s="2"/>
      <c r="AB1674" s="2"/>
      <c r="AC1674" s="2"/>
      <c r="AD1674" s="2"/>
      <c r="AE1674" s="2"/>
      <c r="AF1674" s="2"/>
      <c r="AG1674" s="2"/>
      <c r="AH1674" s="2"/>
      <c r="AI1674" s="2"/>
    </row>
    <row r="1675" spans="1:35" ht="14.25" customHeight="1" x14ac:dyDescent="0.2">
      <c r="A1675" s="1">
        <v>41764</v>
      </c>
      <c r="B1675" s="1" t="s">
        <v>1478</v>
      </c>
      <c r="C1675" s="1" t="s">
        <v>30</v>
      </c>
      <c r="D1675" s="2">
        <v>41917</v>
      </c>
      <c r="E1675" s="1" t="s">
        <v>22</v>
      </c>
      <c r="F1675" s="1" t="s">
        <v>1479</v>
      </c>
      <c r="G1675" s="1">
        <v>16</v>
      </c>
      <c r="H1675" s="1">
        <v>320.64</v>
      </c>
      <c r="I1675" s="1">
        <f t="shared" si="78"/>
        <v>5130.24</v>
      </c>
      <c r="J1675" t="str">
        <f t="shared" si="79"/>
        <v>High</v>
      </c>
      <c r="K1675" s="1"/>
      <c r="L1675" s="1">
        <v>0.03</v>
      </c>
      <c r="M1675" s="1">
        <v>29.2</v>
      </c>
      <c r="N1675" s="1" t="s">
        <v>45</v>
      </c>
      <c r="O1675" s="1" t="s">
        <v>63</v>
      </c>
      <c r="P1675" s="2">
        <v>41919</v>
      </c>
      <c r="Q1675" s="2" t="b">
        <f t="shared" si="80"/>
        <v>0</v>
      </c>
      <c r="V1675" s="2"/>
      <c r="W1675" s="2"/>
      <c r="X1675" s="2"/>
      <c r="Y1675" s="2"/>
      <c r="Z1675" s="2"/>
      <c r="AA1675" s="2"/>
      <c r="AB1675" s="2"/>
      <c r="AC1675" s="2"/>
      <c r="AD1675" s="2"/>
      <c r="AE1675" s="2"/>
      <c r="AF1675" s="2"/>
      <c r="AG1675" s="2"/>
      <c r="AH1675" s="2"/>
      <c r="AI1675" s="2"/>
    </row>
    <row r="1676" spans="1:35" ht="14.25" customHeight="1" x14ac:dyDescent="0.2">
      <c r="A1676" s="1">
        <v>46881</v>
      </c>
      <c r="B1676" s="1" t="s">
        <v>1480</v>
      </c>
      <c r="C1676" s="1" t="s">
        <v>51</v>
      </c>
      <c r="D1676" s="2">
        <v>41918</v>
      </c>
      <c r="E1676" s="1" t="s">
        <v>38</v>
      </c>
      <c r="F1676" s="1" t="s">
        <v>340</v>
      </c>
      <c r="G1676" s="1">
        <v>31</v>
      </c>
      <c r="H1676" s="1">
        <v>5.18</v>
      </c>
      <c r="I1676" s="1">
        <f t="shared" si="78"/>
        <v>160.57999999999998</v>
      </c>
      <c r="J1676" t="str">
        <f t="shared" si="79"/>
        <v>Low</v>
      </c>
      <c r="K1676" s="1"/>
      <c r="L1676" s="1">
        <v>7.0000000000000007E-2</v>
      </c>
      <c r="M1676" s="1">
        <v>5.74</v>
      </c>
      <c r="N1676" s="1" t="s">
        <v>25</v>
      </c>
      <c r="O1676" s="1" t="s">
        <v>34</v>
      </c>
      <c r="P1676" s="2">
        <v>41920</v>
      </c>
      <c r="Q1676" s="2" t="b">
        <f t="shared" si="80"/>
        <v>0</v>
      </c>
      <c r="V1676" s="2"/>
      <c r="W1676" s="2"/>
      <c r="X1676" s="2"/>
      <c r="Y1676" s="2"/>
      <c r="Z1676" s="2"/>
      <c r="AA1676" s="2"/>
      <c r="AB1676" s="2"/>
      <c r="AC1676" s="2"/>
      <c r="AD1676" s="2"/>
      <c r="AE1676" s="2"/>
      <c r="AF1676" s="2"/>
      <c r="AG1676" s="2"/>
      <c r="AH1676" s="2"/>
      <c r="AI1676" s="2"/>
    </row>
    <row r="1677" spans="1:35" ht="14.25" customHeight="1" x14ac:dyDescent="0.2">
      <c r="A1677" s="1">
        <v>57511</v>
      </c>
      <c r="B1677" s="1" t="s">
        <v>1469</v>
      </c>
      <c r="C1677" s="1" t="s">
        <v>51</v>
      </c>
      <c r="D1677" s="2">
        <v>41918</v>
      </c>
      <c r="E1677" s="1" t="s">
        <v>38</v>
      </c>
      <c r="F1677" s="1" t="s">
        <v>305</v>
      </c>
      <c r="G1677" s="1">
        <v>32</v>
      </c>
      <c r="H1677" s="1">
        <v>2.89</v>
      </c>
      <c r="I1677" s="1">
        <f t="shared" si="78"/>
        <v>92.48</v>
      </c>
      <c r="J1677" t="str">
        <f t="shared" si="79"/>
        <v>Low</v>
      </c>
      <c r="K1677" s="1"/>
      <c r="L1677" s="1">
        <v>0.01</v>
      </c>
      <c r="M1677" s="1">
        <v>0.5</v>
      </c>
      <c r="N1677" s="1" t="s">
        <v>33</v>
      </c>
      <c r="O1677" s="1" t="s">
        <v>34</v>
      </c>
      <c r="P1677" s="2">
        <v>41919</v>
      </c>
      <c r="Q1677" s="2" t="b">
        <f t="shared" si="80"/>
        <v>0</v>
      </c>
      <c r="V1677" s="2"/>
      <c r="W1677" s="2"/>
      <c r="X1677" s="2"/>
      <c r="Y1677" s="2"/>
      <c r="Z1677" s="2"/>
      <c r="AA1677" s="2"/>
      <c r="AB1677" s="2"/>
      <c r="AC1677" s="2"/>
      <c r="AD1677" s="2"/>
      <c r="AE1677" s="2"/>
      <c r="AF1677" s="2"/>
      <c r="AG1677" s="2"/>
      <c r="AH1677" s="2"/>
      <c r="AI1677" s="2"/>
    </row>
    <row r="1678" spans="1:35" ht="14.25" customHeight="1" x14ac:dyDescent="0.2">
      <c r="A1678" s="1">
        <v>57511</v>
      </c>
      <c r="B1678" s="1" t="s">
        <v>1469</v>
      </c>
      <c r="C1678" s="1" t="s">
        <v>21</v>
      </c>
      <c r="D1678" s="2">
        <v>41918</v>
      </c>
      <c r="E1678" s="1" t="s">
        <v>38</v>
      </c>
      <c r="F1678" s="1" t="s">
        <v>748</v>
      </c>
      <c r="G1678" s="1">
        <v>11</v>
      </c>
      <c r="H1678" s="1">
        <v>55.99</v>
      </c>
      <c r="I1678" s="1">
        <f t="shared" si="78"/>
        <v>615.89</v>
      </c>
      <c r="J1678" t="str">
        <f t="shared" si="79"/>
        <v>Low</v>
      </c>
      <c r="K1678" s="1"/>
      <c r="L1678" s="1">
        <v>0</v>
      </c>
      <c r="M1678" s="1">
        <v>5</v>
      </c>
      <c r="N1678" s="1" t="s">
        <v>33</v>
      </c>
      <c r="O1678" s="1" t="s">
        <v>84</v>
      </c>
      <c r="P1678" s="2">
        <v>41920</v>
      </c>
      <c r="Q1678" s="2" t="b">
        <f t="shared" si="80"/>
        <v>0</v>
      </c>
      <c r="V1678" s="2"/>
      <c r="W1678" s="2"/>
      <c r="X1678" s="2"/>
      <c r="Y1678" s="2"/>
      <c r="Z1678" s="2"/>
      <c r="AA1678" s="2"/>
      <c r="AB1678" s="2"/>
      <c r="AC1678" s="2"/>
      <c r="AD1678" s="2"/>
      <c r="AE1678" s="2"/>
      <c r="AF1678" s="2"/>
      <c r="AG1678" s="2"/>
      <c r="AH1678" s="2"/>
      <c r="AI1678" s="2"/>
    </row>
    <row r="1679" spans="1:35" ht="14.25" customHeight="1" x14ac:dyDescent="0.2">
      <c r="A1679" s="1">
        <v>47520</v>
      </c>
      <c r="B1679" s="1" t="s">
        <v>192</v>
      </c>
      <c r="C1679" s="1" t="s">
        <v>21</v>
      </c>
      <c r="D1679" s="2">
        <v>41919</v>
      </c>
      <c r="E1679" s="1" t="s">
        <v>22</v>
      </c>
      <c r="F1679" s="1" t="s">
        <v>109</v>
      </c>
      <c r="G1679" s="1">
        <v>36</v>
      </c>
      <c r="H1679" s="1">
        <v>7.68</v>
      </c>
      <c r="I1679" s="1">
        <f t="shared" si="78"/>
        <v>276.48</v>
      </c>
      <c r="J1679" t="str">
        <f t="shared" si="79"/>
        <v>Low</v>
      </c>
      <c r="K1679" s="1"/>
      <c r="L1679" s="1">
        <v>0.09</v>
      </c>
      <c r="M1679" s="1">
        <v>6.16</v>
      </c>
      <c r="N1679" s="1" t="s">
        <v>33</v>
      </c>
      <c r="O1679" s="1" t="s">
        <v>34</v>
      </c>
      <c r="P1679" s="2">
        <v>41921</v>
      </c>
      <c r="Q1679" s="2" t="b">
        <f t="shared" si="80"/>
        <v>0</v>
      </c>
      <c r="V1679" s="2"/>
      <c r="W1679" s="2"/>
      <c r="X1679" s="2"/>
      <c r="Y1679" s="2"/>
      <c r="Z1679" s="2"/>
      <c r="AA1679" s="2"/>
      <c r="AB1679" s="2"/>
      <c r="AC1679" s="2"/>
      <c r="AD1679" s="2"/>
      <c r="AE1679" s="2"/>
      <c r="AF1679" s="2"/>
      <c r="AG1679" s="2"/>
      <c r="AH1679" s="2"/>
      <c r="AI1679" s="2"/>
    </row>
    <row r="1680" spans="1:35" ht="14.25" customHeight="1" x14ac:dyDescent="0.2">
      <c r="A1680" s="1">
        <v>47520</v>
      </c>
      <c r="B1680" s="1" t="s">
        <v>192</v>
      </c>
      <c r="C1680" s="1" t="s">
        <v>51</v>
      </c>
      <c r="D1680" s="2">
        <v>41919</v>
      </c>
      <c r="E1680" s="1" t="s">
        <v>22</v>
      </c>
      <c r="F1680" s="1" t="s">
        <v>44</v>
      </c>
      <c r="G1680" s="1">
        <v>13</v>
      </c>
      <c r="H1680" s="1">
        <v>291.73</v>
      </c>
      <c r="I1680" s="1">
        <f t="shared" si="78"/>
        <v>3792.4900000000002</v>
      </c>
      <c r="J1680" t="str">
        <f t="shared" si="79"/>
        <v>High</v>
      </c>
      <c r="K1680" s="1"/>
      <c r="L1680" s="1">
        <v>0.05</v>
      </c>
      <c r="M1680" s="1">
        <v>48.8</v>
      </c>
      <c r="N1680" s="1" t="s">
        <v>45</v>
      </c>
      <c r="O1680" s="1" t="s">
        <v>46</v>
      </c>
      <c r="P1680" s="2">
        <v>41921</v>
      </c>
      <c r="Q1680" s="2" t="b">
        <f t="shared" si="80"/>
        <v>0</v>
      </c>
      <c r="V1680" s="2"/>
      <c r="W1680" s="2"/>
      <c r="X1680" s="2"/>
      <c r="Y1680" s="2"/>
      <c r="Z1680" s="2"/>
      <c r="AA1680" s="2"/>
      <c r="AB1680" s="2"/>
      <c r="AC1680" s="2"/>
      <c r="AD1680" s="2"/>
      <c r="AE1680" s="2"/>
      <c r="AF1680" s="2"/>
      <c r="AG1680" s="2"/>
      <c r="AH1680" s="2"/>
      <c r="AI1680" s="2"/>
    </row>
    <row r="1681" spans="1:35" ht="14.25" customHeight="1" x14ac:dyDescent="0.2">
      <c r="A1681" s="1">
        <v>47520</v>
      </c>
      <c r="B1681" s="1" t="s">
        <v>192</v>
      </c>
      <c r="C1681" s="1" t="s">
        <v>30</v>
      </c>
      <c r="D1681" s="2">
        <v>41919</v>
      </c>
      <c r="E1681" s="1" t="s">
        <v>22</v>
      </c>
      <c r="F1681" s="1" t="s">
        <v>867</v>
      </c>
      <c r="G1681" s="1">
        <v>47</v>
      </c>
      <c r="H1681" s="1">
        <v>19.98</v>
      </c>
      <c r="I1681" s="1">
        <f t="shared" si="78"/>
        <v>939.06000000000006</v>
      </c>
      <c r="J1681" t="str">
        <f t="shared" si="79"/>
        <v>Low</v>
      </c>
      <c r="K1681" s="1"/>
      <c r="L1681" s="1">
        <v>0.04</v>
      </c>
      <c r="M1681" s="1">
        <v>5.77</v>
      </c>
      <c r="N1681" s="1" t="s">
        <v>33</v>
      </c>
      <c r="O1681" s="1" t="s">
        <v>34</v>
      </c>
      <c r="P1681" s="2">
        <v>41921</v>
      </c>
      <c r="Q1681" s="2" t="b">
        <f t="shared" si="80"/>
        <v>0</v>
      </c>
      <c r="V1681" s="2"/>
      <c r="W1681" s="2"/>
      <c r="X1681" s="2"/>
      <c r="Y1681" s="2"/>
      <c r="Z1681" s="2"/>
      <c r="AA1681" s="2"/>
      <c r="AB1681" s="2"/>
      <c r="AC1681" s="2"/>
      <c r="AD1681" s="2"/>
      <c r="AE1681" s="2"/>
      <c r="AF1681" s="2"/>
      <c r="AG1681" s="2"/>
      <c r="AH1681" s="2"/>
      <c r="AI1681" s="2"/>
    </row>
    <row r="1682" spans="1:35" ht="14.25" customHeight="1" x14ac:dyDescent="0.2">
      <c r="A1682" s="1">
        <v>26016</v>
      </c>
      <c r="B1682" s="1" t="s">
        <v>1481</v>
      </c>
      <c r="C1682" s="1" t="s">
        <v>21</v>
      </c>
      <c r="D1682" s="2">
        <v>41919</v>
      </c>
      <c r="E1682" s="1" t="s">
        <v>31</v>
      </c>
      <c r="F1682" s="1" t="s">
        <v>1021</v>
      </c>
      <c r="G1682" s="1">
        <v>2</v>
      </c>
      <c r="H1682" s="1">
        <v>77.510000000000005</v>
      </c>
      <c r="I1682" s="1">
        <f t="shared" si="78"/>
        <v>155.02000000000001</v>
      </c>
      <c r="J1682" t="str">
        <f t="shared" si="79"/>
        <v>Low</v>
      </c>
      <c r="K1682" s="1"/>
      <c r="L1682" s="1">
        <v>0.09</v>
      </c>
      <c r="M1682" s="1">
        <v>4</v>
      </c>
      <c r="N1682" s="1" t="s">
        <v>33</v>
      </c>
      <c r="O1682" s="1" t="s">
        <v>34</v>
      </c>
      <c r="P1682" s="2">
        <v>41921</v>
      </c>
      <c r="Q1682" s="2" t="b">
        <f t="shared" si="80"/>
        <v>0</v>
      </c>
      <c r="V1682" s="2"/>
      <c r="W1682" s="2"/>
      <c r="X1682" s="2"/>
      <c r="Y1682" s="2"/>
      <c r="Z1682" s="2"/>
      <c r="AA1682" s="2"/>
      <c r="AB1682" s="2"/>
      <c r="AC1682" s="2"/>
      <c r="AD1682" s="2"/>
      <c r="AE1682" s="2"/>
      <c r="AF1682" s="2"/>
      <c r="AG1682" s="2"/>
      <c r="AH1682" s="2"/>
      <c r="AI1682" s="2"/>
    </row>
    <row r="1683" spans="1:35" ht="14.25" customHeight="1" x14ac:dyDescent="0.2">
      <c r="A1683" s="1">
        <v>26016</v>
      </c>
      <c r="B1683" s="1" t="s">
        <v>1481</v>
      </c>
      <c r="C1683" s="1" t="s">
        <v>51</v>
      </c>
      <c r="D1683" s="2">
        <v>41919</v>
      </c>
      <c r="E1683" s="1" t="s">
        <v>31</v>
      </c>
      <c r="F1683" s="1" t="s">
        <v>561</v>
      </c>
      <c r="G1683" s="1">
        <v>44</v>
      </c>
      <c r="H1683" s="1">
        <v>45.99</v>
      </c>
      <c r="I1683" s="1">
        <f t="shared" si="78"/>
        <v>2023.5600000000002</v>
      </c>
      <c r="J1683" t="str">
        <f t="shared" si="79"/>
        <v>High</v>
      </c>
      <c r="K1683" s="1"/>
      <c r="L1683" s="1">
        <v>0.08</v>
      </c>
      <c r="M1683" s="1">
        <v>4.99</v>
      </c>
      <c r="N1683" s="1" t="s">
        <v>25</v>
      </c>
      <c r="O1683" s="1" t="s">
        <v>34</v>
      </c>
      <c r="P1683" s="2">
        <v>41921</v>
      </c>
      <c r="Q1683" s="2" t="b">
        <f t="shared" si="80"/>
        <v>0</v>
      </c>
      <c r="V1683" s="2"/>
      <c r="W1683" s="2"/>
      <c r="X1683" s="2"/>
      <c r="Y1683" s="2"/>
      <c r="Z1683" s="2"/>
      <c r="AA1683" s="2"/>
      <c r="AB1683" s="2"/>
      <c r="AC1683" s="2"/>
      <c r="AD1683" s="2"/>
      <c r="AE1683" s="2"/>
      <c r="AF1683" s="2"/>
      <c r="AG1683" s="2"/>
      <c r="AH1683" s="2"/>
      <c r="AI1683" s="2"/>
    </row>
    <row r="1684" spans="1:35" ht="14.25" customHeight="1" x14ac:dyDescent="0.2">
      <c r="A1684" s="1">
        <v>8162</v>
      </c>
      <c r="B1684" s="1" t="s">
        <v>1013</v>
      </c>
      <c r="C1684" s="1" t="s">
        <v>30</v>
      </c>
      <c r="D1684" s="2">
        <v>41919</v>
      </c>
      <c r="E1684" s="1" t="s">
        <v>101</v>
      </c>
      <c r="F1684" s="1" t="s">
        <v>940</v>
      </c>
      <c r="G1684" s="1">
        <v>25</v>
      </c>
      <c r="H1684" s="1">
        <v>27.48</v>
      </c>
      <c r="I1684" s="1">
        <f t="shared" si="78"/>
        <v>687</v>
      </c>
      <c r="J1684" t="str">
        <f t="shared" si="79"/>
        <v>Low</v>
      </c>
      <c r="K1684" s="1"/>
      <c r="L1684" s="1">
        <v>0.03</v>
      </c>
      <c r="M1684" s="1">
        <v>4</v>
      </c>
      <c r="N1684" s="1" t="s">
        <v>33</v>
      </c>
      <c r="O1684" s="1" t="s">
        <v>34</v>
      </c>
      <c r="P1684" s="2">
        <v>41920</v>
      </c>
      <c r="Q1684" s="2" t="b">
        <f t="shared" si="80"/>
        <v>0</v>
      </c>
      <c r="V1684" s="2"/>
      <c r="W1684" s="2"/>
      <c r="X1684" s="2"/>
      <c r="Y1684" s="2"/>
      <c r="Z1684" s="2"/>
      <c r="AA1684" s="2"/>
      <c r="AB1684" s="2"/>
      <c r="AC1684" s="2"/>
      <c r="AD1684" s="2"/>
      <c r="AE1684" s="2"/>
      <c r="AF1684" s="2"/>
      <c r="AG1684" s="2"/>
      <c r="AH1684" s="2"/>
      <c r="AI1684" s="2"/>
    </row>
    <row r="1685" spans="1:35" ht="14.25" customHeight="1" x14ac:dyDescent="0.2">
      <c r="A1685" s="1">
        <v>8162</v>
      </c>
      <c r="B1685" s="1" t="s">
        <v>1013</v>
      </c>
      <c r="C1685" s="1" t="s">
        <v>30</v>
      </c>
      <c r="D1685" s="2">
        <v>41919</v>
      </c>
      <c r="E1685" s="1" t="s">
        <v>101</v>
      </c>
      <c r="F1685" s="1" t="s">
        <v>301</v>
      </c>
      <c r="G1685" s="1">
        <v>32</v>
      </c>
      <c r="H1685" s="1">
        <v>179.99</v>
      </c>
      <c r="I1685" s="1">
        <f t="shared" si="78"/>
        <v>5759.68</v>
      </c>
      <c r="J1685" t="str">
        <f t="shared" si="79"/>
        <v>High</v>
      </c>
      <c r="K1685" s="1"/>
      <c r="L1685" s="1">
        <v>0.1</v>
      </c>
      <c r="M1685" s="1">
        <v>19.989999999999998</v>
      </c>
      <c r="N1685" s="1" t="s">
        <v>33</v>
      </c>
      <c r="O1685" s="1" t="s">
        <v>34</v>
      </c>
      <c r="P1685" s="2">
        <v>41920</v>
      </c>
      <c r="Q1685" s="2" t="b">
        <f t="shared" si="80"/>
        <v>0</v>
      </c>
      <c r="V1685" s="2"/>
      <c r="W1685" s="2"/>
      <c r="X1685" s="2"/>
      <c r="Y1685" s="2"/>
      <c r="Z1685" s="2"/>
      <c r="AA1685" s="2"/>
      <c r="AB1685" s="2"/>
      <c r="AC1685" s="2"/>
      <c r="AD1685" s="2"/>
      <c r="AE1685" s="2"/>
      <c r="AF1685" s="2"/>
      <c r="AG1685" s="2"/>
      <c r="AH1685" s="2"/>
      <c r="AI1685" s="2"/>
    </row>
    <row r="1686" spans="1:35" ht="14.25" customHeight="1" x14ac:dyDescent="0.2">
      <c r="A1686" s="1">
        <v>8162</v>
      </c>
      <c r="B1686" s="1" t="s">
        <v>1013</v>
      </c>
      <c r="C1686" s="1" t="s">
        <v>51</v>
      </c>
      <c r="D1686" s="2">
        <v>41919</v>
      </c>
      <c r="E1686" s="1" t="s">
        <v>101</v>
      </c>
      <c r="F1686" s="1" t="s">
        <v>1482</v>
      </c>
      <c r="G1686" s="1">
        <v>42</v>
      </c>
      <c r="H1686" s="1">
        <v>140.85</v>
      </c>
      <c r="I1686" s="1">
        <f t="shared" si="78"/>
        <v>5915.7</v>
      </c>
      <c r="J1686" t="str">
        <f t="shared" si="79"/>
        <v>High</v>
      </c>
      <c r="K1686" s="1"/>
      <c r="L1686" s="1">
        <v>0.1</v>
      </c>
      <c r="M1686" s="1">
        <v>19.989999999999998</v>
      </c>
      <c r="N1686" s="1" t="s">
        <v>33</v>
      </c>
      <c r="O1686" s="1" t="s">
        <v>34</v>
      </c>
      <c r="P1686" s="2">
        <v>41921</v>
      </c>
      <c r="Q1686" s="2" t="b">
        <f t="shared" si="80"/>
        <v>0</v>
      </c>
      <c r="V1686" s="2"/>
      <c r="W1686" s="2"/>
      <c r="X1686" s="2"/>
      <c r="Y1686" s="2"/>
      <c r="Z1686" s="2"/>
      <c r="AA1686" s="2"/>
      <c r="AB1686" s="2"/>
      <c r="AC1686" s="2"/>
      <c r="AD1686" s="2"/>
      <c r="AE1686" s="2"/>
      <c r="AF1686" s="2"/>
      <c r="AG1686" s="2"/>
      <c r="AH1686" s="2"/>
      <c r="AI1686" s="2"/>
    </row>
    <row r="1687" spans="1:35" ht="14.25" customHeight="1" x14ac:dyDescent="0.2">
      <c r="A1687" s="1">
        <v>46533</v>
      </c>
      <c r="B1687" s="1" t="s">
        <v>1483</v>
      </c>
      <c r="C1687" s="1" t="s">
        <v>51</v>
      </c>
      <c r="D1687" s="2">
        <v>41919</v>
      </c>
      <c r="E1687" s="1" t="s">
        <v>31</v>
      </c>
      <c r="F1687" s="1" t="s">
        <v>963</v>
      </c>
      <c r="G1687" s="1">
        <v>3</v>
      </c>
      <c r="H1687" s="1">
        <v>55.5</v>
      </c>
      <c r="I1687" s="1">
        <f t="shared" si="78"/>
        <v>166.5</v>
      </c>
      <c r="J1687" t="str">
        <f t="shared" si="79"/>
        <v>Low</v>
      </c>
      <c r="K1687" s="1"/>
      <c r="L1687" s="1">
        <v>0.04</v>
      </c>
      <c r="M1687" s="1">
        <v>52.2</v>
      </c>
      <c r="N1687" s="1" t="s">
        <v>33</v>
      </c>
      <c r="O1687" s="1" t="s">
        <v>72</v>
      </c>
      <c r="P1687" s="2">
        <v>41920</v>
      </c>
      <c r="Q1687" s="2" t="b">
        <f t="shared" si="80"/>
        <v>0</v>
      </c>
      <c r="V1687" s="2"/>
      <c r="W1687" s="2"/>
      <c r="X1687" s="2"/>
      <c r="Y1687" s="2"/>
      <c r="Z1687" s="2"/>
      <c r="AA1687" s="2"/>
      <c r="AB1687" s="2"/>
      <c r="AC1687" s="2"/>
      <c r="AD1687" s="2"/>
      <c r="AE1687" s="2"/>
      <c r="AF1687" s="2"/>
      <c r="AG1687" s="2"/>
      <c r="AH1687" s="2"/>
      <c r="AI1687" s="2"/>
    </row>
    <row r="1688" spans="1:35" ht="14.25" customHeight="1" x14ac:dyDescent="0.2">
      <c r="A1688" s="1">
        <v>46533</v>
      </c>
      <c r="B1688" s="1" t="s">
        <v>1483</v>
      </c>
      <c r="C1688" s="1" t="s">
        <v>30</v>
      </c>
      <c r="D1688" s="2">
        <v>41919</v>
      </c>
      <c r="E1688" s="1" t="s">
        <v>31</v>
      </c>
      <c r="F1688" s="1" t="s">
        <v>408</v>
      </c>
      <c r="G1688" s="1">
        <v>12</v>
      </c>
      <c r="H1688" s="1">
        <v>65.989999999999995</v>
      </c>
      <c r="I1688" s="1">
        <f t="shared" si="78"/>
        <v>791.87999999999988</v>
      </c>
      <c r="J1688" t="str">
        <f t="shared" si="79"/>
        <v>Low</v>
      </c>
      <c r="K1688" s="1"/>
      <c r="L1688" s="1">
        <v>0.1</v>
      </c>
      <c r="M1688" s="1">
        <v>3.99</v>
      </c>
      <c r="N1688" s="1" t="s">
        <v>25</v>
      </c>
      <c r="O1688" s="1" t="s">
        <v>34</v>
      </c>
      <c r="P1688" s="2">
        <v>41921</v>
      </c>
      <c r="Q1688" s="2" t="b">
        <f t="shared" si="80"/>
        <v>0</v>
      </c>
      <c r="V1688" s="2"/>
      <c r="W1688" s="2"/>
      <c r="X1688" s="2"/>
      <c r="Y1688" s="2"/>
      <c r="Z1688" s="2"/>
      <c r="AA1688" s="2"/>
      <c r="AB1688" s="2"/>
      <c r="AC1688" s="2"/>
      <c r="AD1688" s="2"/>
      <c r="AE1688" s="2"/>
      <c r="AF1688" s="2"/>
      <c r="AG1688" s="2"/>
      <c r="AH1688" s="2"/>
      <c r="AI1688" s="2"/>
    </row>
    <row r="1689" spans="1:35" ht="14.25" customHeight="1" x14ac:dyDescent="0.2">
      <c r="A1689" s="1">
        <v>28675</v>
      </c>
      <c r="B1689" s="1" t="s">
        <v>1375</v>
      </c>
      <c r="C1689" s="1" t="s">
        <v>51</v>
      </c>
      <c r="D1689" s="2">
        <v>41920</v>
      </c>
      <c r="E1689" s="1" t="s">
        <v>38</v>
      </c>
      <c r="F1689" s="1" t="s">
        <v>1204</v>
      </c>
      <c r="G1689" s="1">
        <v>15</v>
      </c>
      <c r="H1689" s="1">
        <v>65.989999999999995</v>
      </c>
      <c r="I1689" s="1">
        <f t="shared" si="78"/>
        <v>989.84999999999991</v>
      </c>
      <c r="J1689" t="str">
        <f t="shared" si="79"/>
        <v>Low</v>
      </c>
      <c r="K1689" s="1"/>
      <c r="L1689" s="1">
        <v>0.1</v>
      </c>
      <c r="M1689" s="1">
        <v>5.92</v>
      </c>
      <c r="N1689" s="1" t="s">
        <v>33</v>
      </c>
      <c r="O1689" s="1" t="s">
        <v>34</v>
      </c>
      <c r="P1689" s="2">
        <v>41921</v>
      </c>
      <c r="Q1689" s="2" t="b">
        <f t="shared" si="80"/>
        <v>0</v>
      </c>
      <c r="V1689" s="2"/>
      <c r="W1689" s="2"/>
      <c r="X1689" s="2"/>
      <c r="Y1689" s="2"/>
      <c r="Z1689" s="2"/>
      <c r="AA1689" s="2"/>
      <c r="AB1689" s="2"/>
      <c r="AC1689" s="2"/>
      <c r="AD1689" s="2"/>
      <c r="AE1689" s="2"/>
      <c r="AF1689" s="2"/>
      <c r="AG1689" s="2"/>
      <c r="AH1689" s="2"/>
      <c r="AI1689" s="2"/>
    </row>
    <row r="1690" spans="1:35" ht="14.25" customHeight="1" x14ac:dyDescent="0.2">
      <c r="A1690" s="1">
        <v>36739</v>
      </c>
      <c r="B1690" s="1" t="s">
        <v>686</v>
      </c>
      <c r="C1690" s="1" t="s">
        <v>51</v>
      </c>
      <c r="D1690" s="2">
        <v>41920</v>
      </c>
      <c r="E1690" s="1" t="s">
        <v>22</v>
      </c>
      <c r="F1690" s="1" t="s">
        <v>706</v>
      </c>
      <c r="G1690" s="1">
        <v>16</v>
      </c>
      <c r="H1690" s="1">
        <v>3.98</v>
      </c>
      <c r="I1690" s="1">
        <f t="shared" si="78"/>
        <v>63.68</v>
      </c>
      <c r="J1690" t="str">
        <f t="shared" si="79"/>
        <v>Low</v>
      </c>
      <c r="K1690" s="1"/>
      <c r="L1690" s="1">
        <v>7.0000000000000007E-2</v>
      </c>
      <c r="M1690" s="1">
        <v>5.26</v>
      </c>
      <c r="N1690" s="1" t="s">
        <v>33</v>
      </c>
      <c r="O1690" s="1" t="s">
        <v>34</v>
      </c>
      <c r="P1690" s="2">
        <v>41922</v>
      </c>
      <c r="Q1690" s="2" t="b">
        <f t="shared" si="80"/>
        <v>0</v>
      </c>
      <c r="V1690" s="2"/>
      <c r="W1690" s="2"/>
      <c r="X1690" s="2"/>
      <c r="Y1690" s="2"/>
      <c r="Z1690" s="2"/>
      <c r="AA1690" s="2"/>
      <c r="AB1690" s="2"/>
      <c r="AC1690" s="2"/>
      <c r="AD1690" s="2"/>
      <c r="AE1690" s="2"/>
      <c r="AF1690" s="2"/>
      <c r="AG1690" s="2"/>
      <c r="AH1690" s="2"/>
      <c r="AI1690" s="2"/>
    </row>
    <row r="1691" spans="1:35" ht="14.25" customHeight="1" x14ac:dyDescent="0.2">
      <c r="A1691" s="1">
        <v>36739</v>
      </c>
      <c r="B1691" s="1" t="s">
        <v>686</v>
      </c>
      <c r="C1691" s="1" t="s">
        <v>21</v>
      </c>
      <c r="D1691" s="2">
        <v>41920</v>
      </c>
      <c r="E1691" s="1" t="s">
        <v>22</v>
      </c>
      <c r="F1691" s="1" t="s">
        <v>435</v>
      </c>
      <c r="G1691" s="1">
        <v>27</v>
      </c>
      <c r="H1691" s="1">
        <v>12.22</v>
      </c>
      <c r="I1691" s="1">
        <f t="shared" si="78"/>
        <v>329.94</v>
      </c>
      <c r="J1691" t="str">
        <f t="shared" si="79"/>
        <v>Low</v>
      </c>
      <c r="K1691" s="1"/>
      <c r="L1691" s="1">
        <v>7.0000000000000007E-2</v>
      </c>
      <c r="M1691" s="1">
        <v>2.85</v>
      </c>
      <c r="N1691" s="1" t="s">
        <v>33</v>
      </c>
      <c r="O1691" s="1" t="s">
        <v>84</v>
      </c>
      <c r="P1691" s="2">
        <v>41920</v>
      </c>
      <c r="Q1691" s="2" t="b">
        <f t="shared" si="80"/>
        <v>0</v>
      </c>
      <c r="V1691" s="2"/>
      <c r="W1691" s="2"/>
      <c r="X1691" s="2"/>
      <c r="Y1691" s="2"/>
      <c r="Z1691" s="2"/>
      <c r="AA1691" s="2"/>
      <c r="AB1691" s="2"/>
      <c r="AC1691" s="2"/>
      <c r="AD1691" s="2"/>
      <c r="AE1691" s="2"/>
      <c r="AF1691" s="2"/>
      <c r="AG1691" s="2"/>
      <c r="AH1691" s="2"/>
      <c r="AI1691" s="2"/>
    </row>
    <row r="1692" spans="1:35" ht="14.25" customHeight="1" x14ac:dyDescent="0.2">
      <c r="A1692" s="1">
        <v>35136</v>
      </c>
      <c r="B1692" s="1" t="s">
        <v>853</v>
      </c>
      <c r="C1692" s="1" t="s">
        <v>51</v>
      </c>
      <c r="D1692" s="2">
        <v>41920</v>
      </c>
      <c r="E1692" s="1" t="s">
        <v>38</v>
      </c>
      <c r="F1692" s="1" t="s">
        <v>1484</v>
      </c>
      <c r="G1692" s="1">
        <v>23</v>
      </c>
      <c r="H1692" s="1">
        <v>2.94</v>
      </c>
      <c r="I1692" s="1">
        <f t="shared" si="78"/>
        <v>67.62</v>
      </c>
      <c r="J1692" t="str">
        <f t="shared" si="79"/>
        <v>Low</v>
      </c>
      <c r="K1692" s="1"/>
      <c r="L1692" s="1">
        <v>7.0000000000000007E-2</v>
      </c>
      <c r="M1692" s="1">
        <v>0.81</v>
      </c>
      <c r="N1692" s="1" t="s">
        <v>33</v>
      </c>
      <c r="O1692" s="1" t="s">
        <v>55</v>
      </c>
      <c r="P1692" s="2">
        <v>41921</v>
      </c>
      <c r="Q1692" s="2" t="b">
        <f t="shared" si="80"/>
        <v>0</v>
      </c>
      <c r="V1692" s="2"/>
      <c r="W1692" s="2"/>
      <c r="X1692" s="2"/>
      <c r="Y1692" s="2"/>
      <c r="Z1692" s="2"/>
      <c r="AA1692" s="2"/>
      <c r="AB1692" s="2"/>
      <c r="AC1692" s="2"/>
      <c r="AD1692" s="2"/>
      <c r="AE1692" s="2"/>
      <c r="AF1692" s="2"/>
      <c r="AG1692" s="2"/>
      <c r="AH1692" s="2"/>
      <c r="AI1692" s="2"/>
    </row>
    <row r="1693" spans="1:35" ht="14.25" customHeight="1" x14ac:dyDescent="0.2">
      <c r="A1693" s="1">
        <v>50147</v>
      </c>
      <c r="B1693" s="1" t="s">
        <v>560</v>
      </c>
      <c r="C1693" s="1" t="s">
        <v>51</v>
      </c>
      <c r="D1693" s="2">
        <v>41920</v>
      </c>
      <c r="E1693" s="1" t="s">
        <v>101</v>
      </c>
      <c r="F1693" s="1" t="s">
        <v>1485</v>
      </c>
      <c r="G1693" s="1">
        <v>42</v>
      </c>
      <c r="H1693" s="1">
        <v>35.89</v>
      </c>
      <c r="I1693" s="1">
        <f t="shared" si="78"/>
        <v>1507.38</v>
      </c>
      <c r="J1693" t="str">
        <f t="shared" si="79"/>
        <v>High</v>
      </c>
      <c r="K1693" s="1"/>
      <c r="L1693" s="1">
        <v>0.05</v>
      </c>
      <c r="M1693" s="1">
        <v>14.72</v>
      </c>
      <c r="N1693" s="1" t="s">
        <v>33</v>
      </c>
      <c r="O1693" s="1" t="s">
        <v>34</v>
      </c>
      <c r="P1693" s="2">
        <v>41921</v>
      </c>
      <c r="Q1693" s="2" t="b">
        <f t="shared" si="80"/>
        <v>0</v>
      </c>
      <c r="V1693" s="2"/>
      <c r="W1693" s="2"/>
      <c r="X1693" s="2"/>
      <c r="Y1693" s="2"/>
      <c r="Z1693" s="2"/>
      <c r="AA1693" s="2"/>
      <c r="AB1693" s="2"/>
      <c r="AC1693" s="2"/>
      <c r="AD1693" s="2"/>
      <c r="AE1693" s="2"/>
      <c r="AF1693" s="2"/>
      <c r="AG1693" s="2"/>
      <c r="AH1693" s="2"/>
      <c r="AI1693" s="2"/>
    </row>
    <row r="1694" spans="1:35" ht="14.25" customHeight="1" x14ac:dyDescent="0.2">
      <c r="A1694" s="1">
        <v>50147</v>
      </c>
      <c r="B1694" s="1" t="s">
        <v>560</v>
      </c>
      <c r="C1694" s="1" t="s">
        <v>51</v>
      </c>
      <c r="D1694" s="2">
        <v>41920</v>
      </c>
      <c r="E1694" s="1" t="s">
        <v>101</v>
      </c>
      <c r="F1694" s="1" t="s">
        <v>1486</v>
      </c>
      <c r="G1694" s="1">
        <v>13</v>
      </c>
      <c r="H1694" s="1">
        <v>11.48</v>
      </c>
      <c r="I1694" s="1">
        <f t="shared" si="78"/>
        <v>149.24</v>
      </c>
      <c r="J1694" t="str">
        <f t="shared" si="79"/>
        <v>Low</v>
      </c>
      <c r="K1694" s="1"/>
      <c r="L1694" s="1">
        <v>0</v>
      </c>
      <c r="M1694" s="1">
        <v>5.43</v>
      </c>
      <c r="N1694" s="1" t="s">
        <v>33</v>
      </c>
      <c r="O1694" s="1" t="s">
        <v>34</v>
      </c>
      <c r="P1694" s="2">
        <v>41920</v>
      </c>
      <c r="Q1694" s="2" t="b">
        <f t="shared" si="80"/>
        <v>0</v>
      </c>
      <c r="V1694" s="2"/>
      <c r="W1694" s="2"/>
      <c r="X1694" s="2"/>
      <c r="Y1694" s="2"/>
      <c r="Z1694" s="2"/>
      <c r="AA1694" s="2"/>
      <c r="AB1694" s="2"/>
      <c r="AC1694" s="2"/>
      <c r="AD1694" s="2"/>
      <c r="AE1694" s="2"/>
      <c r="AF1694" s="2"/>
      <c r="AG1694" s="2"/>
      <c r="AH1694" s="2"/>
      <c r="AI1694" s="2"/>
    </row>
    <row r="1695" spans="1:35" ht="14.25" customHeight="1" x14ac:dyDescent="0.2">
      <c r="A1695" s="1">
        <v>21541</v>
      </c>
      <c r="B1695" s="1" t="s">
        <v>577</v>
      </c>
      <c r="C1695" s="1" t="s">
        <v>51</v>
      </c>
      <c r="D1695" s="2">
        <v>41920</v>
      </c>
      <c r="E1695" s="1" t="s">
        <v>22</v>
      </c>
      <c r="F1695" s="1" t="s">
        <v>1487</v>
      </c>
      <c r="G1695" s="1">
        <v>43</v>
      </c>
      <c r="H1695" s="1">
        <v>70.98</v>
      </c>
      <c r="I1695" s="1">
        <f t="shared" si="78"/>
        <v>3052.1400000000003</v>
      </c>
      <c r="J1695" t="str">
        <f t="shared" si="79"/>
        <v>High</v>
      </c>
      <c r="K1695" s="1"/>
      <c r="L1695" s="1">
        <v>0.04</v>
      </c>
      <c r="M1695" s="1">
        <v>26.74</v>
      </c>
      <c r="N1695" s="1" t="s">
        <v>45</v>
      </c>
      <c r="O1695" s="1" t="s">
        <v>63</v>
      </c>
      <c r="P1695" s="2">
        <v>41922</v>
      </c>
      <c r="Q1695" s="2" t="b">
        <f t="shared" si="80"/>
        <v>0</v>
      </c>
      <c r="V1695" s="2"/>
      <c r="W1695" s="2"/>
      <c r="X1695" s="2"/>
      <c r="Y1695" s="2"/>
      <c r="Z1695" s="2"/>
      <c r="AA1695" s="2"/>
      <c r="AB1695" s="2"/>
      <c r="AC1695" s="2"/>
      <c r="AD1695" s="2"/>
      <c r="AE1695" s="2"/>
      <c r="AF1695" s="2"/>
      <c r="AG1695" s="2"/>
      <c r="AH1695" s="2"/>
      <c r="AI1695" s="2"/>
    </row>
    <row r="1696" spans="1:35" ht="14.25" customHeight="1" x14ac:dyDescent="0.2">
      <c r="A1696" s="1">
        <v>2791</v>
      </c>
      <c r="B1696" s="1" t="s">
        <v>352</v>
      </c>
      <c r="C1696" s="1" t="s">
        <v>30</v>
      </c>
      <c r="D1696" s="2">
        <v>41921</v>
      </c>
      <c r="E1696" s="1" t="s">
        <v>31</v>
      </c>
      <c r="F1696" s="1" t="s">
        <v>1252</v>
      </c>
      <c r="G1696" s="1">
        <v>47</v>
      </c>
      <c r="H1696" s="1">
        <v>3.89</v>
      </c>
      <c r="I1696" s="1">
        <f t="shared" si="78"/>
        <v>182.83</v>
      </c>
      <c r="J1696" t="str">
        <f t="shared" si="79"/>
        <v>Low</v>
      </c>
      <c r="K1696" s="1"/>
      <c r="L1696" s="1">
        <v>0</v>
      </c>
      <c r="M1696" s="1">
        <v>7.01</v>
      </c>
      <c r="N1696" s="1" t="s">
        <v>33</v>
      </c>
      <c r="O1696" s="1" t="s">
        <v>34</v>
      </c>
      <c r="P1696" s="2">
        <v>41921</v>
      </c>
      <c r="Q1696" s="2" t="b">
        <f t="shared" si="80"/>
        <v>0</v>
      </c>
      <c r="V1696" s="2"/>
      <c r="W1696" s="2"/>
      <c r="X1696" s="2"/>
      <c r="Y1696" s="2"/>
      <c r="Z1696" s="2"/>
      <c r="AA1696" s="2"/>
      <c r="AB1696" s="2"/>
      <c r="AC1696" s="2"/>
      <c r="AD1696" s="2"/>
      <c r="AE1696" s="2"/>
      <c r="AF1696" s="2"/>
      <c r="AG1696" s="2"/>
      <c r="AH1696" s="2"/>
      <c r="AI1696" s="2"/>
    </row>
    <row r="1697" spans="1:35" ht="14.25" customHeight="1" x14ac:dyDescent="0.2">
      <c r="A1697" s="1">
        <v>2791</v>
      </c>
      <c r="B1697" s="1" t="s">
        <v>352</v>
      </c>
      <c r="C1697" s="1" t="s">
        <v>51</v>
      </c>
      <c r="D1697" s="2">
        <v>41921</v>
      </c>
      <c r="E1697" s="1" t="s">
        <v>31</v>
      </c>
      <c r="F1697" s="1" t="s">
        <v>1052</v>
      </c>
      <c r="G1697" s="1">
        <v>49</v>
      </c>
      <c r="H1697" s="1">
        <v>120.98</v>
      </c>
      <c r="I1697" s="1">
        <f t="shared" si="78"/>
        <v>5928.02</v>
      </c>
      <c r="J1697" t="str">
        <f t="shared" si="79"/>
        <v>High</v>
      </c>
      <c r="K1697" s="1"/>
      <c r="L1697" s="1">
        <v>0.09</v>
      </c>
      <c r="M1697" s="1">
        <v>30</v>
      </c>
      <c r="N1697" s="1" t="s">
        <v>45</v>
      </c>
      <c r="O1697" s="1" t="s">
        <v>46</v>
      </c>
      <c r="P1697" s="2">
        <v>41923</v>
      </c>
      <c r="Q1697" s="2" t="b">
        <f t="shared" si="80"/>
        <v>0</v>
      </c>
      <c r="V1697" s="2"/>
      <c r="W1697" s="2"/>
      <c r="X1697" s="2"/>
      <c r="Y1697" s="2"/>
      <c r="Z1697" s="2"/>
      <c r="AA1697" s="2"/>
      <c r="AB1697" s="2"/>
      <c r="AC1697" s="2"/>
      <c r="AD1697" s="2"/>
      <c r="AE1697" s="2"/>
      <c r="AF1697" s="2"/>
      <c r="AG1697" s="2"/>
      <c r="AH1697" s="2"/>
      <c r="AI1697" s="2"/>
    </row>
    <row r="1698" spans="1:35" ht="14.25" customHeight="1" x14ac:dyDescent="0.2">
      <c r="A1698" s="1">
        <v>2791</v>
      </c>
      <c r="B1698" s="1" t="s">
        <v>352</v>
      </c>
      <c r="C1698" s="1" t="s">
        <v>51</v>
      </c>
      <c r="D1698" s="2">
        <v>41921</v>
      </c>
      <c r="E1698" s="1" t="s">
        <v>31</v>
      </c>
      <c r="F1698" s="1" t="s">
        <v>103</v>
      </c>
      <c r="G1698" s="1">
        <v>18</v>
      </c>
      <c r="H1698" s="1">
        <v>30.98</v>
      </c>
      <c r="I1698" s="1">
        <f t="shared" si="78"/>
        <v>557.64</v>
      </c>
      <c r="J1698" t="str">
        <f t="shared" si="79"/>
        <v>Low</v>
      </c>
      <c r="K1698" s="1"/>
      <c r="L1698" s="1">
        <v>0.1</v>
      </c>
      <c r="M1698" s="1">
        <v>5.76</v>
      </c>
      <c r="N1698" s="1" t="s">
        <v>33</v>
      </c>
      <c r="O1698" s="1" t="s">
        <v>34</v>
      </c>
      <c r="P1698" s="2">
        <v>41922</v>
      </c>
      <c r="Q1698" s="2" t="b">
        <f t="shared" si="80"/>
        <v>0</v>
      </c>
      <c r="V1698" s="2"/>
      <c r="W1698" s="2"/>
      <c r="X1698" s="2"/>
      <c r="Y1698" s="2"/>
      <c r="Z1698" s="2"/>
      <c r="AA1698" s="2"/>
      <c r="AB1698" s="2"/>
      <c r="AC1698" s="2"/>
      <c r="AD1698" s="2"/>
      <c r="AE1698" s="2"/>
      <c r="AF1698" s="2"/>
      <c r="AG1698" s="2"/>
      <c r="AH1698" s="2"/>
      <c r="AI1698" s="2"/>
    </row>
    <row r="1699" spans="1:35" ht="14.25" customHeight="1" x14ac:dyDescent="0.2">
      <c r="A1699" s="1">
        <v>18308</v>
      </c>
      <c r="B1699" s="1" t="s">
        <v>1312</v>
      </c>
      <c r="C1699" s="1" t="s">
        <v>30</v>
      </c>
      <c r="D1699" s="2">
        <v>41921</v>
      </c>
      <c r="E1699" s="1" t="s">
        <v>22</v>
      </c>
      <c r="F1699" s="1" t="s">
        <v>470</v>
      </c>
      <c r="G1699" s="1">
        <v>30</v>
      </c>
      <c r="H1699" s="1">
        <v>3.8</v>
      </c>
      <c r="I1699" s="1">
        <f t="shared" si="78"/>
        <v>114</v>
      </c>
      <c r="J1699" t="str">
        <f t="shared" si="79"/>
        <v>Low</v>
      </c>
      <c r="K1699" s="1"/>
      <c r="L1699" s="1">
        <v>0.05</v>
      </c>
      <c r="M1699" s="1">
        <v>1.49</v>
      </c>
      <c r="N1699" s="1" t="s">
        <v>33</v>
      </c>
      <c r="O1699" s="1" t="s">
        <v>34</v>
      </c>
      <c r="P1699" s="2">
        <v>41923</v>
      </c>
      <c r="Q1699" s="2" t="b">
        <f t="shared" si="80"/>
        <v>0</v>
      </c>
      <c r="V1699" s="2"/>
      <c r="W1699" s="2"/>
      <c r="X1699" s="2"/>
      <c r="Y1699" s="2"/>
      <c r="Z1699" s="2"/>
      <c r="AA1699" s="2"/>
      <c r="AB1699" s="2"/>
      <c r="AC1699" s="2"/>
      <c r="AD1699" s="2"/>
      <c r="AE1699" s="2"/>
      <c r="AF1699" s="2"/>
      <c r="AG1699" s="2"/>
      <c r="AH1699" s="2"/>
      <c r="AI1699" s="2"/>
    </row>
    <row r="1700" spans="1:35" ht="14.25" customHeight="1" x14ac:dyDescent="0.2">
      <c r="A1700" s="1">
        <v>18308</v>
      </c>
      <c r="B1700" s="1" t="s">
        <v>1312</v>
      </c>
      <c r="C1700" s="1" t="s">
        <v>21</v>
      </c>
      <c r="D1700" s="2">
        <v>41921</v>
      </c>
      <c r="E1700" s="1" t="s">
        <v>22</v>
      </c>
      <c r="F1700" s="1" t="s">
        <v>562</v>
      </c>
      <c r="G1700" s="1">
        <v>15</v>
      </c>
      <c r="H1700" s="1">
        <v>30.73</v>
      </c>
      <c r="I1700" s="1">
        <f t="shared" si="78"/>
        <v>460.95</v>
      </c>
      <c r="J1700" t="str">
        <f t="shared" si="79"/>
        <v>Low</v>
      </c>
      <c r="K1700" s="1"/>
      <c r="L1700" s="1">
        <v>0.09</v>
      </c>
      <c r="M1700" s="1">
        <v>4</v>
      </c>
      <c r="N1700" s="1" t="s">
        <v>33</v>
      </c>
      <c r="O1700" s="1" t="s">
        <v>34</v>
      </c>
      <c r="P1700" s="2">
        <v>41921</v>
      </c>
      <c r="Q1700" s="2" t="b">
        <f t="shared" si="80"/>
        <v>0</v>
      </c>
      <c r="V1700" s="2"/>
      <c r="W1700" s="2"/>
      <c r="X1700" s="2"/>
      <c r="Y1700" s="2"/>
      <c r="Z1700" s="2"/>
      <c r="AA1700" s="2"/>
      <c r="AB1700" s="2"/>
      <c r="AC1700" s="2"/>
      <c r="AD1700" s="2"/>
      <c r="AE1700" s="2"/>
      <c r="AF1700" s="2"/>
      <c r="AG1700" s="2"/>
      <c r="AH1700" s="2"/>
      <c r="AI1700" s="2"/>
    </row>
    <row r="1701" spans="1:35" ht="14.25" customHeight="1" x14ac:dyDescent="0.2">
      <c r="A1701" s="1">
        <v>18308</v>
      </c>
      <c r="B1701" s="1" t="s">
        <v>1312</v>
      </c>
      <c r="C1701" s="1" t="s">
        <v>21</v>
      </c>
      <c r="D1701" s="2">
        <v>41921</v>
      </c>
      <c r="E1701" s="1" t="s">
        <v>22</v>
      </c>
      <c r="F1701" s="1" t="s">
        <v>1144</v>
      </c>
      <c r="G1701" s="1">
        <v>49</v>
      </c>
      <c r="H1701" s="1">
        <v>125.99</v>
      </c>
      <c r="I1701" s="1">
        <f t="shared" si="78"/>
        <v>6173.5099999999993</v>
      </c>
      <c r="J1701" t="str">
        <f t="shared" si="79"/>
        <v>High</v>
      </c>
      <c r="K1701" s="1"/>
      <c r="L1701" s="1">
        <v>0</v>
      </c>
      <c r="M1701" s="1">
        <v>8.08</v>
      </c>
      <c r="N1701" s="1" t="s">
        <v>33</v>
      </c>
      <c r="O1701" s="1" t="s">
        <v>34</v>
      </c>
      <c r="P1701" s="2">
        <v>41922</v>
      </c>
      <c r="Q1701" s="2" t="b">
        <f t="shared" si="80"/>
        <v>0</v>
      </c>
      <c r="V1701" s="2"/>
      <c r="W1701" s="2"/>
      <c r="X1701" s="2"/>
      <c r="Y1701" s="2"/>
      <c r="Z1701" s="2"/>
      <c r="AA1701" s="2"/>
      <c r="AB1701" s="2"/>
      <c r="AC1701" s="2"/>
      <c r="AD1701" s="2"/>
      <c r="AE1701" s="2"/>
      <c r="AF1701" s="2"/>
      <c r="AG1701" s="2"/>
      <c r="AH1701" s="2"/>
      <c r="AI1701" s="2"/>
    </row>
    <row r="1702" spans="1:35" ht="14.25" customHeight="1" x14ac:dyDescent="0.2">
      <c r="A1702" s="1">
        <v>23008</v>
      </c>
      <c r="B1702" s="1" t="s">
        <v>1488</v>
      </c>
      <c r="C1702" s="1" t="s">
        <v>30</v>
      </c>
      <c r="D1702" s="2">
        <v>41921</v>
      </c>
      <c r="E1702" s="1" t="s">
        <v>38</v>
      </c>
      <c r="F1702" s="1" t="s">
        <v>552</v>
      </c>
      <c r="G1702" s="1">
        <v>10</v>
      </c>
      <c r="H1702" s="1">
        <v>120.98</v>
      </c>
      <c r="I1702" s="1">
        <f t="shared" si="78"/>
        <v>1209.8</v>
      </c>
      <c r="J1702" t="str">
        <f t="shared" si="79"/>
        <v>High</v>
      </c>
      <c r="K1702" s="1"/>
      <c r="L1702" s="1">
        <v>0.1</v>
      </c>
      <c r="M1702" s="1">
        <v>9.07</v>
      </c>
      <c r="N1702" s="1" t="s">
        <v>25</v>
      </c>
      <c r="O1702" s="1" t="s">
        <v>34</v>
      </c>
      <c r="P1702" s="2">
        <v>41923</v>
      </c>
      <c r="Q1702" s="2" t="b">
        <f t="shared" si="80"/>
        <v>0</v>
      </c>
      <c r="V1702" s="2"/>
      <c r="W1702" s="2"/>
      <c r="X1702" s="2"/>
      <c r="Y1702" s="2"/>
      <c r="Z1702" s="2"/>
      <c r="AA1702" s="2"/>
      <c r="AB1702" s="2"/>
      <c r="AC1702" s="2"/>
      <c r="AD1702" s="2"/>
      <c r="AE1702" s="2"/>
      <c r="AF1702" s="2"/>
      <c r="AG1702" s="2"/>
      <c r="AH1702" s="2"/>
      <c r="AI1702" s="2"/>
    </row>
    <row r="1703" spans="1:35" ht="14.25" customHeight="1" x14ac:dyDescent="0.2">
      <c r="A1703" s="1">
        <v>23008</v>
      </c>
      <c r="B1703" s="1" t="s">
        <v>1488</v>
      </c>
      <c r="C1703" s="1" t="s">
        <v>21</v>
      </c>
      <c r="D1703" s="2">
        <v>41921</v>
      </c>
      <c r="E1703" s="1" t="s">
        <v>38</v>
      </c>
      <c r="F1703" s="1" t="s">
        <v>682</v>
      </c>
      <c r="G1703" s="1">
        <v>2</v>
      </c>
      <c r="H1703" s="1">
        <v>152.47999999999999</v>
      </c>
      <c r="I1703" s="1">
        <f t="shared" si="78"/>
        <v>304.95999999999998</v>
      </c>
      <c r="J1703" t="str">
        <f t="shared" si="79"/>
        <v>Low</v>
      </c>
      <c r="K1703" s="1"/>
      <c r="L1703" s="1">
        <v>0.02</v>
      </c>
      <c r="M1703" s="1">
        <v>6.5</v>
      </c>
      <c r="N1703" s="1" t="s">
        <v>25</v>
      </c>
      <c r="O1703" s="1" t="s">
        <v>34</v>
      </c>
      <c r="P1703" s="2">
        <v>41923</v>
      </c>
      <c r="Q1703" s="2" t="b">
        <f t="shared" si="80"/>
        <v>0</v>
      </c>
      <c r="V1703" s="2"/>
      <c r="W1703" s="2"/>
      <c r="X1703" s="2"/>
      <c r="Y1703" s="2"/>
      <c r="Z1703" s="2"/>
      <c r="AA1703" s="2"/>
      <c r="AB1703" s="2"/>
      <c r="AC1703" s="2"/>
      <c r="AD1703" s="2"/>
      <c r="AE1703" s="2"/>
      <c r="AF1703" s="2"/>
      <c r="AG1703" s="2"/>
      <c r="AH1703" s="2"/>
      <c r="AI1703" s="2"/>
    </row>
    <row r="1704" spans="1:35" ht="14.25" customHeight="1" x14ac:dyDescent="0.2">
      <c r="A1704" s="1">
        <v>14785</v>
      </c>
      <c r="B1704" s="1" t="s">
        <v>442</v>
      </c>
      <c r="C1704" s="1" t="s">
        <v>51</v>
      </c>
      <c r="D1704" s="2">
        <v>41921</v>
      </c>
      <c r="E1704" s="1" t="s">
        <v>31</v>
      </c>
      <c r="F1704" s="1" t="s">
        <v>392</v>
      </c>
      <c r="G1704" s="1">
        <v>20</v>
      </c>
      <c r="H1704" s="1">
        <v>4.91</v>
      </c>
      <c r="I1704" s="1">
        <f t="shared" si="78"/>
        <v>98.2</v>
      </c>
      <c r="J1704" t="str">
        <f t="shared" si="79"/>
        <v>Low</v>
      </c>
      <c r="K1704" s="1"/>
      <c r="L1704" s="1">
        <v>0.08</v>
      </c>
      <c r="M1704" s="1">
        <v>0.5</v>
      </c>
      <c r="N1704" s="1" t="s">
        <v>33</v>
      </c>
      <c r="O1704" s="1" t="s">
        <v>34</v>
      </c>
      <c r="P1704" s="2">
        <v>41921</v>
      </c>
      <c r="Q1704" s="2" t="b">
        <f t="shared" si="80"/>
        <v>0</v>
      </c>
      <c r="V1704" s="2"/>
      <c r="W1704" s="2"/>
      <c r="X1704" s="2"/>
      <c r="Y1704" s="2"/>
      <c r="Z1704" s="2"/>
      <c r="AA1704" s="2"/>
      <c r="AB1704" s="2"/>
      <c r="AC1704" s="2"/>
      <c r="AD1704" s="2"/>
      <c r="AE1704" s="2"/>
      <c r="AF1704" s="2"/>
      <c r="AG1704" s="2"/>
      <c r="AH1704" s="2"/>
      <c r="AI1704" s="2"/>
    </row>
    <row r="1705" spans="1:35" ht="14.25" customHeight="1" x14ac:dyDescent="0.2">
      <c r="A1705" s="1">
        <v>14785</v>
      </c>
      <c r="B1705" s="1" t="s">
        <v>442</v>
      </c>
      <c r="C1705" s="1" t="s">
        <v>30</v>
      </c>
      <c r="D1705" s="2">
        <v>41921</v>
      </c>
      <c r="E1705" s="1" t="s">
        <v>31</v>
      </c>
      <c r="F1705" s="1" t="s">
        <v>256</v>
      </c>
      <c r="G1705" s="1">
        <v>25</v>
      </c>
      <c r="H1705" s="1">
        <v>28.15</v>
      </c>
      <c r="I1705" s="1">
        <f t="shared" si="78"/>
        <v>703.75</v>
      </c>
      <c r="J1705" t="str">
        <f t="shared" si="79"/>
        <v>Low</v>
      </c>
      <c r="K1705" s="1"/>
      <c r="L1705" s="1">
        <v>0.02</v>
      </c>
      <c r="M1705" s="1">
        <v>6.17</v>
      </c>
      <c r="N1705" s="1" t="s">
        <v>33</v>
      </c>
      <c r="O1705" s="1" t="s">
        <v>84</v>
      </c>
      <c r="P1705" s="2">
        <v>41922</v>
      </c>
      <c r="Q1705" s="2" t="b">
        <f t="shared" si="80"/>
        <v>0</v>
      </c>
      <c r="V1705" s="2"/>
      <c r="W1705" s="2"/>
      <c r="X1705" s="2"/>
      <c r="Y1705" s="2"/>
      <c r="Z1705" s="2"/>
      <c r="AA1705" s="2"/>
      <c r="AB1705" s="2"/>
      <c r="AC1705" s="2"/>
      <c r="AD1705" s="2"/>
      <c r="AE1705" s="2"/>
      <c r="AF1705" s="2"/>
      <c r="AG1705" s="2"/>
      <c r="AH1705" s="2"/>
      <c r="AI1705" s="2"/>
    </row>
    <row r="1706" spans="1:35" ht="14.25" customHeight="1" x14ac:dyDescent="0.2">
      <c r="A1706" s="1">
        <v>59591</v>
      </c>
      <c r="B1706" s="1" t="s">
        <v>225</v>
      </c>
      <c r="C1706" s="1" t="s">
        <v>30</v>
      </c>
      <c r="D1706" s="2">
        <v>41921</v>
      </c>
      <c r="E1706" s="1" t="s">
        <v>22</v>
      </c>
      <c r="F1706" s="1" t="s">
        <v>1489</v>
      </c>
      <c r="G1706" s="1">
        <v>34</v>
      </c>
      <c r="H1706" s="1">
        <v>100.97</v>
      </c>
      <c r="I1706" s="1">
        <f t="shared" si="78"/>
        <v>3432.98</v>
      </c>
      <c r="J1706" t="str">
        <f t="shared" si="79"/>
        <v>High</v>
      </c>
      <c r="K1706" s="1"/>
      <c r="L1706" s="1">
        <v>0.08</v>
      </c>
      <c r="M1706" s="1">
        <v>14</v>
      </c>
      <c r="N1706" s="1" t="s">
        <v>45</v>
      </c>
      <c r="O1706" s="1" t="s">
        <v>46</v>
      </c>
      <c r="P1706" s="2">
        <v>41922</v>
      </c>
      <c r="Q1706" s="2" t="b">
        <f t="shared" si="80"/>
        <v>0</v>
      </c>
      <c r="V1706" s="2"/>
      <c r="W1706" s="2"/>
      <c r="X1706" s="2"/>
      <c r="Y1706" s="2"/>
      <c r="Z1706" s="2"/>
      <c r="AA1706" s="2"/>
      <c r="AB1706" s="2"/>
      <c r="AC1706" s="2"/>
      <c r="AD1706" s="2"/>
      <c r="AE1706" s="2"/>
      <c r="AF1706" s="2"/>
      <c r="AG1706" s="2"/>
      <c r="AH1706" s="2"/>
      <c r="AI1706" s="2"/>
    </row>
    <row r="1707" spans="1:35" ht="14.25" customHeight="1" x14ac:dyDescent="0.2">
      <c r="A1707" s="1">
        <v>59591</v>
      </c>
      <c r="B1707" s="1" t="s">
        <v>225</v>
      </c>
      <c r="C1707" s="1" t="s">
        <v>30</v>
      </c>
      <c r="D1707" s="2">
        <v>41921</v>
      </c>
      <c r="E1707" s="1" t="s">
        <v>22</v>
      </c>
      <c r="F1707" s="1" t="s">
        <v>1490</v>
      </c>
      <c r="G1707" s="1">
        <v>29</v>
      </c>
      <c r="H1707" s="1">
        <v>6.48</v>
      </c>
      <c r="I1707" s="1">
        <f t="shared" si="78"/>
        <v>187.92000000000002</v>
      </c>
      <c r="J1707" t="str">
        <f t="shared" si="79"/>
        <v>Low</v>
      </c>
      <c r="K1707" s="1"/>
      <c r="L1707" s="1">
        <v>7.0000000000000007E-2</v>
      </c>
      <c r="M1707" s="1">
        <v>7.07</v>
      </c>
      <c r="N1707" s="1" t="s">
        <v>33</v>
      </c>
      <c r="O1707" s="1" t="s">
        <v>34</v>
      </c>
      <c r="P1707" s="2">
        <v>41923</v>
      </c>
      <c r="Q1707" s="2" t="b">
        <f t="shared" si="80"/>
        <v>0</v>
      </c>
      <c r="V1707" s="2"/>
      <c r="W1707" s="2"/>
      <c r="X1707" s="2"/>
      <c r="Y1707" s="2"/>
      <c r="Z1707" s="2"/>
      <c r="AA1707" s="2"/>
      <c r="AB1707" s="2"/>
      <c r="AC1707" s="2"/>
      <c r="AD1707" s="2"/>
      <c r="AE1707" s="2"/>
      <c r="AF1707" s="2"/>
      <c r="AG1707" s="2"/>
      <c r="AH1707" s="2"/>
      <c r="AI1707" s="2"/>
    </row>
    <row r="1708" spans="1:35" ht="14.25" customHeight="1" x14ac:dyDescent="0.2">
      <c r="A1708" s="1">
        <v>13920</v>
      </c>
      <c r="B1708" s="1" t="s">
        <v>1491</v>
      </c>
      <c r="C1708" s="1" t="s">
        <v>30</v>
      </c>
      <c r="D1708" s="2">
        <v>41921</v>
      </c>
      <c r="E1708" s="1" t="s">
        <v>38</v>
      </c>
      <c r="F1708" s="1" t="s">
        <v>759</v>
      </c>
      <c r="G1708" s="1">
        <v>25</v>
      </c>
      <c r="H1708" s="1">
        <v>37.94</v>
      </c>
      <c r="I1708" s="1">
        <f t="shared" si="78"/>
        <v>948.5</v>
      </c>
      <c r="J1708" t="str">
        <f t="shared" si="79"/>
        <v>Low</v>
      </c>
      <c r="K1708" s="1"/>
      <c r="L1708" s="1">
        <v>0.1</v>
      </c>
      <c r="M1708" s="1">
        <v>5.08</v>
      </c>
      <c r="N1708" s="1" t="s">
        <v>25</v>
      </c>
      <c r="O1708" s="1" t="s">
        <v>55</v>
      </c>
      <c r="P1708" s="2">
        <v>41923</v>
      </c>
      <c r="Q1708" s="2" t="b">
        <f t="shared" si="80"/>
        <v>0</v>
      </c>
      <c r="V1708" s="2"/>
      <c r="W1708" s="2"/>
      <c r="X1708" s="2"/>
      <c r="Y1708" s="2"/>
      <c r="Z1708" s="2"/>
      <c r="AA1708" s="2"/>
      <c r="AB1708" s="2"/>
      <c r="AC1708" s="2"/>
      <c r="AD1708" s="2"/>
      <c r="AE1708" s="2"/>
      <c r="AF1708" s="2"/>
      <c r="AG1708" s="2"/>
      <c r="AH1708" s="2"/>
      <c r="AI1708" s="2"/>
    </row>
    <row r="1709" spans="1:35" ht="14.25" customHeight="1" x14ac:dyDescent="0.2">
      <c r="A1709" s="1">
        <v>13920</v>
      </c>
      <c r="B1709" s="1" t="s">
        <v>1491</v>
      </c>
      <c r="C1709" s="1" t="s">
        <v>21</v>
      </c>
      <c r="D1709" s="2">
        <v>41921</v>
      </c>
      <c r="E1709" s="1" t="s">
        <v>38</v>
      </c>
      <c r="F1709" s="1" t="s">
        <v>1492</v>
      </c>
      <c r="G1709" s="1">
        <v>24</v>
      </c>
      <c r="H1709" s="1">
        <v>8.57</v>
      </c>
      <c r="I1709" s="1">
        <f t="shared" si="78"/>
        <v>205.68</v>
      </c>
      <c r="J1709" t="str">
        <f t="shared" si="79"/>
        <v>Low</v>
      </c>
      <c r="K1709" s="1"/>
      <c r="L1709" s="1">
        <v>0.06</v>
      </c>
      <c r="M1709" s="1">
        <v>6.14</v>
      </c>
      <c r="N1709" s="1" t="s">
        <v>33</v>
      </c>
      <c r="O1709" s="1" t="s">
        <v>84</v>
      </c>
      <c r="P1709" s="2">
        <v>41922</v>
      </c>
      <c r="Q1709" s="2" t="b">
        <f t="shared" si="80"/>
        <v>0</v>
      </c>
      <c r="V1709" s="2"/>
      <c r="W1709" s="2"/>
      <c r="X1709" s="2"/>
      <c r="Y1709" s="2"/>
      <c r="Z1709" s="2"/>
      <c r="AA1709" s="2"/>
      <c r="AB1709" s="2"/>
      <c r="AC1709" s="2"/>
      <c r="AD1709" s="2"/>
      <c r="AE1709" s="2"/>
      <c r="AF1709" s="2"/>
      <c r="AG1709" s="2"/>
      <c r="AH1709" s="2"/>
      <c r="AI1709" s="2"/>
    </row>
    <row r="1710" spans="1:35" ht="14.25" customHeight="1" x14ac:dyDescent="0.2">
      <c r="A1710" s="1">
        <v>16610</v>
      </c>
      <c r="B1710" s="1" t="s">
        <v>651</v>
      </c>
      <c r="C1710" s="1" t="s">
        <v>30</v>
      </c>
      <c r="D1710" s="2">
        <v>41922</v>
      </c>
      <c r="E1710" s="1" t="s">
        <v>31</v>
      </c>
      <c r="F1710" s="1" t="s">
        <v>1046</v>
      </c>
      <c r="G1710" s="1">
        <v>19</v>
      </c>
      <c r="H1710" s="1">
        <v>35.94</v>
      </c>
      <c r="I1710" s="1">
        <f t="shared" si="78"/>
        <v>682.8599999999999</v>
      </c>
      <c r="J1710" t="str">
        <f t="shared" si="79"/>
        <v>Low</v>
      </c>
      <c r="K1710" s="1"/>
      <c r="L1710" s="1">
        <v>0.09</v>
      </c>
      <c r="M1710" s="1">
        <v>6.66</v>
      </c>
      <c r="N1710" s="1" t="s">
        <v>33</v>
      </c>
      <c r="O1710" s="1" t="s">
        <v>34</v>
      </c>
      <c r="P1710" s="2">
        <v>41924</v>
      </c>
      <c r="Q1710" s="2" t="b">
        <f t="shared" si="80"/>
        <v>0</v>
      </c>
      <c r="V1710" s="2"/>
      <c r="W1710" s="2"/>
      <c r="X1710" s="2"/>
      <c r="Y1710" s="2"/>
      <c r="Z1710" s="2"/>
      <c r="AA1710" s="2"/>
      <c r="AB1710" s="2"/>
      <c r="AC1710" s="2"/>
      <c r="AD1710" s="2"/>
      <c r="AE1710" s="2"/>
      <c r="AF1710" s="2"/>
      <c r="AG1710" s="2"/>
      <c r="AH1710" s="2"/>
      <c r="AI1710" s="2"/>
    </row>
    <row r="1711" spans="1:35" ht="14.25" customHeight="1" x14ac:dyDescent="0.2">
      <c r="A1711" s="1">
        <v>28002</v>
      </c>
      <c r="B1711" s="1" t="s">
        <v>235</v>
      </c>
      <c r="C1711" s="1" t="s">
        <v>30</v>
      </c>
      <c r="D1711" s="2">
        <v>41922</v>
      </c>
      <c r="E1711" s="1" t="s">
        <v>38</v>
      </c>
      <c r="F1711" s="1" t="s">
        <v>54</v>
      </c>
      <c r="G1711" s="1">
        <v>5</v>
      </c>
      <c r="H1711" s="1">
        <v>9.11</v>
      </c>
      <c r="I1711" s="1">
        <f t="shared" si="78"/>
        <v>45.55</v>
      </c>
      <c r="J1711" t="str">
        <f t="shared" si="79"/>
        <v>Low</v>
      </c>
      <c r="K1711" s="1"/>
      <c r="L1711" s="1">
        <v>0.1</v>
      </c>
      <c r="M1711" s="1">
        <v>2.15</v>
      </c>
      <c r="N1711" s="1" t="s">
        <v>33</v>
      </c>
      <c r="O1711" s="1" t="s">
        <v>55</v>
      </c>
      <c r="P1711" s="2">
        <v>41924</v>
      </c>
      <c r="Q1711" s="2" t="b">
        <f t="shared" si="80"/>
        <v>0</v>
      </c>
      <c r="V1711" s="2"/>
      <c r="W1711" s="2"/>
      <c r="X1711" s="2"/>
      <c r="Y1711" s="2"/>
      <c r="Z1711" s="2"/>
      <c r="AA1711" s="2"/>
      <c r="AB1711" s="2"/>
      <c r="AC1711" s="2"/>
      <c r="AD1711" s="2"/>
      <c r="AE1711" s="2"/>
      <c r="AF1711" s="2"/>
      <c r="AG1711" s="2"/>
      <c r="AH1711" s="2"/>
      <c r="AI1711" s="2"/>
    </row>
    <row r="1712" spans="1:35" ht="14.25" customHeight="1" x14ac:dyDescent="0.2">
      <c r="A1712" s="1">
        <v>54819</v>
      </c>
      <c r="B1712" s="1" t="s">
        <v>475</v>
      </c>
      <c r="C1712" s="1" t="s">
        <v>30</v>
      </c>
      <c r="D1712" s="2">
        <v>41922</v>
      </c>
      <c r="E1712" s="1" t="s">
        <v>43</v>
      </c>
      <c r="F1712" s="1" t="s">
        <v>1493</v>
      </c>
      <c r="G1712" s="1">
        <v>10</v>
      </c>
      <c r="H1712" s="1">
        <v>4.97</v>
      </c>
      <c r="I1712" s="1">
        <f t="shared" si="78"/>
        <v>49.699999999999996</v>
      </c>
      <c r="J1712" t="str">
        <f t="shared" si="79"/>
        <v>Low</v>
      </c>
      <c r="K1712" s="1"/>
      <c r="L1712" s="1">
        <v>7.0000000000000007E-2</v>
      </c>
      <c r="M1712" s="1">
        <v>5.71</v>
      </c>
      <c r="N1712" s="1" t="s">
        <v>33</v>
      </c>
      <c r="O1712" s="1" t="s">
        <v>72</v>
      </c>
      <c r="P1712" s="2">
        <v>41927</v>
      </c>
      <c r="Q1712" s="2" t="b">
        <f t="shared" si="80"/>
        <v>0</v>
      </c>
      <c r="V1712" s="2"/>
      <c r="W1712" s="2"/>
      <c r="X1712" s="2"/>
      <c r="Y1712" s="2"/>
      <c r="Z1712" s="2"/>
      <c r="AA1712" s="2"/>
      <c r="AB1712" s="2"/>
      <c r="AC1712" s="2"/>
      <c r="AD1712" s="2"/>
      <c r="AE1712" s="2"/>
      <c r="AF1712" s="2"/>
      <c r="AG1712" s="2"/>
      <c r="AH1712" s="2"/>
      <c r="AI1712" s="2"/>
    </row>
    <row r="1713" spans="1:35" ht="14.25" customHeight="1" x14ac:dyDescent="0.2">
      <c r="A1713" s="1">
        <v>54819</v>
      </c>
      <c r="B1713" s="1" t="s">
        <v>475</v>
      </c>
      <c r="C1713" s="1" t="s">
        <v>30</v>
      </c>
      <c r="D1713" s="2">
        <v>41922</v>
      </c>
      <c r="E1713" s="1" t="s">
        <v>43</v>
      </c>
      <c r="F1713" s="1" t="s">
        <v>961</v>
      </c>
      <c r="G1713" s="1">
        <v>26</v>
      </c>
      <c r="H1713" s="1">
        <v>2.62</v>
      </c>
      <c r="I1713" s="1">
        <f t="shared" si="78"/>
        <v>68.12</v>
      </c>
      <c r="J1713" t="str">
        <f t="shared" si="79"/>
        <v>Low</v>
      </c>
      <c r="K1713" s="1"/>
      <c r="L1713" s="1">
        <v>0.09</v>
      </c>
      <c r="M1713" s="1">
        <v>0.8</v>
      </c>
      <c r="N1713" s="1" t="s">
        <v>33</v>
      </c>
      <c r="O1713" s="1" t="s">
        <v>55</v>
      </c>
      <c r="P1713" s="2">
        <v>41924</v>
      </c>
      <c r="Q1713" s="2" t="b">
        <f t="shared" si="80"/>
        <v>0</v>
      </c>
      <c r="V1713" s="2"/>
      <c r="W1713" s="2"/>
      <c r="X1713" s="2"/>
      <c r="Y1713" s="2"/>
      <c r="Z1713" s="2"/>
      <c r="AA1713" s="2"/>
      <c r="AB1713" s="2"/>
      <c r="AC1713" s="2"/>
      <c r="AD1713" s="2"/>
      <c r="AE1713" s="2"/>
      <c r="AF1713" s="2"/>
      <c r="AG1713" s="2"/>
      <c r="AH1713" s="2"/>
      <c r="AI1713" s="2"/>
    </row>
    <row r="1714" spans="1:35" ht="14.25" customHeight="1" x14ac:dyDescent="0.2">
      <c r="A1714" s="1">
        <v>54819</v>
      </c>
      <c r="B1714" s="1" t="s">
        <v>475</v>
      </c>
      <c r="C1714" s="1" t="s">
        <v>51</v>
      </c>
      <c r="D1714" s="2">
        <v>41922</v>
      </c>
      <c r="E1714" s="1" t="s">
        <v>43</v>
      </c>
      <c r="F1714" s="1" t="s">
        <v>576</v>
      </c>
      <c r="G1714" s="1">
        <v>46</v>
      </c>
      <c r="H1714" s="1">
        <v>65.989999999999995</v>
      </c>
      <c r="I1714" s="1">
        <f t="shared" si="78"/>
        <v>3035.54</v>
      </c>
      <c r="J1714" t="str">
        <f t="shared" si="79"/>
        <v>High</v>
      </c>
      <c r="K1714" s="1"/>
      <c r="L1714" s="1">
        <v>0.03</v>
      </c>
      <c r="M1714" s="1">
        <v>8.8000000000000007</v>
      </c>
      <c r="N1714" s="1" t="s">
        <v>33</v>
      </c>
      <c r="O1714" s="1" t="s">
        <v>34</v>
      </c>
      <c r="P1714" s="2">
        <v>41922</v>
      </c>
      <c r="Q1714" s="2" t="b">
        <f t="shared" si="80"/>
        <v>0</v>
      </c>
      <c r="V1714" s="2"/>
      <c r="W1714" s="2"/>
      <c r="X1714" s="2"/>
      <c r="Y1714" s="2"/>
      <c r="Z1714" s="2"/>
      <c r="AA1714" s="2"/>
      <c r="AB1714" s="2"/>
      <c r="AC1714" s="2"/>
      <c r="AD1714" s="2"/>
      <c r="AE1714" s="2"/>
      <c r="AF1714" s="2"/>
      <c r="AG1714" s="2"/>
      <c r="AH1714" s="2"/>
      <c r="AI1714" s="2"/>
    </row>
    <row r="1715" spans="1:35" ht="14.25" customHeight="1" x14ac:dyDescent="0.2">
      <c r="A1715" s="1">
        <v>46756</v>
      </c>
      <c r="B1715" s="1" t="s">
        <v>1150</v>
      </c>
      <c r="C1715" s="1" t="s">
        <v>21</v>
      </c>
      <c r="D1715" s="2">
        <v>41923</v>
      </c>
      <c r="E1715" s="1" t="s">
        <v>101</v>
      </c>
      <c r="F1715" s="1" t="s">
        <v>393</v>
      </c>
      <c r="G1715" s="1">
        <v>3</v>
      </c>
      <c r="H1715" s="1">
        <v>7.28</v>
      </c>
      <c r="I1715" s="1">
        <f t="shared" si="78"/>
        <v>21.84</v>
      </c>
      <c r="J1715" t="str">
        <f t="shared" si="79"/>
        <v>Low</v>
      </c>
      <c r="K1715" s="1"/>
      <c r="L1715" s="1">
        <v>0.01</v>
      </c>
      <c r="M1715" s="1">
        <v>11.15</v>
      </c>
      <c r="N1715" s="1" t="s">
        <v>33</v>
      </c>
      <c r="O1715" s="1" t="s">
        <v>34</v>
      </c>
      <c r="P1715" s="2">
        <v>41925</v>
      </c>
      <c r="Q1715" s="2" t="b">
        <f t="shared" si="80"/>
        <v>0</v>
      </c>
      <c r="V1715" s="2"/>
      <c r="W1715" s="2"/>
      <c r="X1715" s="2"/>
      <c r="Y1715" s="2"/>
      <c r="Z1715" s="2"/>
      <c r="AA1715" s="2"/>
      <c r="AB1715" s="2"/>
      <c r="AC1715" s="2"/>
      <c r="AD1715" s="2"/>
      <c r="AE1715" s="2"/>
      <c r="AF1715" s="2"/>
      <c r="AG1715" s="2"/>
      <c r="AH1715" s="2"/>
      <c r="AI1715" s="2"/>
    </row>
    <row r="1716" spans="1:35" ht="14.25" customHeight="1" x14ac:dyDescent="0.2">
      <c r="A1716" s="1">
        <v>9926</v>
      </c>
      <c r="B1716" s="1" t="s">
        <v>1494</v>
      </c>
      <c r="C1716" s="1" t="s">
        <v>30</v>
      </c>
      <c r="D1716" s="2">
        <v>41923</v>
      </c>
      <c r="E1716" s="1" t="s">
        <v>31</v>
      </c>
      <c r="F1716" s="1" t="s">
        <v>783</v>
      </c>
      <c r="G1716" s="1">
        <v>25</v>
      </c>
      <c r="H1716" s="1">
        <v>5.77</v>
      </c>
      <c r="I1716" s="1">
        <f t="shared" si="78"/>
        <v>144.25</v>
      </c>
      <c r="J1716" t="str">
        <f t="shared" si="79"/>
        <v>Low</v>
      </c>
      <c r="K1716" s="1"/>
      <c r="L1716" s="1">
        <v>0</v>
      </c>
      <c r="M1716" s="1">
        <v>5.92</v>
      </c>
      <c r="N1716" s="1" t="s">
        <v>33</v>
      </c>
      <c r="O1716" s="1" t="s">
        <v>72</v>
      </c>
      <c r="P1716" s="2">
        <v>41925</v>
      </c>
      <c r="Q1716" s="2" t="b">
        <f t="shared" si="80"/>
        <v>0</v>
      </c>
      <c r="V1716" s="2"/>
      <c r="W1716" s="2"/>
      <c r="X1716" s="2"/>
      <c r="Y1716" s="2"/>
      <c r="Z1716" s="2"/>
      <c r="AA1716" s="2"/>
      <c r="AB1716" s="2"/>
      <c r="AC1716" s="2"/>
      <c r="AD1716" s="2"/>
      <c r="AE1716" s="2"/>
      <c r="AF1716" s="2"/>
      <c r="AG1716" s="2"/>
      <c r="AH1716" s="2"/>
      <c r="AI1716" s="2"/>
    </row>
    <row r="1717" spans="1:35" ht="14.25" customHeight="1" x14ac:dyDescent="0.2">
      <c r="A1717" s="1">
        <v>26146</v>
      </c>
      <c r="B1717" s="1" t="s">
        <v>639</v>
      </c>
      <c r="C1717" s="1" t="s">
        <v>51</v>
      </c>
      <c r="D1717" s="2">
        <v>41923</v>
      </c>
      <c r="E1717" s="1" t="s">
        <v>43</v>
      </c>
      <c r="F1717" s="1" t="s">
        <v>1495</v>
      </c>
      <c r="G1717" s="1">
        <v>13</v>
      </c>
      <c r="H1717" s="1">
        <v>104.65</v>
      </c>
      <c r="I1717" s="1">
        <f t="shared" si="78"/>
        <v>1360.45</v>
      </c>
      <c r="J1717" t="str">
        <f t="shared" si="79"/>
        <v>High</v>
      </c>
      <c r="K1717" s="1"/>
      <c r="L1717" s="1">
        <v>0.03</v>
      </c>
      <c r="M1717" s="1">
        <v>18.93</v>
      </c>
      <c r="N1717" s="1" t="s">
        <v>33</v>
      </c>
      <c r="O1717" s="1" t="s">
        <v>34</v>
      </c>
      <c r="P1717" s="2">
        <v>41930</v>
      </c>
      <c r="Q1717" s="2" t="b">
        <f t="shared" si="80"/>
        <v>0</v>
      </c>
      <c r="V1717" s="2"/>
      <c r="W1717" s="2"/>
      <c r="X1717" s="2"/>
      <c r="Y1717" s="2"/>
      <c r="Z1717" s="2"/>
      <c r="AA1717" s="2"/>
      <c r="AB1717" s="2"/>
      <c r="AC1717" s="2"/>
      <c r="AD1717" s="2"/>
      <c r="AE1717" s="2"/>
      <c r="AF1717" s="2"/>
      <c r="AG1717" s="2"/>
      <c r="AH1717" s="2"/>
      <c r="AI1717" s="2"/>
    </row>
    <row r="1718" spans="1:35" ht="14.25" customHeight="1" x14ac:dyDescent="0.2">
      <c r="A1718" s="1">
        <v>26146</v>
      </c>
      <c r="B1718" s="1" t="s">
        <v>639</v>
      </c>
      <c r="C1718" s="1" t="s">
        <v>30</v>
      </c>
      <c r="D1718" s="2">
        <v>41923</v>
      </c>
      <c r="E1718" s="1" t="s">
        <v>43</v>
      </c>
      <c r="F1718" s="1" t="s">
        <v>1496</v>
      </c>
      <c r="G1718" s="1">
        <v>49</v>
      </c>
      <c r="H1718" s="1">
        <v>11.66</v>
      </c>
      <c r="I1718" s="1">
        <f t="shared" si="78"/>
        <v>571.34</v>
      </c>
      <c r="J1718" t="str">
        <f t="shared" si="79"/>
        <v>Low</v>
      </c>
      <c r="K1718" s="1"/>
      <c r="L1718" s="1">
        <v>0.03</v>
      </c>
      <c r="M1718" s="1">
        <v>7.95</v>
      </c>
      <c r="N1718" s="1" t="s">
        <v>33</v>
      </c>
      <c r="O1718" s="1" t="s">
        <v>84</v>
      </c>
      <c r="P1718" s="2">
        <v>41932</v>
      </c>
      <c r="Q1718" s="2" t="b">
        <f t="shared" si="80"/>
        <v>0</v>
      </c>
      <c r="V1718" s="2"/>
      <c r="W1718" s="2"/>
      <c r="X1718" s="2"/>
      <c r="Y1718" s="2"/>
      <c r="Z1718" s="2"/>
      <c r="AA1718" s="2"/>
      <c r="AB1718" s="2"/>
      <c r="AC1718" s="2"/>
      <c r="AD1718" s="2"/>
      <c r="AE1718" s="2"/>
      <c r="AF1718" s="2"/>
      <c r="AG1718" s="2"/>
      <c r="AH1718" s="2"/>
      <c r="AI1718" s="2"/>
    </row>
    <row r="1719" spans="1:35" ht="14.25" customHeight="1" x14ac:dyDescent="0.2">
      <c r="A1719" s="1">
        <v>48420</v>
      </c>
      <c r="B1719" s="1" t="s">
        <v>1042</v>
      </c>
      <c r="C1719" s="1" t="s">
        <v>51</v>
      </c>
      <c r="D1719" s="2">
        <v>41923</v>
      </c>
      <c r="E1719" s="1" t="s">
        <v>43</v>
      </c>
      <c r="F1719" s="1" t="s">
        <v>505</v>
      </c>
      <c r="G1719" s="1">
        <v>46</v>
      </c>
      <c r="H1719" s="1">
        <v>19.23</v>
      </c>
      <c r="I1719" s="1">
        <f t="shared" si="78"/>
        <v>884.58</v>
      </c>
      <c r="J1719" t="str">
        <f t="shared" si="79"/>
        <v>Low</v>
      </c>
      <c r="K1719" s="1"/>
      <c r="L1719" s="1">
        <v>0.09</v>
      </c>
      <c r="M1719" s="1">
        <v>6.15</v>
      </c>
      <c r="N1719" s="1" t="s">
        <v>25</v>
      </c>
      <c r="O1719" s="1" t="s">
        <v>84</v>
      </c>
      <c r="P1719" s="2">
        <v>41925</v>
      </c>
      <c r="Q1719" s="2" t="b">
        <f t="shared" si="80"/>
        <v>0</v>
      </c>
      <c r="V1719" s="2"/>
      <c r="W1719" s="2"/>
      <c r="X1719" s="2"/>
      <c r="Y1719" s="2"/>
      <c r="Z1719" s="2"/>
      <c r="AA1719" s="2"/>
      <c r="AB1719" s="2"/>
      <c r="AC1719" s="2"/>
      <c r="AD1719" s="2"/>
      <c r="AE1719" s="2"/>
      <c r="AF1719" s="2"/>
      <c r="AG1719" s="2"/>
      <c r="AH1719" s="2"/>
      <c r="AI1719" s="2"/>
    </row>
    <row r="1720" spans="1:35" ht="14.25" customHeight="1" x14ac:dyDescent="0.2">
      <c r="A1720" s="1">
        <v>40708</v>
      </c>
      <c r="B1720" s="1" t="s">
        <v>1431</v>
      </c>
      <c r="C1720" s="1" t="s">
        <v>30</v>
      </c>
      <c r="D1720" s="2">
        <v>41924</v>
      </c>
      <c r="E1720" s="1" t="s">
        <v>22</v>
      </c>
      <c r="F1720" s="1" t="s">
        <v>716</v>
      </c>
      <c r="G1720" s="1">
        <v>15</v>
      </c>
      <c r="H1720" s="1">
        <v>6.68</v>
      </c>
      <c r="I1720" s="1">
        <f t="shared" si="78"/>
        <v>100.19999999999999</v>
      </c>
      <c r="J1720" t="str">
        <f t="shared" si="79"/>
        <v>Low</v>
      </c>
      <c r="K1720" s="1"/>
      <c r="L1720" s="1">
        <v>0.03</v>
      </c>
      <c r="M1720" s="1">
        <v>1.5</v>
      </c>
      <c r="N1720" s="1" t="s">
        <v>33</v>
      </c>
      <c r="O1720" s="1" t="s">
        <v>55</v>
      </c>
      <c r="P1720" s="2">
        <v>41925</v>
      </c>
      <c r="Q1720" s="2" t="b">
        <f t="shared" si="80"/>
        <v>0</v>
      </c>
      <c r="V1720" s="2"/>
      <c r="W1720" s="2"/>
      <c r="X1720" s="2"/>
      <c r="Y1720" s="2"/>
      <c r="Z1720" s="2"/>
      <c r="AA1720" s="2"/>
      <c r="AB1720" s="2"/>
      <c r="AC1720" s="2"/>
      <c r="AD1720" s="2"/>
      <c r="AE1720" s="2"/>
      <c r="AF1720" s="2"/>
      <c r="AG1720" s="2"/>
      <c r="AH1720" s="2"/>
      <c r="AI1720" s="2"/>
    </row>
    <row r="1721" spans="1:35" ht="14.25" customHeight="1" x14ac:dyDescent="0.2">
      <c r="A1721" s="1">
        <v>50786</v>
      </c>
      <c r="B1721" s="1" t="s">
        <v>1077</v>
      </c>
      <c r="C1721" s="1" t="s">
        <v>21</v>
      </c>
      <c r="D1721" s="2">
        <v>41924</v>
      </c>
      <c r="E1721" s="1" t="s">
        <v>43</v>
      </c>
      <c r="F1721" s="1" t="s">
        <v>1140</v>
      </c>
      <c r="G1721" s="1">
        <v>4</v>
      </c>
      <c r="H1721" s="1">
        <v>119.99</v>
      </c>
      <c r="I1721" s="1">
        <f t="shared" si="78"/>
        <v>479.96</v>
      </c>
      <c r="J1721" t="str">
        <f t="shared" si="79"/>
        <v>Low</v>
      </c>
      <c r="K1721" s="1"/>
      <c r="L1721" s="1">
        <v>0.06</v>
      </c>
      <c r="M1721" s="1">
        <v>14</v>
      </c>
      <c r="N1721" s="1" t="s">
        <v>45</v>
      </c>
      <c r="O1721" s="1" t="s">
        <v>46</v>
      </c>
      <c r="P1721" s="2">
        <v>41931</v>
      </c>
      <c r="Q1721" s="2" t="b">
        <f t="shared" si="80"/>
        <v>0</v>
      </c>
      <c r="V1721" s="2"/>
      <c r="W1721" s="2"/>
      <c r="X1721" s="2"/>
      <c r="Y1721" s="2"/>
      <c r="Z1721" s="2"/>
      <c r="AA1721" s="2"/>
      <c r="AB1721" s="2"/>
      <c r="AC1721" s="2"/>
      <c r="AD1721" s="2"/>
      <c r="AE1721" s="2"/>
      <c r="AF1721" s="2"/>
      <c r="AG1721" s="2"/>
      <c r="AH1721" s="2"/>
      <c r="AI1721" s="2"/>
    </row>
    <row r="1722" spans="1:35" ht="14.25" customHeight="1" x14ac:dyDescent="0.2">
      <c r="A1722" s="1">
        <v>8835</v>
      </c>
      <c r="B1722" s="1" t="s">
        <v>543</v>
      </c>
      <c r="C1722" s="1" t="s">
        <v>51</v>
      </c>
      <c r="D1722" s="2">
        <v>41925</v>
      </c>
      <c r="E1722" s="1" t="s">
        <v>38</v>
      </c>
      <c r="F1722" s="1" t="s">
        <v>1497</v>
      </c>
      <c r="G1722" s="1">
        <v>12</v>
      </c>
      <c r="H1722" s="1">
        <v>12.2</v>
      </c>
      <c r="I1722" s="1">
        <f t="shared" si="78"/>
        <v>146.39999999999998</v>
      </c>
      <c r="J1722" t="str">
        <f t="shared" si="79"/>
        <v>Low</v>
      </c>
      <c r="K1722" s="1"/>
      <c r="L1722" s="1">
        <v>0.05</v>
      </c>
      <c r="M1722" s="1">
        <v>6.02</v>
      </c>
      <c r="N1722" s="1" t="s">
        <v>33</v>
      </c>
      <c r="O1722" s="1" t="s">
        <v>84</v>
      </c>
      <c r="P1722" s="2">
        <v>41926</v>
      </c>
      <c r="Q1722" s="2" t="b">
        <f t="shared" si="80"/>
        <v>0</v>
      </c>
      <c r="V1722" s="2"/>
      <c r="W1722" s="2"/>
      <c r="X1722" s="2"/>
      <c r="Y1722" s="2"/>
      <c r="Z1722" s="2"/>
      <c r="AA1722" s="2"/>
      <c r="AB1722" s="2"/>
      <c r="AC1722" s="2"/>
      <c r="AD1722" s="2"/>
      <c r="AE1722" s="2"/>
      <c r="AF1722" s="2"/>
      <c r="AG1722" s="2"/>
      <c r="AH1722" s="2"/>
      <c r="AI1722" s="2"/>
    </row>
    <row r="1723" spans="1:35" ht="14.25" customHeight="1" x14ac:dyDescent="0.2">
      <c r="A1723" s="1">
        <v>17024</v>
      </c>
      <c r="B1723" s="1" t="s">
        <v>75</v>
      </c>
      <c r="C1723" s="1" t="s">
        <v>30</v>
      </c>
      <c r="D1723" s="2">
        <v>41925</v>
      </c>
      <c r="E1723" s="1" t="s">
        <v>101</v>
      </c>
      <c r="F1723" s="1" t="s">
        <v>800</v>
      </c>
      <c r="G1723" s="1">
        <v>31</v>
      </c>
      <c r="H1723" s="1">
        <v>42.98</v>
      </c>
      <c r="I1723" s="1">
        <f t="shared" si="78"/>
        <v>1332.3799999999999</v>
      </c>
      <c r="J1723" t="str">
        <f t="shared" si="79"/>
        <v>High</v>
      </c>
      <c r="K1723" s="1"/>
      <c r="L1723" s="1">
        <v>0.02</v>
      </c>
      <c r="M1723" s="1">
        <v>4.62</v>
      </c>
      <c r="N1723" s="1" t="s">
        <v>33</v>
      </c>
      <c r="O1723" s="1" t="s">
        <v>34</v>
      </c>
      <c r="P1723" s="2">
        <v>41927</v>
      </c>
      <c r="Q1723" s="2" t="b">
        <f t="shared" si="80"/>
        <v>0</v>
      </c>
      <c r="V1723" s="2"/>
      <c r="W1723" s="2"/>
      <c r="X1723" s="2"/>
      <c r="Y1723" s="2"/>
      <c r="Z1723" s="2"/>
      <c r="AA1723" s="2"/>
      <c r="AB1723" s="2"/>
      <c r="AC1723" s="2"/>
      <c r="AD1723" s="2"/>
      <c r="AE1723" s="2"/>
      <c r="AF1723" s="2"/>
      <c r="AG1723" s="2"/>
      <c r="AH1723" s="2"/>
      <c r="AI1723" s="2"/>
    </row>
    <row r="1724" spans="1:35" ht="14.25" customHeight="1" x14ac:dyDescent="0.2">
      <c r="A1724" s="1">
        <v>22208</v>
      </c>
      <c r="B1724" s="1" t="s">
        <v>644</v>
      </c>
      <c r="C1724" s="1" t="s">
        <v>21</v>
      </c>
      <c r="D1724" s="2">
        <v>41925</v>
      </c>
      <c r="E1724" s="1" t="s">
        <v>31</v>
      </c>
      <c r="F1724" s="1" t="s">
        <v>1498</v>
      </c>
      <c r="G1724" s="1">
        <v>37</v>
      </c>
      <c r="H1724" s="1">
        <v>30.97</v>
      </c>
      <c r="I1724" s="1">
        <f t="shared" si="78"/>
        <v>1145.8899999999999</v>
      </c>
      <c r="J1724" t="str">
        <f t="shared" si="79"/>
        <v>High</v>
      </c>
      <c r="K1724" s="1"/>
      <c r="L1724" s="1">
        <v>0.01</v>
      </c>
      <c r="M1724" s="1">
        <v>4</v>
      </c>
      <c r="N1724" s="1" t="s">
        <v>33</v>
      </c>
      <c r="O1724" s="1" t="s">
        <v>34</v>
      </c>
      <c r="P1724" s="2">
        <v>41927</v>
      </c>
      <c r="Q1724" s="2" t="b">
        <f t="shared" si="80"/>
        <v>0</v>
      </c>
      <c r="V1724" s="2"/>
      <c r="W1724" s="2"/>
      <c r="X1724" s="2"/>
      <c r="Y1724" s="2"/>
      <c r="Z1724" s="2"/>
      <c r="AA1724" s="2"/>
      <c r="AB1724" s="2"/>
      <c r="AC1724" s="2"/>
      <c r="AD1724" s="2"/>
      <c r="AE1724" s="2"/>
      <c r="AF1724" s="2"/>
      <c r="AG1724" s="2"/>
      <c r="AH1724" s="2"/>
      <c r="AI1724" s="2"/>
    </row>
    <row r="1725" spans="1:35" ht="14.25" customHeight="1" x14ac:dyDescent="0.2">
      <c r="A1725" s="1">
        <v>22208</v>
      </c>
      <c r="B1725" s="1" t="s">
        <v>644</v>
      </c>
      <c r="C1725" s="1" t="s">
        <v>51</v>
      </c>
      <c r="D1725" s="2">
        <v>41925</v>
      </c>
      <c r="E1725" s="1" t="s">
        <v>31</v>
      </c>
      <c r="F1725" s="1" t="s">
        <v>421</v>
      </c>
      <c r="G1725" s="1">
        <v>50</v>
      </c>
      <c r="H1725" s="1">
        <v>125.99</v>
      </c>
      <c r="I1725" s="1">
        <f t="shared" si="78"/>
        <v>6299.5</v>
      </c>
      <c r="J1725" t="str">
        <f t="shared" si="79"/>
        <v>High</v>
      </c>
      <c r="K1725" s="1"/>
      <c r="L1725" s="1">
        <v>0.08</v>
      </c>
      <c r="M1725" s="1">
        <v>7.69</v>
      </c>
      <c r="N1725" s="1" t="s">
        <v>33</v>
      </c>
      <c r="O1725" s="1" t="s">
        <v>34</v>
      </c>
      <c r="P1725" s="2">
        <v>41927</v>
      </c>
      <c r="Q1725" s="2" t="b">
        <f t="shared" si="80"/>
        <v>0</v>
      </c>
      <c r="V1725" s="2"/>
      <c r="W1725" s="2"/>
      <c r="X1725" s="2"/>
      <c r="Y1725" s="2"/>
      <c r="Z1725" s="2"/>
      <c r="AA1725" s="2"/>
      <c r="AB1725" s="2"/>
      <c r="AC1725" s="2"/>
      <c r="AD1725" s="2"/>
      <c r="AE1725" s="2"/>
      <c r="AF1725" s="2"/>
      <c r="AG1725" s="2"/>
      <c r="AH1725" s="2"/>
      <c r="AI1725" s="2"/>
    </row>
    <row r="1726" spans="1:35" ht="14.25" customHeight="1" x14ac:dyDescent="0.2">
      <c r="A1726" s="1">
        <v>53766</v>
      </c>
      <c r="B1726" s="1" t="s">
        <v>611</v>
      </c>
      <c r="C1726" s="1" t="s">
        <v>21</v>
      </c>
      <c r="D1726" s="2">
        <v>41925</v>
      </c>
      <c r="E1726" s="1" t="s">
        <v>22</v>
      </c>
      <c r="F1726" s="1" t="s">
        <v>1071</v>
      </c>
      <c r="G1726" s="1">
        <v>22</v>
      </c>
      <c r="H1726" s="1">
        <v>145.97999999999999</v>
      </c>
      <c r="I1726" s="1">
        <f t="shared" si="78"/>
        <v>3211.56</v>
      </c>
      <c r="J1726" t="str">
        <f t="shared" si="79"/>
        <v>High</v>
      </c>
      <c r="K1726" s="1"/>
      <c r="L1726" s="1">
        <v>7.0000000000000007E-2</v>
      </c>
      <c r="M1726" s="1">
        <v>46.2</v>
      </c>
      <c r="N1726" s="1" t="s">
        <v>45</v>
      </c>
      <c r="O1726" s="1" t="s">
        <v>63</v>
      </c>
      <c r="P1726" s="2">
        <v>41926</v>
      </c>
      <c r="Q1726" s="2" t="b">
        <f t="shared" si="80"/>
        <v>0</v>
      </c>
      <c r="V1726" s="2"/>
      <c r="W1726" s="2"/>
      <c r="X1726" s="2"/>
      <c r="Y1726" s="2"/>
      <c r="Z1726" s="2"/>
      <c r="AA1726" s="2"/>
      <c r="AB1726" s="2"/>
      <c r="AC1726" s="2"/>
      <c r="AD1726" s="2"/>
      <c r="AE1726" s="2"/>
      <c r="AF1726" s="2"/>
      <c r="AG1726" s="2"/>
      <c r="AH1726" s="2"/>
      <c r="AI1726" s="2"/>
    </row>
    <row r="1727" spans="1:35" ht="14.25" customHeight="1" x14ac:dyDescent="0.2">
      <c r="A1727" s="1">
        <v>43360</v>
      </c>
      <c r="B1727" s="1" t="s">
        <v>1264</v>
      </c>
      <c r="C1727" s="1" t="s">
        <v>30</v>
      </c>
      <c r="D1727" s="2">
        <v>41925</v>
      </c>
      <c r="E1727" s="1" t="s">
        <v>43</v>
      </c>
      <c r="F1727" s="1" t="s">
        <v>199</v>
      </c>
      <c r="G1727" s="1">
        <v>48</v>
      </c>
      <c r="H1727" s="1">
        <v>2.08</v>
      </c>
      <c r="I1727" s="1">
        <f t="shared" si="78"/>
        <v>99.84</v>
      </c>
      <c r="J1727" t="str">
        <f t="shared" si="79"/>
        <v>Low</v>
      </c>
      <c r="K1727" s="1"/>
      <c r="L1727" s="1">
        <v>0</v>
      </c>
      <c r="M1727" s="1">
        <v>5.33</v>
      </c>
      <c r="N1727" s="1" t="s">
        <v>33</v>
      </c>
      <c r="O1727" s="1" t="s">
        <v>34</v>
      </c>
      <c r="P1727" s="2">
        <v>41932</v>
      </c>
      <c r="Q1727" s="2" t="b">
        <f t="shared" si="80"/>
        <v>0</v>
      </c>
      <c r="V1727" s="2"/>
      <c r="W1727" s="2"/>
      <c r="X1727" s="2"/>
      <c r="Y1727" s="2"/>
      <c r="Z1727" s="2"/>
      <c r="AA1727" s="2"/>
      <c r="AB1727" s="2"/>
      <c r="AC1727" s="2"/>
      <c r="AD1727" s="2"/>
      <c r="AE1727" s="2"/>
      <c r="AF1727" s="2"/>
      <c r="AG1727" s="2"/>
      <c r="AH1727" s="2"/>
      <c r="AI1727" s="2"/>
    </row>
    <row r="1728" spans="1:35" ht="14.25" customHeight="1" x14ac:dyDescent="0.2">
      <c r="A1728" s="1">
        <v>40160</v>
      </c>
      <c r="B1728" s="1" t="s">
        <v>104</v>
      </c>
      <c r="C1728" s="1" t="s">
        <v>51</v>
      </c>
      <c r="D1728" s="2">
        <v>41927</v>
      </c>
      <c r="E1728" s="1" t="s">
        <v>38</v>
      </c>
      <c r="F1728" s="1" t="s">
        <v>1169</v>
      </c>
      <c r="G1728" s="1">
        <v>23</v>
      </c>
      <c r="H1728" s="1">
        <v>63.94</v>
      </c>
      <c r="I1728" s="1">
        <f t="shared" si="78"/>
        <v>1470.62</v>
      </c>
      <c r="J1728" t="str">
        <f t="shared" si="79"/>
        <v>High</v>
      </c>
      <c r="K1728" s="1"/>
      <c r="L1728" s="1">
        <v>0.1</v>
      </c>
      <c r="M1728" s="1">
        <v>14.48</v>
      </c>
      <c r="N1728" s="1" t="s">
        <v>33</v>
      </c>
      <c r="O1728" s="1" t="s">
        <v>34</v>
      </c>
      <c r="P1728" s="2">
        <v>41928</v>
      </c>
      <c r="Q1728" s="2" t="b">
        <f t="shared" si="80"/>
        <v>0</v>
      </c>
      <c r="V1728" s="2"/>
      <c r="W1728" s="2"/>
      <c r="X1728" s="2"/>
      <c r="Y1728" s="2"/>
      <c r="Z1728" s="2"/>
      <c r="AA1728" s="2"/>
      <c r="AB1728" s="2"/>
      <c r="AC1728" s="2"/>
      <c r="AD1728" s="2"/>
      <c r="AE1728" s="2"/>
      <c r="AF1728" s="2"/>
      <c r="AG1728" s="2"/>
      <c r="AH1728" s="2"/>
      <c r="AI1728" s="2"/>
    </row>
    <row r="1729" spans="1:35" ht="14.25" customHeight="1" x14ac:dyDescent="0.2">
      <c r="A1729" s="1">
        <v>47108</v>
      </c>
      <c r="B1729" s="1" t="s">
        <v>1293</v>
      </c>
      <c r="C1729" s="1" t="s">
        <v>30</v>
      </c>
      <c r="D1729" s="2">
        <v>41927</v>
      </c>
      <c r="E1729" s="1" t="s">
        <v>22</v>
      </c>
      <c r="F1729" s="1" t="s">
        <v>1499</v>
      </c>
      <c r="G1729" s="1">
        <v>19</v>
      </c>
      <c r="H1729" s="1">
        <v>18.649999999999999</v>
      </c>
      <c r="I1729" s="1">
        <f t="shared" si="78"/>
        <v>354.34999999999997</v>
      </c>
      <c r="J1729" t="str">
        <f t="shared" si="79"/>
        <v>Low</v>
      </c>
      <c r="K1729" s="1"/>
      <c r="L1729" s="1">
        <v>7.0000000000000007E-2</v>
      </c>
      <c r="M1729" s="1">
        <v>3.77</v>
      </c>
      <c r="N1729" s="1" t="s">
        <v>33</v>
      </c>
      <c r="O1729" s="1" t="s">
        <v>84</v>
      </c>
      <c r="P1729" s="2">
        <v>41928</v>
      </c>
      <c r="Q1729" s="2" t="b">
        <f t="shared" si="80"/>
        <v>0</v>
      </c>
      <c r="V1729" s="2"/>
      <c r="W1729" s="2"/>
      <c r="X1729" s="2"/>
      <c r="Y1729" s="2"/>
      <c r="Z1729" s="2"/>
      <c r="AA1729" s="2"/>
      <c r="AB1729" s="2"/>
      <c r="AC1729" s="2"/>
      <c r="AD1729" s="2"/>
      <c r="AE1729" s="2"/>
      <c r="AF1729" s="2"/>
      <c r="AG1729" s="2"/>
      <c r="AH1729" s="2"/>
      <c r="AI1729" s="2"/>
    </row>
    <row r="1730" spans="1:35" ht="14.25" customHeight="1" x14ac:dyDescent="0.2">
      <c r="A1730" s="1">
        <v>47108</v>
      </c>
      <c r="B1730" s="1" t="s">
        <v>1293</v>
      </c>
      <c r="C1730" s="1" t="s">
        <v>51</v>
      </c>
      <c r="D1730" s="2">
        <v>41927</v>
      </c>
      <c r="E1730" s="1" t="s">
        <v>22</v>
      </c>
      <c r="F1730" s="1" t="s">
        <v>734</v>
      </c>
      <c r="G1730" s="1">
        <v>7</v>
      </c>
      <c r="H1730" s="1">
        <v>17.98</v>
      </c>
      <c r="I1730" s="1">
        <f t="shared" ref="I1730:I1793" si="81">G1730*H1730</f>
        <v>125.86</v>
      </c>
      <c r="J1730" t="str">
        <f t="shared" ref="J1730:J1793" si="82">IF(I1730&lt;1000,"Low","High")</f>
        <v>Low</v>
      </c>
      <c r="K1730" s="1"/>
      <c r="L1730" s="1">
        <v>0.06</v>
      </c>
      <c r="M1730" s="1">
        <v>8.51</v>
      </c>
      <c r="N1730" s="1" t="s">
        <v>33</v>
      </c>
      <c r="O1730" s="1" t="s">
        <v>72</v>
      </c>
      <c r="P1730" s="2">
        <v>41929</v>
      </c>
      <c r="Q1730" s="2" t="b">
        <f t="shared" ref="Q1730:Q1793" si="83">AND(N1730="Express Air",O1730="Large Box")</f>
        <v>0</v>
      </c>
      <c r="V1730" s="2"/>
      <c r="W1730" s="2"/>
      <c r="X1730" s="2"/>
      <c r="Y1730" s="2"/>
      <c r="Z1730" s="2"/>
      <c r="AA1730" s="2"/>
      <c r="AB1730" s="2"/>
      <c r="AC1730" s="2"/>
      <c r="AD1730" s="2"/>
      <c r="AE1730" s="2"/>
      <c r="AF1730" s="2"/>
      <c r="AG1730" s="2"/>
      <c r="AH1730" s="2"/>
      <c r="AI1730" s="2"/>
    </row>
    <row r="1731" spans="1:35" ht="14.25" customHeight="1" x14ac:dyDescent="0.2">
      <c r="A1731" s="1">
        <v>47108</v>
      </c>
      <c r="B1731" s="1" t="s">
        <v>1293</v>
      </c>
      <c r="C1731" s="1" t="s">
        <v>30</v>
      </c>
      <c r="D1731" s="2">
        <v>41927</v>
      </c>
      <c r="E1731" s="1" t="s">
        <v>22</v>
      </c>
      <c r="F1731" s="1" t="s">
        <v>1396</v>
      </c>
      <c r="G1731" s="1">
        <v>26</v>
      </c>
      <c r="H1731" s="1">
        <v>9.99</v>
      </c>
      <c r="I1731" s="1">
        <f t="shared" si="81"/>
        <v>259.74</v>
      </c>
      <c r="J1731" t="str">
        <f t="shared" si="82"/>
        <v>Low</v>
      </c>
      <c r="K1731" s="1"/>
      <c r="L1731" s="1">
        <v>0.1</v>
      </c>
      <c r="M1731" s="1">
        <v>4.78</v>
      </c>
      <c r="N1731" s="1" t="s">
        <v>25</v>
      </c>
      <c r="O1731" s="1" t="s">
        <v>34</v>
      </c>
      <c r="P1731" s="2">
        <v>41930</v>
      </c>
      <c r="Q1731" s="2" t="b">
        <f t="shared" si="83"/>
        <v>0</v>
      </c>
      <c r="V1731" s="2"/>
      <c r="W1731" s="2"/>
      <c r="X1731" s="2"/>
      <c r="Y1731" s="2"/>
      <c r="Z1731" s="2"/>
      <c r="AA1731" s="2"/>
      <c r="AB1731" s="2"/>
      <c r="AC1731" s="2"/>
      <c r="AD1731" s="2"/>
      <c r="AE1731" s="2"/>
      <c r="AF1731" s="2"/>
      <c r="AG1731" s="2"/>
      <c r="AH1731" s="2"/>
      <c r="AI1731" s="2"/>
    </row>
    <row r="1732" spans="1:35" ht="14.25" customHeight="1" x14ac:dyDescent="0.2">
      <c r="A1732" s="1">
        <v>47108</v>
      </c>
      <c r="B1732" s="1" t="s">
        <v>1293</v>
      </c>
      <c r="C1732" s="1" t="s">
        <v>30</v>
      </c>
      <c r="D1732" s="2">
        <v>41927</v>
      </c>
      <c r="E1732" s="1" t="s">
        <v>22</v>
      </c>
      <c r="F1732" s="1" t="s">
        <v>721</v>
      </c>
      <c r="G1732" s="1">
        <v>9</v>
      </c>
      <c r="H1732" s="1">
        <v>175.99</v>
      </c>
      <c r="I1732" s="1">
        <f t="shared" si="81"/>
        <v>1583.91</v>
      </c>
      <c r="J1732" t="str">
        <f t="shared" si="82"/>
        <v>High</v>
      </c>
      <c r="K1732" s="1"/>
      <c r="L1732" s="1">
        <v>0.08</v>
      </c>
      <c r="M1732" s="1">
        <v>8.99</v>
      </c>
      <c r="N1732" s="1" t="s">
        <v>25</v>
      </c>
      <c r="O1732" s="1" t="s">
        <v>34</v>
      </c>
      <c r="P1732" s="2">
        <v>41928</v>
      </c>
      <c r="Q1732" s="2" t="b">
        <f t="shared" si="83"/>
        <v>0</v>
      </c>
      <c r="V1732" s="2"/>
      <c r="W1732" s="2"/>
      <c r="X1732" s="2"/>
      <c r="Y1732" s="2"/>
      <c r="Z1732" s="2"/>
      <c r="AA1732" s="2"/>
      <c r="AB1732" s="2"/>
      <c r="AC1732" s="2"/>
      <c r="AD1732" s="2"/>
      <c r="AE1732" s="2"/>
      <c r="AF1732" s="2"/>
      <c r="AG1732" s="2"/>
      <c r="AH1732" s="2"/>
      <c r="AI1732" s="2"/>
    </row>
    <row r="1733" spans="1:35" ht="14.25" customHeight="1" x14ac:dyDescent="0.2">
      <c r="A1733" s="1">
        <v>56995</v>
      </c>
      <c r="B1733" s="1" t="s">
        <v>1327</v>
      </c>
      <c r="C1733" s="1" t="s">
        <v>30</v>
      </c>
      <c r="D1733" s="2">
        <v>41927</v>
      </c>
      <c r="E1733" s="1" t="s">
        <v>101</v>
      </c>
      <c r="F1733" s="1" t="s">
        <v>1178</v>
      </c>
      <c r="G1733" s="1">
        <v>27</v>
      </c>
      <c r="H1733" s="1">
        <v>5.74</v>
      </c>
      <c r="I1733" s="1">
        <f t="shared" si="81"/>
        <v>154.98000000000002</v>
      </c>
      <c r="J1733" t="str">
        <f t="shared" si="82"/>
        <v>Low</v>
      </c>
      <c r="K1733" s="1"/>
      <c r="L1733" s="1">
        <v>0.08</v>
      </c>
      <c r="M1733" s="1">
        <v>5.01</v>
      </c>
      <c r="N1733" s="1" t="s">
        <v>25</v>
      </c>
      <c r="O1733" s="1" t="s">
        <v>34</v>
      </c>
      <c r="P1733" s="2">
        <v>41929</v>
      </c>
      <c r="Q1733" s="2" t="b">
        <f t="shared" si="83"/>
        <v>0</v>
      </c>
      <c r="V1733" s="2"/>
      <c r="W1733" s="2"/>
      <c r="X1733" s="2"/>
      <c r="Y1733" s="2"/>
      <c r="Z1733" s="2"/>
      <c r="AA1733" s="2"/>
      <c r="AB1733" s="2"/>
      <c r="AC1733" s="2"/>
      <c r="AD1733" s="2"/>
      <c r="AE1733" s="2"/>
      <c r="AF1733" s="2"/>
      <c r="AG1733" s="2"/>
      <c r="AH1733" s="2"/>
      <c r="AI1733" s="2"/>
    </row>
    <row r="1734" spans="1:35" ht="14.25" customHeight="1" x14ac:dyDescent="0.2">
      <c r="A1734" s="1">
        <v>17028</v>
      </c>
      <c r="B1734" s="1" t="s">
        <v>225</v>
      </c>
      <c r="C1734" s="1" t="s">
        <v>51</v>
      </c>
      <c r="D1734" s="2">
        <v>41927</v>
      </c>
      <c r="E1734" s="1" t="s">
        <v>31</v>
      </c>
      <c r="F1734" s="1" t="s">
        <v>1333</v>
      </c>
      <c r="G1734" s="1">
        <v>19</v>
      </c>
      <c r="H1734" s="1">
        <v>25.99</v>
      </c>
      <c r="I1734" s="1">
        <f t="shared" si="81"/>
        <v>493.80999999999995</v>
      </c>
      <c r="J1734" t="str">
        <f t="shared" si="82"/>
        <v>Low</v>
      </c>
      <c r="K1734" s="1"/>
      <c r="L1734" s="1">
        <v>0.02</v>
      </c>
      <c r="M1734" s="1">
        <v>5.37</v>
      </c>
      <c r="N1734" s="1" t="s">
        <v>33</v>
      </c>
      <c r="O1734" s="1" t="s">
        <v>34</v>
      </c>
      <c r="P1734" s="2">
        <v>41929</v>
      </c>
      <c r="Q1734" s="2" t="b">
        <f t="shared" si="83"/>
        <v>0</v>
      </c>
      <c r="V1734" s="2"/>
      <c r="W1734" s="2"/>
      <c r="X1734" s="2"/>
      <c r="Y1734" s="2"/>
      <c r="Z1734" s="2"/>
      <c r="AA1734" s="2"/>
      <c r="AB1734" s="2"/>
      <c r="AC1734" s="2"/>
      <c r="AD1734" s="2"/>
      <c r="AE1734" s="2"/>
      <c r="AF1734" s="2"/>
      <c r="AG1734" s="2"/>
      <c r="AH1734" s="2"/>
      <c r="AI1734" s="2"/>
    </row>
    <row r="1735" spans="1:35" ht="14.25" customHeight="1" x14ac:dyDescent="0.2">
      <c r="A1735" s="1">
        <v>57248</v>
      </c>
      <c r="B1735" s="1" t="s">
        <v>1500</v>
      </c>
      <c r="C1735" s="1" t="s">
        <v>21</v>
      </c>
      <c r="D1735" s="2">
        <v>41927</v>
      </c>
      <c r="E1735" s="1" t="s">
        <v>38</v>
      </c>
      <c r="F1735" s="1" t="s">
        <v>1015</v>
      </c>
      <c r="G1735" s="1">
        <v>34</v>
      </c>
      <c r="H1735" s="1">
        <v>4.9800000000000004</v>
      </c>
      <c r="I1735" s="1">
        <f t="shared" si="81"/>
        <v>169.32000000000002</v>
      </c>
      <c r="J1735" t="str">
        <f t="shared" si="82"/>
        <v>Low</v>
      </c>
      <c r="K1735" s="1"/>
      <c r="L1735" s="1">
        <v>0.04</v>
      </c>
      <c r="M1735" s="1">
        <v>4.95</v>
      </c>
      <c r="N1735" s="1" t="s">
        <v>33</v>
      </c>
      <c r="O1735" s="1" t="s">
        <v>34</v>
      </c>
      <c r="P1735" s="2">
        <v>41929</v>
      </c>
      <c r="Q1735" s="2" t="b">
        <f t="shared" si="83"/>
        <v>0</v>
      </c>
      <c r="V1735" s="2"/>
      <c r="W1735" s="2"/>
      <c r="X1735" s="2"/>
      <c r="Y1735" s="2"/>
      <c r="Z1735" s="2"/>
      <c r="AA1735" s="2"/>
      <c r="AB1735" s="2"/>
      <c r="AC1735" s="2"/>
      <c r="AD1735" s="2"/>
      <c r="AE1735" s="2"/>
      <c r="AF1735" s="2"/>
      <c r="AG1735" s="2"/>
      <c r="AH1735" s="2"/>
      <c r="AI1735" s="2"/>
    </row>
    <row r="1736" spans="1:35" ht="14.25" customHeight="1" x14ac:dyDescent="0.2">
      <c r="A1736" s="1">
        <v>8165</v>
      </c>
      <c r="B1736" s="1" t="s">
        <v>343</v>
      </c>
      <c r="C1736" s="1" t="s">
        <v>30</v>
      </c>
      <c r="D1736" s="2">
        <v>41927</v>
      </c>
      <c r="E1736" s="1" t="s">
        <v>43</v>
      </c>
      <c r="F1736" s="1" t="s">
        <v>914</v>
      </c>
      <c r="G1736" s="1">
        <v>35</v>
      </c>
      <c r="H1736" s="1">
        <v>4.9800000000000004</v>
      </c>
      <c r="I1736" s="1">
        <f t="shared" si="81"/>
        <v>174.3</v>
      </c>
      <c r="J1736" t="str">
        <f t="shared" si="82"/>
        <v>Low</v>
      </c>
      <c r="K1736" s="1"/>
      <c r="L1736" s="1">
        <v>0.01</v>
      </c>
      <c r="M1736" s="1">
        <v>7.44</v>
      </c>
      <c r="N1736" s="1" t="s">
        <v>33</v>
      </c>
      <c r="O1736" s="1" t="s">
        <v>34</v>
      </c>
      <c r="P1736" s="2">
        <v>41936</v>
      </c>
      <c r="Q1736" s="2" t="b">
        <f t="shared" si="83"/>
        <v>0</v>
      </c>
      <c r="V1736" s="2"/>
      <c r="W1736" s="2"/>
      <c r="X1736" s="2"/>
      <c r="Y1736" s="2"/>
      <c r="Z1736" s="2"/>
      <c r="AA1736" s="2"/>
      <c r="AB1736" s="2"/>
      <c r="AC1736" s="2"/>
      <c r="AD1736" s="2"/>
      <c r="AE1736" s="2"/>
      <c r="AF1736" s="2"/>
      <c r="AG1736" s="2"/>
      <c r="AH1736" s="2"/>
      <c r="AI1736" s="2"/>
    </row>
    <row r="1737" spans="1:35" ht="14.25" customHeight="1" x14ac:dyDescent="0.2">
      <c r="A1737" s="1">
        <v>7906</v>
      </c>
      <c r="B1737" s="1" t="s">
        <v>1501</v>
      </c>
      <c r="C1737" s="1" t="s">
        <v>51</v>
      </c>
      <c r="D1737" s="2">
        <v>41929</v>
      </c>
      <c r="E1737" s="1" t="s">
        <v>101</v>
      </c>
      <c r="F1737" s="1" t="s">
        <v>1502</v>
      </c>
      <c r="G1737" s="1">
        <v>37</v>
      </c>
      <c r="H1737" s="1">
        <v>25.98</v>
      </c>
      <c r="I1737" s="1">
        <f t="shared" si="81"/>
        <v>961.26</v>
      </c>
      <c r="J1737" t="str">
        <f t="shared" si="82"/>
        <v>Low</v>
      </c>
      <c r="K1737" s="1"/>
      <c r="L1737" s="1">
        <v>0.03</v>
      </c>
      <c r="M1737" s="1">
        <v>5.37</v>
      </c>
      <c r="N1737" s="1" t="s">
        <v>33</v>
      </c>
      <c r="O1737" s="1" t="s">
        <v>72</v>
      </c>
      <c r="P1737" s="2">
        <v>41929</v>
      </c>
      <c r="Q1737" s="2" t="b">
        <f t="shared" si="83"/>
        <v>0</v>
      </c>
      <c r="V1737" s="2"/>
      <c r="W1737" s="2"/>
      <c r="X1737" s="2"/>
      <c r="Y1737" s="2"/>
      <c r="Z1737" s="2"/>
      <c r="AA1737" s="2"/>
      <c r="AB1737" s="2"/>
      <c r="AC1737" s="2"/>
      <c r="AD1737" s="2"/>
      <c r="AE1737" s="2"/>
      <c r="AF1737" s="2"/>
      <c r="AG1737" s="2"/>
      <c r="AH1737" s="2"/>
      <c r="AI1737" s="2"/>
    </row>
    <row r="1738" spans="1:35" ht="14.25" customHeight="1" x14ac:dyDescent="0.2">
      <c r="A1738" s="1">
        <v>13761</v>
      </c>
      <c r="B1738" s="1" t="s">
        <v>1478</v>
      </c>
      <c r="C1738" s="1" t="s">
        <v>21</v>
      </c>
      <c r="D1738" s="2">
        <v>41929</v>
      </c>
      <c r="E1738" s="1" t="s">
        <v>43</v>
      </c>
      <c r="F1738" s="1" t="s">
        <v>1503</v>
      </c>
      <c r="G1738" s="1">
        <v>32</v>
      </c>
      <c r="H1738" s="1">
        <v>78.8</v>
      </c>
      <c r="I1738" s="1">
        <f t="shared" si="81"/>
        <v>2521.6</v>
      </c>
      <c r="J1738" t="str">
        <f t="shared" si="82"/>
        <v>High</v>
      </c>
      <c r="K1738" s="1"/>
      <c r="L1738" s="1">
        <v>0.09</v>
      </c>
      <c r="M1738" s="1">
        <v>35</v>
      </c>
      <c r="N1738" s="1" t="s">
        <v>33</v>
      </c>
      <c r="O1738" s="1" t="s">
        <v>26</v>
      </c>
      <c r="P1738" s="2">
        <v>41933</v>
      </c>
      <c r="Q1738" s="2" t="b">
        <f t="shared" si="83"/>
        <v>0</v>
      </c>
      <c r="V1738" s="2"/>
      <c r="W1738" s="2"/>
      <c r="X1738" s="2"/>
      <c r="Y1738" s="2"/>
      <c r="Z1738" s="2"/>
      <c r="AA1738" s="2"/>
      <c r="AB1738" s="2"/>
      <c r="AC1738" s="2"/>
      <c r="AD1738" s="2"/>
      <c r="AE1738" s="2"/>
      <c r="AF1738" s="2"/>
      <c r="AG1738" s="2"/>
      <c r="AH1738" s="2"/>
      <c r="AI1738" s="2"/>
    </row>
    <row r="1739" spans="1:35" ht="14.25" customHeight="1" x14ac:dyDescent="0.2">
      <c r="A1739" s="1">
        <v>31493</v>
      </c>
      <c r="B1739" s="1" t="s">
        <v>1269</v>
      </c>
      <c r="C1739" s="1" t="s">
        <v>30</v>
      </c>
      <c r="D1739" s="2">
        <v>41929</v>
      </c>
      <c r="E1739" s="1" t="s">
        <v>31</v>
      </c>
      <c r="F1739" s="1" t="s">
        <v>1497</v>
      </c>
      <c r="G1739" s="1">
        <v>8</v>
      </c>
      <c r="H1739" s="1">
        <v>12.2</v>
      </c>
      <c r="I1739" s="1">
        <f t="shared" si="81"/>
        <v>97.6</v>
      </c>
      <c r="J1739" t="str">
        <f t="shared" si="82"/>
        <v>Low</v>
      </c>
      <c r="K1739" s="1"/>
      <c r="L1739" s="1">
        <v>0</v>
      </c>
      <c r="M1739" s="1">
        <v>6.02</v>
      </c>
      <c r="N1739" s="1" t="s">
        <v>25</v>
      </c>
      <c r="O1739" s="1" t="s">
        <v>84</v>
      </c>
      <c r="P1739" s="2">
        <v>41930</v>
      </c>
      <c r="Q1739" s="2" t="b">
        <f t="shared" si="83"/>
        <v>0</v>
      </c>
      <c r="V1739" s="2"/>
      <c r="W1739" s="2"/>
      <c r="X1739" s="2"/>
      <c r="Y1739" s="2"/>
      <c r="Z1739" s="2"/>
      <c r="AA1739" s="2"/>
      <c r="AB1739" s="2"/>
      <c r="AC1739" s="2"/>
      <c r="AD1739" s="2"/>
      <c r="AE1739" s="2"/>
      <c r="AF1739" s="2"/>
      <c r="AG1739" s="2"/>
      <c r="AH1739" s="2"/>
      <c r="AI1739" s="2"/>
    </row>
    <row r="1740" spans="1:35" ht="14.25" customHeight="1" x14ac:dyDescent="0.2">
      <c r="A1740" s="1">
        <v>43044</v>
      </c>
      <c r="B1740" s="1" t="s">
        <v>1504</v>
      </c>
      <c r="C1740" s="1" t="s">
        <v>51</v>
      </c>
      <c r="D1740" s="2">
        <v>41929</v>
      </c>
      <c r="E1740" s="1" t="s">
        <v>101</v>
      </c>
      <c r="F1740" s="1" t="s">
        <v>1117</v>
      </c>
      <c r="G1740" s="1">
        <v>23</v>
      </c>
      <c r="H1740" s="1">
        <v>4.24</v>
      </c>
      <c r="I1740" s="1">
        <f t="shared" si="81"/>
        <v>97.52000000000001</v>
      </c>
      <c r="J1740" t="str">
        <f t="shared" si="82"/>
        <v>Low</v>
      </c>
      <c r="K1740" s="1"/>
      <c r="L1740" s="1">
        <v>0.06</v>
      </c>
      <c r="M1740" s="1">
        <v>5.41</v>
      </c>
      <c r="N1740" s="1" t="s">
        <v>33</v>
      </c>
      <c r="O1740" s="1" t="s">
        <v>34</v>
      </c>
      <c r="P1740" s="2">
        <v>41931</v>
      </c>
      <c r="Q1740" s="2" t="b">
        <f t="shared" si="83"/>
        <v>0</v>
      </c>
      <c r="V1740" s="2"/>
      <c r="W1740" s="2"/>
      <c r="X1740" s="2"/>
      <c r="Y1740" s="2"/>
      <c r="Z1740" s="2"/>
      <c r="AA1740" s="2"/>
      <c r="AB1740" s="2"/>
      <c r="AC1740" s="2"/>
      <c r="AD1740" s="2"/>
      <c r="AE1740" s="2"/>
      <c r="AF1740" s="2"/>
      <c r="AG1740" s="2"/>
      <c r="AH1740" s="2"/>
      <c r="AI1740" s="2"/>
    </row>
    <row r="1741" spans="1:35" ht="14.25" customHeight="1" x14ac:dyDescent="0.2">
      <c r="A1741" s="1">
        <v>43044</v>
      </c>
      <c r="B1741" s="1" t="s">
        <v>1504</v>
      </c>
      <c r="C1741" s="1" t="s">
        <v>21</v>
      </c>
      <c r="D1741" s="2">
        <v>41929</v>
      </c>
      <c r="E1741" s="1" t="s">
        <v>101</v>
      </c>
      <c r="F1741" s="1" t="s">
        <v>134</v>
      </c>
      <c r="G1741" s="1">
        <v>3</v>
      </c>
      <c r="H1741" s="1">
        <v>6783.02</v>
      </c>
      <c r="I1741" s="1">
        <f t="shared" si="81"/>
        <v>20349.060000000001</v>
      </c>
      <c r="J1741" t="str">
        <f t="shared" si="82"/>
        <v>High</v>
      </c>
      <c r="K1741" s="1"/>
      <c r="L1741" s="1">
        <v>0.04</v>
      </c>
      <c r="M1741" s="1">
        <v>24.49</v>
      </c>
      <c r="N1741" s="1" t="s">
        <v>33</v>
      </c>
      <c r="O1741" s="1" t="s">
        <v>26</v>
      </c>
      <c r="P1741" s="2">
        <v>41931</v>
      </c>
      <c r="Q1741" s="2" t="b">
        <f t="shared" si="83"/>
        <v>0</v>
      </c>
      <c r="V1741" s="2"/>
      <c r="W1741" s="2"/>
      <c r="X1741" s="2"/>
      <c r="Y1741" s="2"/>
      <c r="Z1741" s="2"/>
      <c r="AA1741" s="2"/>
      <c r="AB1741" s="2"/>
      <c r="AC1741" s="2"/>
      <c r="AD1741" s="2"/>
      <c r="AE1741" s="2"/>
      <c r="AF1741" s="2"/>
      <c r="AG1741" s="2"/>
      <c r="AH1741" s="2"/>
      <c r="AI1741" s="2"/>
    </row>
    <row r="1742" spans="1:35" ht="14.25" customHeight="1" x14ac:dyDescent="0.2">
      <c r="A1742" s="1">
        <v>26342</v>
      </c>
      <c r="B1742" s="1" t="s">
        <v>294</v>
      </c>
      <c r="C1742" s="1" t="s">
        <v>21</v>
      </c>
      <c r="D1742" s="2">
        <v>41930</v>
      </c>
      <c r="E1742" s="1" t="s">
        <v>43</v>
      </c>
      <c r="F1742" s="1" t="s">
        <v>994</v>
      </c>
      <c r="G1742" s="1">
        <v>24</v>
      </c>
      <c r="H1742" s="1">
        <v>9.99</v>
      </c>
      <c r="I1742" s="1">
        <f t="shared" si="81"/>
        <v>239.76</v>
      </c>
      <c r="J1742" t="str">
        <f t="shared" si="82"/>
        <v>Low</v>
      </c>
      <c r="K1742" s="1"/>
      <c r="L1742" s="1">
        <v>0.02</v>
      </c>
      <c r="M1742" s="1">
        <v>11.59</v>
      </c>
      <c r="N1742" s="1" t="s">
        <v>33</v>
      </c>
      <c r="O1742" s="1" t="s">
        <v>34</v>
      </c>
      <c r="P1742" s="2">
        <v>41939</v>
      </c>
      <c r="Q1742" s="2" t="b">
        <f t="shared" si="83"/>
        <v>0</v>
      </c>
      <c r="V1742" s="2"/>
      <c r="W1742" s="2"/>
      <c r="X1742" s="2"/>
      <c r="Y1742" s="2"/>
      <c r="Z1742" s="2"/>
      <c r="AA1742" s="2"/>
      <c r="AB1742" s="2"/>
      <c r="AC1742" s="2"/>
      <c r="AD1742" s="2"/>
      <c r="AE1742" s="2"/>
      <c r="AF1742" s="2"/>
      <c r="AG1742" s="2"/>
      <c r="AH1742" s="2"/>
      <c r="AI1742" s="2"/>
    </row>
    <row r="1743" spans="1:35" ht="14.25" customHeight="1" x14ac:dyDescent="0.2">
      <c r="A1743" s="1">
        <v>26342</v>
      </c>
      <c r="B1743" s="1" t="s">
        <v>294</v>
      </c>
      <c r="C1743" s="1" t="s">
        <v>30</v>
      </c>
      <c r="D1743" s="2">
        <v>41930</v>
      </c>
      <c r="E1743" s="1" t="s">
        <v>43</v>
      </c>
      <c r="F1743" s="1" t="s">
        <v>1083</v>
      </c>
      <c r="G1743" s="1">
        <v>41</v>
      </c>
      <c r="H1743" s="1">
        <v>48.04</v>
      </c>
      <c r="I1743" s="1">
        <f t="shared" si="81"/>
        <v>1969.6399999999999</v>
      </c>
      <c r="J1743" t="str">
        <f t="shared" si="82"/>
        <v>High</v>
      </c>
      <c r="K1743" s="1"/>
      <c r="L1743" s="1">
        <v>0.02</v>
      </c>
      <c r="M1743" s="1">
        <v>5.79</v>
      </c>
      <c r="N1743" s="1" t="s">
        <v>33</v>
      </c>
      <c r="O1743" s="1" t="s">
        <v>34</v>
      </c>
      <c r="P1743" s="2">
        <v>41935</v>
      </c>
      <c r="Q1743" s="2" t="b">
        <f t="shared" si="83"/>
        <v>0</v>
      </c>
      <c r="V1743" s="2"/>
      <c r="W1743" s="2"/>
      <c r="X1743" s="2"/>
      <c r="Y1743" s="2"/>
      <c r="Z1743" s="2"/>
      <c r="AA1743" s="2"/>
      <c r="AB1743" s="2"/>
      <c r="AC1743" s="2"/>
      <c r="AD1743" s="2"/>
      <c r="AE1743" s="2"/>
      <c r="AF1743" s="2"/>
      <c r="AG1743" s="2"/>
      <c r="AH1743" s="2"/>
      <c r="AI1743" s="2"/>
    </row>
    <row r="1744" spans="1:35" ht="14.25" customHeight="1" x14ac:dyDescent="0.2">
      <c r="A1744" s="1">
        <v>26342</v>
      </c>
      <c r="B1744" s="1" t="s">
        <v>294</v>
      </c>
      <c r="C1744" s="1" t="s">
        <v>21</v>
      </c>
      <c r="D1744" s="2">
        <v>41930</v>
      </c>
      <c r="E1744" s="1" t="s">
        <v>43</v>
      </c>
      <c r="F1744" s="1" t="s">
        <v>1207</v>
      </c>
      <c r="G1744" s="1">
        <v>3</v>
      </c>
      <c r="H1744" s="1">
        <v>6.68</v>
      </c>
      <c r="I1744" s="1">
        <f t="shared" si="81"/>
        <v>20.04</v>
      </c>
      <c r="J1744" t="str">
        <f t="shared" si="82"/>
        <v>Low</v>
      </c>
      <c r="K1744" s="1"/>
      <c r="L1744" s="1">
        <v>0.04</v>
      </c>
      <c r="M1744" s="1">
        <v>4.91</v>
      </c>
      <c r="N1744" s="1" t="s">
        <v>33</v>
      </c>
      <c r="O1744" s="1" t="s">
        <v>34</v>
      </c>
      <c r="P1744" s="2">
        <v>41937</v>
      </c>
      <c r="Q1744" s="2" t="b">
        <f t="shared" si="83"/>
        <v>0</v>
      </c>
      <c r="V1744" s="2"/>
      <c r="W1744" s="2"/>
      <c r="X1744" s="2"/>
      <c r="Y1744" s="2"/>
      <c r="Z1744" s="2"/>
      <c r="AA1744" s="2"/>
      <c r="AB1744" s="2"/>
      <c r="AC1744" s="2"/>
      <c r="AD1744" s="2"/>
      <c r="AE1744" s="2"/>
      <c r="AF1744" s="2"/>
      <c r="AG1744" s="2"/>
      <c r="AH1744" s="2"/>
      <c r="AI1744" s="2"/>
    </row>
    <row r="1745" spans="1:35" ht="14.25" customHeight="1" x14ac:dyDescent="0.2">
      <c r="A1745" s="1">
        <v>2086</v>
      </c>
      <c r="B1745" s="1" t="s">
        <v>520</v>
      </c>
      <c r="C1745" s="1" t="s">
        <v>51</v>
      </c>
      <c r="D1745" s="2">
        <v>41930</v>
      </c>
      <c r="E1745" s="1" t="s">
        <v>38</v>
      </c>
      <c r="F1745" s="1" t="s">
        <v>1192</v>
      </c>
      <c r="G1745" s="1">
        <v>24</v>
      </c>
      <c r="H1745" s="1">
        <v>55.98</v>
      </c>
      <c r="I1745" s="1">
        <f t="shared" si="81"/>
        <v>1343.52</v>
      </c>
      <c r="J1745" t="str">
        <f t="shared" si="82"/>
        <v>High</v>
      </c>
      <c r="K1745" s="1"/>
      <c r="L1745" s="1">
        <v>0.01</v>
      </c>
      <c r="M1745" s="1">
        <v>4.8600000000000003</v>
      </c>
      <c r="N1745" s="1" t="s">
        <v>25</v>
      </c>
      <c r="O1745" s="1" t="s">
        <v>34</v>
      </c>
      <c r="P1745" s="2">
        <v>41932</v>
      </c>
      <c r="Q1745" s="2" t="b">
        <f t="shared" si="83"/>
        <v>0</v>
      </c>
      <c r="V1745" s="2"/>
      <c r="W1745" s="2"/>
      <c r="X1745" s="2"/>
      <c r="Y1745" s="2"/>
      <c r="Z1745" s="2"/>
      <c r="AA1745" s="2"/>
      <c r="AB1745" s="2"/>
      <c r="AC1745" s="2"/>
      <c r="AD1745" s="2"/>
      <c r="AE1745" s="2"/>
      <c r="AF1745" s="2"/>
      <c r="AG1745" s="2"/>
      <c r="AH1745" s="2"/>
      <c r="AI1745" s="2"/>
    </row>
    <row r="1746" spans="1:35" ht="14.25" customHeight="1" x14ac:dyDescent="0.2">
      <c r="A1746" s="1">
        <v>2086</v>
      </c>
      <c r="B1746" s="1" t="s">
        <v>520</v>
      </c>
      <c r="C1746" s="1" t="s">
        <v>51</v>
      </c>
      <c r="D1746" s="2">
        <v>41930</v>
      </c>
      <c r="E1746" s="1" t="s">
        <v>38</v>
      </c>
      <c r="F1746" s="1" t="s">
        <v>937</v>
      </c>
      <c r="G1746" s="1">
        <v>38</v>
      </c>
      <c r="H1746" s="1">
        <v>65.989999999999995</v>
      </c>
      <c r="I1746" s="1">
        <f t="shared" si="81"/>
        <v>2507.62</v>
      </c>
      <c r="J1746" t="str">
        <f t="shared" si="82"/>
        <v>High</v>
      </c>
      <c r="K1746" s="1"/>
      <c r="L1746" s="1">
        <v>0.04</v>
      </c>
      <c r="M1746" s="1">
        <v>8.99</v>
      </c>
      <c r="N1746" s="1" t="s">
        <v>33</v>
      </c>
      <c r="O1746" s="1" t="s">
        <v>34</v>
      </c>
      <c r="P1746" s="2">
        <v>41931</v>
      </c>
      <c r="Q1746" s="2" t="b">
        <f t="shared" si="83"/>
        <v>0</v>
      </c>
      <c r="V1746" s="2"/>
      <c r="W1746" s="2"/>
      <c r="X1746" s="2"/>
      <c r="Y1746" s="2"/>
      <c r="Z1746" s="2"/>
      <c r="AA1746" s="2"/>
      <c r="AB1746" s="2"/>
      <c r="AC1746" s="2"/>
      <c r="AD1746" s="2"/>
      <c r="AE1746" s="2"/>
      <c r="AF1746" s="2"/>
      <c r="AG1746" s="2"/>
      <c r="AH1746" s="2"/>
      <c r="AI1746" s="2"/>
    </row>
    <row r="1747" spans="1:35" ht="14.25" customHeight="1" x14ac:dyDescent="0.2">
      <c r="A1747" s="1">
        <v>2086</v>
      </c>
      <c r="B1747" s="1" t="s">
        <v>520</v>
      </c>
      <c r="C1747" s="1" t="s">
        <v>51</v>
      </c>
      <c r="D1747" s="2">
        <v>41930</v>
      </c>
      <c r="E1747" s="1" t="s">
        <v>38</v>
      </c>
      <c r="F1747" s="1" t="s">
        <v>957</v>
      </c>
      <c r="G1747" s="1">
        <v>9</v>
      </c>
      <c r="H1747" s="1">
        <v>128.24</v>
      </c>
      <c r="I1747" s="1">
        <f t="shared" si="81"/>
        <v>1154.1600000000001</v>
      </c>
      <c r="J1747" t="str">
        <f t="shared" si="82"/>
        <v>High</v>
      </c>
      <c r="K1747" s="1"/>
      <c r="L1747" s="1">
        <v>0.01</v>
      </c>
      <c r="M1747" s="1">
        <v>12.65</v>
      </c>
      <c r="N1747" s="1" t="s">
        <v>33</v>
      </c>
      <c r="O1747" s="1" t="s">
        <v>72</v>
      </c>
      <c r="P1747" s="2">
        <v>41933</v>
      </c>
      <c r="Q1747" s="2" t="b">
        <f t="shared" si="83"/>
        <v>0</v>
      </c>
      <c r="V1747" s="2"/>
      <c r="W1747" s="2"/>
      <c r="X1747" s="2"/>
      <c r="Y1747" s="2"/>
      <c r="Z1747" s="2"/>
      <c r="AA1747" s="2"/>
      <c r="AB1747" s="2"/>
      <c r="AC1747" s="2"/>
      <c r="AD1747" s="2"/>
      <c r="AE1747" s="2"/>
      <c r="AF1747" s="2"/>
      <c r="AG1747" s="2"/>
      <c r="AH1747" s="2"/>
      <c r="AI1747" s="2"/>
    </row>
    <row r="1748" spans="1:35" ht="14.25" customHeight="1" x14ac:dyDescent="0.2">
      <c r="A1748" s="1">
        <v>41255</v>
      </c>
      <c r="B1748" s="1" t="s">
        <v>428</v>
      </c>
      <c r="C1748" s="1" t="s">
        <v>30</v>
      </c>
      <c r="D1748" s="2">
        <v>41930</v>
      </c>
      <c r="E1748" s="1" t="s">
        <v>43</v>
      </c>
      <c r="F1748" s="1" t="s">
        <v>465</v>
      </c>
      <c r="G1748" s="1">
        <v>22</v>
      </c>
      <c r="H1748" s="1">
        <v>60.65</v>
      </c>
      <c r="I1748" s="1">
        <f t="shared" si="81"/>
        <v>1334.3</v>
      </c>
      <c r="J1748" t="str">
        <f t="shared" si="82"/>
        <v>High</v>
      </c>
      <c r="K1748" s="1"/>
      <c r="L1748" s="1">
        <v>0.01</v>
      </c>
      <c r="M1748" s="1">
        <v>12.23</v>
      </c>
      <c r="N1748" s="1" t="s">
        <v>33</v>
      </c>
      <c r="O1748" s="1" t="s">
        <v>72</v>
      </c>
      <c r="P1748" s="2">
        <v>41937</v>
      </c>
      <c r="Q1748" s="2" t="b">
        <f t="shared" si="83"/>
        <v>0</v>
      </c>
      <c r="V1748" s="2"/>
      <c r="W1748" s="2"/>
      <c r="X1748" s="2"/>
      <c r="Y1748" s="2"/>
      <c r="Z1748" s="2"/>
      <c r="AA1748" s="2"/>
      <c r="AB1748" s="2"/>
      <c r="AC1748" s="2"/>
      <c r="AD1748" s="2"/>
      <c r="AE1748" s="2"/>
      <c r="AF1748" s="2"/>
      <c r="AG1748" s="2"/>
      <c r="AH1748" s="2"/>
      <c r="AI1748" s="2"/>
    </row>
    <row r="1749" spans="1:35" ht="14.25" customHeight="1" x14ac:dyDescent="0.2">
      <c r="A1749" s="1">
        <v>28614</v>
      </c>
      <c r="B1749" s="1" t="s">
        <v>277</v>
      </c>
      <c r="C1749" s="1" t="s">
        <v>51</v>
      </c>
      <c r="D1749" s="2">
        <v>41931</v>
      </c>
      <c r="E1749" s="1" t="s">
        <v>38</v>
      </c>
      <c r="F1749" s="1" t="s">
        <v>477</v>
      </c>
      <c r="G1749" s="1">
        <v>50</v>
      </c>
      <c r="H1749" s="1">
        <v>159.99</v>
      </c>
      <c r="I1749" s="1">
        <f t="shared" si="81"/>
        <v>7999.5</v>
      </c>
      <c r="J1749" t="str">
        <f t="shared" si="82"/>
        <v>High</v>
      </c>
      <c r="K1749" s="1"/>
      <c r="L1749" s="1">
        <v>0.05</v>
      </c>
      <c r="M1749" s="1">
        <v>5.5</v>
      </c>
      <c r="N1749" s="1" t="s">
        <v>33</v>
      </c>
      <c r="O1749" s="1" t="s">
        <v>34</v>
      </c>
      <c r="P1749" s="2">
        <v>41933</v>
      </c>
      <c r="Q1749" s="2" t="b">
        <f t="shared" si="83"/>
        <v>0</v>
      </c>
      <c r="V1749" s="2"/>
      <c r="W1749" s="2"/>
      <c r="X1749" s="2"/>
      <c r="Y1749" s="2"/>
      <c r="Z1749" s="2"/>
      <c r="AA1749" s="2"/>
      <c r="AB1749" s="2"/>
      <c r="AC1749" s="2"/>
      <c r="AD1749" s="2"/>
      <c r="AE1749" s="2"/>
      <c r="AF1749" s="2"/>
      <c r="AG1749" s="2"/>
      <c r="AH1749" s="2"/>
      <c r="AI1749" s="2"/>
    </row>
    <row r="1750" spans="1:35" ht="14.25" customHeight="1" x14ac:dyDescent="0.2">
      <c r="A1750" s="1">
        <v>52615</v>
      </c>
      <c r="B1750" s="1" t="s">
        <v>713</v>
      </c>
      <c r="C1750" s="1" t="s">
        <v>30</v>
      </c>
      <c r="D1750" s="2">
        <v>41931</v>
      </c>
      <c r="E1750" s="1" t="s">
        <v>43</v>
      </c>
      <c r="F1750" s="1" t="s">
        <v>810</v>
      </c>
      <c r="G1750" s="1">
        <v>4</v>
      </c>
      <c r="H1750" s="1">
        <v>4.4800000000000004</v>
      </c>
      <c r="I1750" s="1">
        <f t="shared" si="81"/>
        <v>17.920000000000002</v>
      </c>
      <c r="J1750" t="str">
        <f t="shared" si="82"/>
        <v>Low</v>
      </c>
      <c r="K1750" s="1"/>
      <c r="L1750" s="1">
        <v>0.05</v>
      </c>
      <c r="M1750" s="1">
        <v>49</v>
      </c>
      <c r="N1750" s="1" t="s">
        <v>33</v>
      </c>
      <c r="O1750" s="1" t="s">
        <v>26</v>
      </c>
      <c r="P1750" s="2">
        <v>41935</v>
      </c>
      <c r="Q1750" s="2" t="b">
        <f t="shared" si="83"/>
        <v>0</v>
      </c>
      <c r="V1750" s="2"/>
      <c r="W1750" s="2"/>
      <c r="X1750" s="2"/>
      <c r="Y1750" s="2"/>
      <c r="Z1750" s="2"/>
      <c r="AA1750" s="2"/>
      <c r="AB1750" s="2"/>
      <c r="AC1750" s="2"/>
      <c r="AD1750" s="2"/>
      <c r="AE1750" s="2"/>
      <c r="AF1750" s="2"/>
      <c r="AG1750" s="2"/>
      <c r="AH1750" s="2"/>
      <c r="AI1750" s="2"/>
    </row>
    <row r="1751" spans="1:35" ht="14.25" customHeight="1" x14ac:dyDescent="0.2">
      <c r="A1751" s="1">
        <v>52615</v>
      </c>
      <c r="B1751" s="1" t="s">
        <v>713</v>
      </c>
      <c r="C1751" s="1" t="s">
        <v>51</v>
      </c>
      <c r="D1751" s="2">
        <v>41931</v>
      </c>
      <c r="E1751" s="1" t="s">
        <v>43</v>
      </c>
      <c r="F1751" s="1" t="s">
        <v>1117</v>
      </c>
      <c r="G1751" s="1">
        <v>18</v>
      </c>
      <c r="H1751" s="1">
        <v>4.24</v>
      </c>
      <c r="I1751" s="1">
        <f t="shared" si="81"/>
        <v>76.320000000000007</v>
      </c>
      <c r="J1751" t="str">
        <f t="shared" si="82"/>
        <v>Low</v>
      </c>
      <c r="K1751" s="1"/>
      <c r="L1751" s="1">
        <v>0.1</v>
      </c>
      <c r="M1751" s="1">
        <v>5.41</v>
      </c>
      <c r="N1751" s="1" t="s">
        <v>33</v>
      </c>
      <c r="O1751" s="1" t="s">
        <v>34</v>
      </c>
      <c r="P1751" s="2">
        <v>41935</v>
      </c>
      <c r="Q1751" s="2" t="b">
        <f t="shared" si="83"/>
        <v>0</v>
      </c>
      <c r="V1751" s="2"/>
      <c r="W1751" s="2"/>
      <c r="X1751" s="2"/>
      <c r="Y1751" s="2"/>
      <c r="Z1751" s="2"/>
      <c r="AA1751" s="2"/>
      <c r="AB1751" s="2"/>
      <c r="AC1751" s="2"/>
      <c r="AD1751" s="2"/>
      <c r="AE1751" s="2"/>
      <c r="AF1751" s="2"/>
      <c r="AG1751" s="2"/>
      <c r="AH1751" s="2"/>
      <c r="AI1751" s="2"/>
    </row>
    <row r="1752" spans="1:35" ht="14.25" customHeight="1" x14ac:dyDescent="0.2">
      <c r="A1752" s="1">
        <v>53222</v>
      </c>
      <c r="B1752" s="1" t="s">
        <v>603</v>
      </c>
      <c r="C1752" s="1" t="s">
        <v>30</v>
      </c>
      <c r="D1752" s="2">
        <v>41931</v>
      </c>
      <c r="E1752" s="1" t="s">
        <v>43</v>
      </c>
      <c r="F1752" s="1" t="s">
        <v>1116</v>
      </c>
      <c r="G1752" s="1">
        <v>2</v>
      </c>
      <c r="H1752" s="1">
        <v>6.48</v>
      </c>
      <c r="I1752" s="1">
        <f t="shared" si="81"/>
        <v>12.96</v>
      </c>
      <c r="J1752" t="str">
        <f t="shared" si="82"/>
        <v>Low</v>
      </c>
      <c r="K1752" s="1"/>
      <c r="L1752" s="1">
        <v>7.0000000000000007E-2</v>
      </c>
      <c r="M1752" s="1">
        <v>9.5399999999999991</v>
      </c>
      <c r="N1752" s="1" t="s">
        <v>33</v>
      </c>
      <c r="O1752" s="1" t="s">
        <v>34</v>
      </c>
      <c r="P1752" s="2">
        <v>41931</v>
      </c>
      <c r="Q1752" s="2" t="b">
        <f t="shared" si="83"/>
        <v>0</v>
      </c>
      <c r="V1752" s="2"/>
      <c r="W1752" s="2"/>
      <c r="X1752" s="2"/>
      <c r="Y1752" s="2"/>
      <c r="Z1752" s="2"/>
      <c r="AA1752" s="2"/>
      <c r="AB1752" s="2"/>
      <c r="AC1752" s="2"/>
      <c r="AD1752" s="2"/>
      <c r="AE1752" s="2"/>
      <c r="AF1752" s="2"/>
      <c r="AG1752" s="2"/>
      <c r="AH1752" s="2"/>
      <c r="AI1752" s="2"/>
    </row>
    <row r="1753" spans="1:35" ht="14.25" customHeight="1" x14ac:dyDescent="0.2">
      <c r="A1753" s="1">
        <v>39649</v>
      </c>
      <c r="B1753" s="1" t="s">
        <v>1460</v>
      </c>
      <c r="C1753" s="1" t="s">
        <v>51</v>
      </c>
      <c r="D1753" s="2">
        <v>41931</v>
      </c>
      <c r="E1753" s="1" t="s">
        <v>31</v>
      </c>
      <c r="F1753" s="1" t="s">
        <v>1205</v>
      </c>
      <c r="G1753" s="1">
        <v>10</v>
      </c>
      <c r="H1753" s="1">
        <v>155.99</v>
      </c>
      <c r="I1753" s="1">
        <f t="shared" si="81"/>
        <v>1559.9</v>
      </c>
      <c r="J1753" t="str">
        <f t="shared" si="82"/>
        <v>High</v>
      </c>
      <c r="K1753" s="1"/>
      <c r="L1753" s="1">
        <v>0.01</v>
      </c>
      <c r="M1753" s="1">
        <v>8.99</v>
      </c>
      <c r="N1753" s="1" t="s">
        <v>25</v>
      </c>
      <c r="O1753" s="1" t="s">
        <v>34</v>
      </c>
      <c r="P1753" s="2">
        <v>41932</v>
      </c>
      <c r="Q1753" s="2" t="b">
        <f t="shared" si="83"/>
        <v>0</v>
      </c>
      <c r="V1753" s="2"/>
      <c r="W1753" s="2"/>
      <c r="X1753" s="2"/>
      <c r="Y1753" s="2"/>
      <c r="Z1753" s="2"/>
      <c r="AA1753" s="2"/>
      <c r="AB1753" s="2"/>
      <c r="AC1753" s="2"/>
      <c r="AD1753" s="2"/>
      <c r="AE1753" s="2"/>
      <c r="AF1753" s="2"/>
      <c r="AG1753" s="2"/>
      <c r="AH1753" s="2"/>
      <c r="AI1753" s="2"/>
    </row>
    <row r="1754" spans="1:35" ht="14.25" customHeight="1" x14ac:dyDescent="0.2">
      <c r="A1754" s="1">
        <v>39649</v>
      </c>
      <c r="B1754" s="1" t="s">
        <v>1460</v>
      </c>
      <c r="C1754" s="1" t="s">
        <v>21</v>
      </c>
      <c r="D1754" s="2">
        <v>41931</v>
      </c>
      <c r="E1754" s="1" t="s">
        <v>31</v>
      </c>
      <c r="F1754" s="1" t="s">
        <v>495</v>
      </c>
      <c r="G1754" s="1">
        <v>9</v>
      </c>
      <c r="H1754" s="1">
        <v>5.98</v>
      </c>
      <c r="I1754" s="1">
        <f t="shared" si="81"/>
        <v>53.820000000000007</v>
      </c>
      <c r="J1754" t="str">
        <f t="shared" si="82"/>
        <v>Low</v>
      </c>
      <c r="K1754" s="1"/>
      <c r="L1754" s="1">
        <v>0.01</v>
      </c>
      <c r="M1754" s="1">
        <v>5.46</v>
      </c>
      <c r="N1754" s="1" t="s">
        <v>33</v>
      </c>
      <c r="O1754" s="1" t="s">
        <v>34</v>
      </c>
      <c r="P1754" s="2">
        <v>41933</v>
      </c>
      <c r="Q1754" s="2" t="b">
        <f t="shared" si="83"/>
        <v>0</v>
      </c>
      <c r="V1754" s="2"/>
      <c r="W1754" s="2"/>
      <c r="X1754" s="2"/>
      <c r="Y1754" s="2"/>
      <c r="Z1754" s="2"/>
      <c r="AA1754" s="2"/>
      <c r="AB1754" s="2"/>
      <c r="AC1754" s="2"/>
      <c r="AD1754" s="2"/>
      <c r="AE1754" s="2"/>
      <c r="AF1754" s="2"/>
      <c r="AG1754" s="2"/>
      <c r="AH1754" s="2"/>
      <c r="AI1754" s="2"/>
    </row>
    <row r="1755" spans="1:35" ht="14.25" customHeight="1" x14ac:dyDescent="0.2">
      <c r="A1755" s="1">
        <v>16196</v>
      </c>
      <c r="B1755" s="1" t="s">
        <v>1505</v>
      </c>
      <c r="C1755" s="1" t="s">
        <v>30</v>
      </c>
      <c r="D1755" s="2">
        <v>41932</v>
      </c>
      <c r="E1755" s="1" t="s">
        <v>31</v>
      </c>
      <c r="F1755" s="1" t="s">
        <v>1506</v>
      </c>
      <c r="G1755" s="1">
        <v>44</v>
      </c>
      <c r="H1755" s="1">
        <v>320.98</v>
      </c>
      <c r="I1755" s="1">
        <f t="shared" si="81"/>
        <v>14123.12</v>
      </c>
      <c r="J1755" t="str">
        <f t="shared" si="82"/>
        <v>High</v>
      </c>
      <c r="K1755" s="1"/>
      <c r="L1755" s="1">
        <v>0.03</v>
      </c>
      <c r="M1755" s="1">
        <v>24.49</v>
      </c>
      <c r="N1755" s="1" t="s">
        <v>33</v>
      </c>
      <c r="O1755" s="1" t="s">
        <v>26</v>
      </c>
      <c r="P1755" s="2">
        <v>41934</v>
      </c>
      <c r="Q1755" s="2" t="b">
        <f t="shared" si="83"/>
        <v>0</v>
      </c>
      <c r="V1755" s="2"/>
      <c r="W1755" s="2"/>
      <c r="X1755" s="2"/>
      <c r="Y1755" s="2"/>
      <c r="Z1755" s="2"/>
      <c r="AA1755" s="2"/>
      <c r="AB1755" s="2"/>
      <c r="AC1755" s="2"/>
      <c r="AD1755" s="2"/>
      <c r="AE1755" s="2"/>
      <c r="AF1755" s="2"/>
      <c r="AG1755" s="2"/>
      <c r="AH1755" s="2"/>
      <c r="AI1755" s="2"/>
    </row>
    <row r="1756" spans="1:35" ht="14.25" customHeight="1" x14ac:dyDescent="0.2">
      <c r="A1756" s="1">
        <v>16196</v>
      </c>
      <c r="B1756" s="1" t="s">
        <v>1505</v>
      </c>
      <c r="C1756" s="1" t="s">
        <v>51</v>
      </c>
      <c r="D1756" s="2">
        <v>41932</v>
      </c>
      <c r="E1756" s="1" t="s">
        <v>31</v>
      </c>
      <c r="F1756" s="1" t="s">
        <v>548</v>
      </c>
      <c r="G1756" s="1">
        <v>39</v>
      </c>
      <c r="H1756" s="1">
        <v>125.99</v>
      </c>
      <c r="I1756" s="1">
        <f t="shared" si="81"/>
        <v>4913.6099999999997</v>
      </c>
      <c r="J1756" t="str">
        <f t="shared" si="82"/>
        <v>High</v>
      </c>
      <c r="K1756" s="1"/>
      <c r="L1756" s="1">
        <v>0.06</v>
      </c>
      <c r="M1756" s="1">
        <v>8.8000000000000007</v>
      </c>
      <c r="N1756" s="1" t="s">
        <v>33</v>
      </c>
      <c r="O1756" s="1" t="s">
        <v>34</v>
      </c>
      <c r="P1756" s="2">
        <v>41933</v>
      </c>
      <c r="Q1756" s="2" t="b">
        <f t="shared" si="83"/>
        <v>0</v>
      </c>
      <c r="V1756" s="2"/>
      <c r="W1756" s="2"/>
      <c r="X1756" s="2"/>
      <c r="Y1756" s="2"/>
      <c r="Z1756" s="2"/>
      <c r="AA1756" s="2"/>
      <c r="AB1756" s="2"/>
      <c r="AC1756" s="2"/>
      <c r="AD1756" s="2"/>
      <c r="AE1756" s="2"/>
      <c r="AF1756" s="2"/>
      <c r="AG1756" s="2"/>
      <c r="AH1756" s="2"/>
      <c r="AI1756" s="2"/>
    </row>
    <row r="1757" spans="1:35" ht="14.25" customHeight="1" x14ac:dyDescent="0.2">
      <c r="A1757" s="1">
        <v>19522</v>
      </c>
      <c r="B1757" s="1" t="s">
        <v>1507</v>
      </c>
      <c r="C1757" s="1" t="s">
        <v>21</v>
      </c>
      <c r="D1757" s="2">
        <v>41932</v>
      </c>
      <c r="E1757" s="1" t="s">
        <v>101</v>
      </c>
      <c r="F1757" s="1" t="s">
        <v>470</v>
      </c>
      <c r="G1757" s="1">
        <v>44</v>
      </c>
      <c r="H1757" s="1">
        <v>3.8</v>
      </c>
      <c r="I1757" s="1">
        <f t="shared" si="81"/>
        <v>167.2</v>
      </c>
      <c r="J1757" t="str">
        <f t="shared" si="82"/>
        <v>Low</v>
      </c>
      <c r="K1757" s="1"/>
      <c r="L1757" s="1">
        <v>0.06</v>
      </c>
      <c r="M1757" s="1">
        <v>1.49</v>
      </c>
      <c r="N1757" s="1" t="s">
        <v>33</v>
      </c>
      <c r="O1757" s="1" t="s">
        <v>34</v>
      </c>
      <c r="P1757" s="2">
        <v>41933</v>
      </c>
      <c r="Q1757" s="2" t="b">
        <f t="shared" si="83"/>
        <v>0</v>
      </c>
      <c r="V1757" s="2"/>
      <c r="W1757" s="2"/>
      <c r="X1757" s="2"/>
      <c r="Y1757" s="2"/>
      <c r="Z1757" s="2"/>
      <c r="AA1757" s="2"/>
      <c r="AB1757" s="2"/>
      <c r="AC1757" s="2"/>
      <c r="AD1757" s="2"/>
      <c r="AE1757" s="2"/>
      <c r="AF1757" s="2"/>
      <c r="AG1757" s="2"/>
      <c r="AH1757" s="2"/>
      <c r="AI1757" s="2"/>
    </row>
    <row r="1758" spans="1:35" ht="14.25" customHeight="1" x14ac:dyDescent="0.2">
      <c r="A1758" s="1">
        <v>19522</v>
      </c>
      <c r="B1758" s="1" t="s">
        <v>1507</v>
      </c>
      <c r="C1758" s="1" t="s">
        <v>21</v>
      </c>
      <c r="D1758" s="2">
        <v>41932</v>
      </c>
      <c r="E1758" s="1" t="s">
        <v>101</v>
      </c>
      <c r="F1758" s="1" t="s">
        <v>130</v>
      </c>
      <c r="G1758" s="1">
        <v>37</v>
      </c>
      <c r="H1758" s="1">
        <v>1.76</v>
      </c>
      <c r="I1758" s="1">
        <f t="shared" si="81"/>
        <v>65.12</v>
      </c>
      <c r="J1758" t="str">
        <f t="shared" si="82"/>
        <v>Low</v>
      </c>
      <c r="K1758" s="1"/>
      <c r="L1758" s="1">
        <v>0.06</v>
      </c>
      <c r="M1758" s="1">
        <v>0.7</v>
      </c>
      <c r="N1758" s="1" t="s">
        <v>33</v>
      </c>
      <c r="O1758" s="1" t="s">
        <v>55</v>
      </c>
      <c r="P1758" s="2">
        <v>41933</v>
      </c>
      <c r="Q1758" s="2" t="b">
        <f t="shared" si="83"/>
        <v>0</v>
      </c>
      <c r="V1758" s="2"/>
      <c r="W1758" s="2"/>
      <c r="X1758" s="2"/>
      <c r="Y1758" s="2"/>
      <c r="Z1758" s="2"/>
      <c r="AA1758" s="2"/>
      <c r="AB1758" s="2"/>
      <c r="AC1758" s="2"/>
      <c r="AD1758" s="2"/>
      <c r="AE1758" s="2"/>
      <c r="AF1758" s="2"/>
      <c r="AG1758" s="2"/>
      <c r="AH1758" s="2"/>
      <c r="AI1758" s="2"/>
    </row>
    <row r="1759" spans="1:35" ht="14.25" customHeight="1" x14ac:dyDescent="0.2">
      <c r="A1759" s="1">
        <v>36835</v>
      </c>
      <c r="B1759" s="1" t="s">
        <v>693</v>
      </c>
      <c r="C1759" s="1" t="s">
        <v>30</v>
      </c>
      <c r="D1759" s="2">
        <v>41932</v>
      </c>
      <c r="E1759" s="1" t="s">
        <v>38</v>
      </c>
      <c r="F1759" s="1" t="s">
        <v>1113</v>
      </c>
      <c r="G1759" s="1">
        <v>39</v>
      </c>
      <c r="H1759" s="1">
        <v>315.98</v>
      </c>
      <c r="I1759" s="1">
        <f t="shared" si="81"/>
        <v>12323.220000000001</v>
      </c>
      <c r="J1759" t="str">
        <f t="shared" si="82"/>
        <v>High</v>
      </c>
      <c r="K1759" s="1"/>
      <c r="L1759" s="1">
        <v>0.03</v>
      </c>
      <c r="M1759" s="1">
        <v>19.989999999999998</v>
      </c>
      <c r="N1759" s="1" t="s">
        <v>33</v>
      </c>
      <c r="O1759" s="1" t="s">
        <v>34</v>
      </c>
      <c r="P1759" s="2">
        <v>41934</v>
      </c>
      <c r="Q1759" s="2" t="b">
        <f t="shared" si="83"/>
        <v>0</v>
      </c>
      <c r="V1759" s="2"/>
      <c r="W1759" s="2"/>
      <c r="X1759" s="2"/>
      <c r="Y1759" s="2"/>
      <c r="Z1759" s="2"/>
      <c r="AA1759" s="2"/>
      <c r="AB1759" s="2"/>
      <c r="AC1759" s="2"/>
      <c r="AD1759" s="2"/>
      <c r="AE1759" s="2"/>
      <c r="AF1759" s="2"/>
      <c r="AG1759" s="2"/>
      <c r="AH1759" s="2"/>
      <c r="AI1759" s="2"/>
    </row>
    <row r="1760" spans="1:35" ht="14.25" customHeight="1" x14ac:dyDescent="0.2">
      <c r="A1760" s="1">
        <v>36835</v>
      </c>
      <c r="B1760" s="1" t="s">
        <v>693</v>
      </c>
      <c r="C1760" s="1" t="s">
        <v>21</v>
      </c>
      <c r="D1760" s="2">
        <v>41932</v>
      </c>
      <c r="E1760" s="1" t="s">
        <v>38</v>
      </c>
      <c r="F1760" s="1" t="s">
        <v>928</v>
      </c>
      <c r="G1760" s="1">
        <v>25</v>
      </c>
      <c r="H1760" s="1">
        <v>276.2</v>
      </c>
      <c r="I1760" s="1">
        <f t="shared" si="81"/>
        <v>6905</v>
      </c>
      <c r="J1760" t="str">
        <f t="shared" si="82"/>
        <v>High</v>
      </c>
      <c r="K1760" s="1"/>
      <c r="L1760" s="1">
        <v>0.09</v>
      </c>
      <c r="M1760" s="1">
        <v>24.49</v>
      </c>
      <c r="N1760" s="1" t="s">
        <v>33</v>
      </c>
      <c r="O1760" s="1" t="s">
        <v>26</v>
      </c>
      <c r="P1760" s="2">
        <v>41933</v>
      </c>
      <c r="Q1760" s="2" t="b">
        <f t="shared" si="83"/>
        <v>0</v>
      </c>
      <c r="V1760" s="2"/>
      <c r="W1760" s="2"/>
      <c r="X1760" s="2"/>
      <c r="Y1760" s="2"/>
      <c r="Z1760" s="2"/>
      <c r="AA1760" s="2"/>
      <c r="AB1760" s="2"/>
      <c r="AC1760" s="2"/>
      <c r="AD1760" s="2"/>
      <c r="AE1760" s="2"/>
      <c r="AF1760" s="2"/>
      <c r="AG1760" s="2"/>
      <c r="AH1760" s="2"/>
      <c r="AI1760" s="2"/>
    </row>
    <row r="1761" spans="1:35" ht="14.25" customHeight="1" x14ac:dyDescent="0.2">
      <c r="A1761" s="1">
        <v>36835</v>
      </c>
      <c r="B1761" s="1" t="s">
        <v>693</v>
      </c>
      <c r="C1761" s="1" t="s">
        <v>21</v>
      </c>
      <c r="D1761" s="2">
        <v>41932</v>
      </c>
      <c r="E1761" s="1" t="s">
        <v>38</v>
      </c>
      <c r="F1761" s="1" t="s">
        <v>1169</v>
      </c>
      <c r="G1761" s="1">
        <v>18</v>
      </c>
      <c r="H1761" s="1">
        <v>63.94</v>
      </c>
      <c r="I1761" s="1">
        <f t="shared" si="81"/>
        <v>1150.92</v>
      </c>
      <c r="J1761" t="str">
        <f t="shared" si="82"/>
        <v>High</v>
      </c>
      <c r="K1761" s="1"/>
      <c r="L1761" s="1">
        <v>0.03</v>
      </c>
      <c r="M1761" s="1">
        <v>14.48</v>
      </c>
      <c r="N1761" s="1" t="s">
        <v>33</v>
      </c>
      <c r="O1761" s="1" t="s">
        <v>34</v>
      </c>
      <c r="P1761" s="2">
        <v>41933</v>
      </c>
      <c r="Q1761" s="2" t="b">
        <f t="shared" si="83"/>
        <v>0</v>
      </c>
      <c r="V1761" s="2"/>
      <c r="W1761" s="2"/>
      <c r="X1761" s="2"/>
      <c r="Y1761" s="2"/>
      <c r="Z1761" s="2"/>
      <c r="AA1761" s="2"/>
      <c r="AB1761" s="2"/>
      <c r="AC1761" s="2"/>
      <c r="AD1761" s="2"/>
      <c r="AE1761" s="2"/>
      <c r="AF1761" s="2"/>
      <c r="AG1761" s="2"/>
      <c r="AH1761" s="2"/>
      <c r="AI1761" s="2"/>
    </row>
    <row r="1762" spans="1:35" ht="14.25" customHeight="1" x14ac:dyDescent="0.2">
      <c r="A1762" s="1">
        <v>50626</v>
      </c>
      <c r="B1762" s="1" t="s">
        <v>1508</v>
      </c>
      <c r="C1762" s="1" t="s">
        <v>30</v>
      </c>
      <c r="D1762" s="2">
        <v>41932</v>
      </c>
      <c r="E1762" s="1" t="s">
        <v>101</v>
      </c>
      <c r="F1762" s="1" t="s">
        <v>565</v>
      </c>
      <c r="G1762" s="1">
        <v>18</v>
      </c>
      <c r="H1762" s="1">
        <v>170.98</v>
      </c>
      <c r="I1762" s="1">
        <f t="shared" si="81"/>
        <v>3077.64</v>
      </c>
      <c r="J1762" t="str">
        <f t="shared" si="82"/>
        <v>High</v>
      </c>
      <c r="K1762" s="1"/>
      <c r="L1762" s="1">
        <v>0</v>
      </c>
      <c r="M1762" s="1">
        <v>35.89</v>
      </c>
      <c r="N1762" s="1" t="s">
        <v>45</v>
      </c>
      <c r="O1762" s="1" t="s">
        <v>63</v>
      </c>
      <c r="P1762" s="2">
        <v>41933</v>
      </c>
      <c r="Q1762" s="2" t="b">
        <f t="shared" si="83"/>
        <v>0</v>
      </c>
      <c r="V1762" s="2"/>
      <c r="W1762" s="2"/>
      <c r="X1762" s="2"/>
      <c r="Y1762" s="2"/>
      <c r="Z1762" s="2"/>
      <c r="AA1762" s="2"/>
      <c r="AB1762" s="2"/>
      <c r="AC1762" s="2"/>
      <c r="AD1762" s="2"/>
      <c r="AE1762" s="2"/>
      <c r="AF1762" s="2"/>
      <c r="AG1762" s="2"/>
      <c r="AH1762" s="2"/>
      <c r="AI1762" s="2"/>
    </row>
    <row r="1763" spans="1:35" ht="14.25" customHeight="1" x14ac:dyDescent="0.2">
      <c r="A1763" s="1">
        <v>50626</v>
      </c>
      <c r="B1763" s="1" t="s">
        <v>1508</v>
      </c>
      <c r="C1763" s="1" t="s">
        <v>51</v>
      </c>
      <c r="D1763" s="2">
        <v>41932</v>
      </c>
      <c r="E1763" s="1" t="s">
        <v>101</v>
      </c>
      <c r="F1763" s="1" t="s">
        <v>694</v>
      </c>
      <c r="G1763" s="1">
        <v>42</v>
      </c>
      <c r="H1763" s="1">
        <v>599.99</v>
      </c>
      <c r="I1763" s="1">
        <f t="shared" si="81"/>
        <v>25199.58</v>
      </c>
      <c r="J1763" t="str">
        <f t="shared" si="82"/>
        <v>High</v>
      </c>
      <c r="K1763" s="1"/>
      <c r="L1763" s="1">
        <v>0.04</v>
      </c>
      <c r="M1763" s="1">
        <v>24.49</v>
      </c>
      <c r="N1763" s="1" t="s">
        <v>33</v>
      </c>
      <c r="O1763" s="1" t="s">
        <v>26</v>
      </c>
      <c r="P1763" s="2">
        <v>41934</v>
      </c>
      <c r="Q1763" s="2" t="b">
        <f t="shared" si="83"/>
        <v>0</v>
      </c>
      <c r="V1763" s="2"/>
      <c r="W1763" s="2"/>
      <c r="X1763" s="2"/>
      <c r="Y1763" s="2"/>
      <c r="Z1763" s="2"/>
      <c r="AA1763" s="2"/>
      <c r="AB1763" s="2"/>
      <c r="AC1763" s="2"/>
      <c r="AD1763" s="2"/>
      <c r="AE1763" s="2"/>
      <c r="AF1763" s="2"/>
      <c r="AG1763" s="2"/>
      <c r="AH1763" s="2"/>
      <c r="AI1763" s="2"/>
    </row>
    <row r="1764" spans="1:35" ht="14.25" customHeight="1" x14ac:dyDescent="0.2">
      <c r="A1764" s="1">
        <v>12581</v>
      </c>
      <c r="B1764" s="1" t="s">
        <v>1509</v>
      </c>
      <c r="C1764" s="1" t="s">
        <v>51</v>
      </c>
      <c r="D1764" s="2">
        <v>41932</v>
      </c>
      <c r="E1764" s="1" t="s">
        <v>31</v>
      </c>
      <c r="F1764" s="1" t="s">
        <v>125</v>
      </c>
      <c r="G1764" s="1">
        <v>31</v>
      </c>
      <c r="H1764" s="1">
        <v>65.989999999999995</v>
      </c>
      <c r="I1764" s="1">
        <f t="shared" si="81"/>
        <v>2045.6899999999998</v>
      </c>
      <c r="J1764" t="str">
        <f t="shared" si="82"/>
        <v>High</v>
      </c>
      <c r="K1764" s="1"/>
      <c r="L1764" s="1">
        <v>0</v>
      </c>
      <c r="M1764" s="1">
        <v>5.99</v>
      </c>
      <c r="N1764" s="1" t="s">
        <v>25</v>
      </c>
      <c r="O1764" s="1" t="s">
        <v>34</v>
      </c>
      <c r="P1764" s="2">
        <v>41934</v>
      </c>
      <c r="Q1764" s="2" t="b">
        <f t="shared" si="83"/>
        <v>0</v>
      </c>
      <c r="V1764" s="2"/>
      <c r="W1764" s="2"/>
      <c r="X1764" s="2"/>
      <c r="Y1764" s="2"/>
      <c r="Z1764" s="2"/>
      <c r="AA1764" s="2"/>
      <c r="AB1764" s="2"/>
      <c r="AC1764" s="2"/>
      <c r="AD1764" s="2"/>
      <c r="AE1764" s="2"/>
      <c r="AF1764" s="2"/>
      <c r="AG1764" s="2"/>
      <c r="AH1764" s="2"/>
      <c r="AI1764" s="2"/>
    </row>
    <row r="1765" spans="1:35" ht="14.25" customHeight="1" x14ac:dyDescent="0.2">
      <c r="A1765" s="1">
        <v>6246</v>
      </c>
      <c r="B1765" s="1" t="s">
        <v>735</v>
      </c>
      <c r="C1765" s="1" t="s">
        <v>21</v>
      </c>
      <c r="D1765" s="2">
        <v>41933</v>
      </c>
      <c r="E1765" s="1" t="s">
        <v>22</v>
      </c>
      <c r="F1765" s="1" t="s">
        <v>1510</v>
      </c>
      <c r="G1765" s="1">
        <v>13</v>
      </c>
      <c r="H1765" s="1">
        <v>3.93</v>
      </c>
      <c r="I1765" s="1">
        <f t="shared" si="81"/>
        <v>51.09</v>
      </c>
      <c r="J1765" t="str">
        <f t="shared" si="82"/>
        <v>Low</v>
      </c>
      <c r="K1765" s="1"/>
      <c r="L1765" s="1">
        <v>0.06</v>
      </c>
      <c r="M1765" s="1">
        <v>0.99</v>
      </c>
      <c r="N1765" s="1" t="s">
        <v>33</v>
      </c>
      <c r="O1765" s="1" t="s">
        <v>55</v>
      </c>
      <c r="P1765" s="2">
        <v>41935</v>
      </c>
      <c r="Q1765" s="2" t="b">
        <f t="shared" si="83"/>
        <v>0</v>
      </c>
      <c r="V1765" s="2"/>
      <c r="W1765" s="2"/>
      <c r="X1765" s="2"/>
      <c r="Y1765" s="2"/>
      <c r="Z1765" s="2"/>
      <c r="AA1765" s="2"/>
      <c r="AB1765" s="2"/>
      <c r="AC1765" s="2"/>
      <c r="AD1765" s="2"/>
      <c r="AE1765" s="2"/>
      <c r="AF1765" s="2"/>
      <c r="AG1765" s="2"/>
      <c r="AH1765" s="2"/>
      <c r="AI1765" s="2"/>
    </row>
    <row r="1766" spans="1:35" ht="14.25" customHeight="1" x14ac:dyDescent="0.2">
      <c r="A1766" s="1">
        <v>26565</v>
      </c>
      <c r="B1766" s="1" t="s">
        <v>1511</v>
      </c>
      <c r="C1766" s="1" t="s">
        <v>21</v>
      </c>
      <c r="D1766" s="2">
        <v>41933</v>
      </c>
      <c r="E1766" s="1" t="s">
        <v>101</v>
      </c>
      <c r="F1766" s="1" t="s">
        <v>848</v>
      </c>
      <c r="G1766" s="1">
        <v>49</v>
      </c>
      <c r="H1766" s="1">
        <v>419.19</v>
      </c>
      <c r="I1766" s="1">
        <f t="shared" si="81"/>
        <v>20540.310000000001</v>
      </c>
      <c r="J1766" t="str">
        <f t="shared" si="82"/>
        <v>High</v>
      </c>
      <c r="K1766" s="1"/>
      <c r="L1766" s="1">
        <v>0.02</v>
      </c>
      <c r="M1766" s="1">
        <v>19.989999999999998</v>
      </c>
      <c r="N1766" s="1" t="s">
        <v>33</v>
      </c>
      <c r="O1766" s="1" t="s">
        <v>34</v>
      </c>
      <c r="P1766" s="2">
        <v>41934</v>
      </c>
      <c r="Q1766" s="2" t="b">
        <f t="shared" si="83"/>
        <v>0</v>
      </c>
      <c r="V1766" s="2"/>
      <c r="W1766" s="2"/>
      <c r="X1766" s="2"/>
      <c r="Y1766" s="2"/>
      <c r="Z1766" s="2"/>
      <c r="AA1766" s="2"/>
      <c r="AB1766" s="2"/>
      <c r="AC1766" s="2"/>
      <c r="AD1766" s="2"/>
      <c r="AE1766" s="2"/>
      <c r="AF1766" s="2"/>
      <c r="AG1766" s="2"/>
      <c r="AH1766" s="2"/>
      <c r="AI1766" s="2"/>
    </row>
    <row r="1767" spans="1:35" ht="14.25" customHeight="1" x14ac:dyDescent="0.2">
      <c r="A1767" s="1">
        <v>11335</v>
      </c>
      <c r="B1767" s="1" t="s">
        <v>1329</v>
      </c>
      <c r="C1767" s="1" t="s">
        <v>51</v>
      </c>
      <c r="D1767" s="2">
        <v>41933</v>
      </c>
      <c r="E1767" s="1" t="s">
        <v>31</v>
      </c>
      <c r="F1767" s="1" t="s">
        <v>1311</v>
      </c>
      <c r="G1767" s="1">
        <v>3</v>
      </c>
      <c r="H1767" s="1">
        <v>4.9800000000000004</v>
      </c>
      <c r="I1767" s="1">
        <f t="shared" si="81"/>
        <v>14.940000000000001</v>
      </c>
      <c r="J1767" t="str">
        <f t="shared" si="82"/>
        <v>Low</v>
      </c>
      <c r="K1767" s="1"/>
      <c r="L1767" s="1">
        <v>0.08</v>
      </c>
      <c r="M1767" s="1">
        <v>0.49</v>
      </c>
      <c r="N1767" s="1" t="s">
        <v>33</v>
      </c>
      <c r="O1767" s="1" t="s">
        <v>34</v>
      </c>
      <c r="P1767" s="2">
        <v>41934</v>
      </c>
      <c r="Q1767" s="2" t="b">
        <f t="shared" si="83"/>
        <v>0</v>
      </c>
      <c r="V1767" s="2"/>
      <c r="W1767" s="2"/>
      <c r="X1767" s="2"/>
      <c r="Y1767" s="2"/>
      <c r="Z1767" s="2"/>
      <c r="AA1767" s="2"/>
      <c r="AB1767" s="2"/>
      <c r="AC1767" s="2"/>
      <c r="AD1767" s="2"/>
      <c r="AE1767" s="2"/>
      <c r="AF1767" s="2"/>
      <c r="AG1767" s="2"/>
      <c r="AH1767" s="2"/>
      <c r="AI1767" s="2"/>
    </row>
    <row r="1768" spans="1:35" ht="14.25" customHeight="1" x14ac:dyDescent="0.2">
      <c r="A1768" s="1">
        <v>11335</v>
      </c>
      <c r="B1768" s="1" t="s">
        <v>1329</v>
      </c>
      <c r="C1768" s="1" t="s">
        <v>51</v>
      </c>
      <c r="D1768" s="2">
        <v>41933</v>
      </c>
      <c r="E1768" s="1" t="s">
        <v>31</v>
      </c>
      <c r="F1768" s="1" t="s">
        <v>1140</v>
      </c>
      <c r="G1768" s="1">
        <v>8</v>
      </c>
      <c r="H1768" s="1">
        <v>119.99</v>
      </c>
      <c r="I1768" s="1">
        <f t="shared" si="81"/>
        <v>959.92</v>
      </c>
      <c r="J1768" t="str">
        <f t="shared" si="82"/>
        <v>Low</v>
      </c>
      <c r="K1768" s="1"/>
      <c r="L1768" s="1">
        <v>0.09</v>
      </c>
      <c r="M1768" s="1">
        <v>14</v>
      </c>
      <c r="N1768" s="1" t="s">
        <v>45</v>
      </c>
      <c r="O1768" s="1" t="s">
        <v>46</v>
      </c>
      <c r="P1768" s="2">
        <v>41935</v>
      </c>
      <c r="Q1768" s="2" t="b">
        <f t="shared" si="83"/>
        <v>0</v>
      </c>
      <c r="V1768" s="2"/>
      <c r="W1768" s="2"/>
      <c r="X1768" s="2"/>
      <c r="Y1768" s="2"/>
      <c r="Z1768" s="2"/>
      <c r="AA1768" s="2"/>
      <c r="AB1768" s="2"/>
      <c r="AC1768" s="2"/>
      <c r="AD1768" s="2"/>
      <c r="AE1768" s="2"/>
      <c r="AF1768" s="2"/>
      <c r="AG1768" s="2"/>
      <c r="AH1768" s="2"/>
      <c r="AI1768" s="2"/>
    </row>
    <row r="1769" spans="1:35" ht="14.25" customHeight="1" x14ac:dyDescent="0.2">
      <c r="A1769" s="1">
        <v>58693</v>
      </c>
      <c r="B1769" s="1" t="s">
        <v>1512</v>
      </c>
      <c r="C1769" s="1" t="s">
        <v>51</v>
      </c>
      <c r="D1769" s="2">
        <v>41933</v>
      </c>
      <c r="E1769" s="1" t="s">
        <v>43</v>
      </c>
      <c r="F1769" s="1" t="s">
        <v>137</v>
      </c>
      <c r="G1769" s="1">
        <v>50</v>
      </c>
      <c r="H1769" s="1">
        <v>15.99</v>
      </c>
      <c r="I1769" s="1">
        <f t="shared" si="81"/>
        <v>799.5</v>
      </c>
      <c r="J1769" t="str">
        <f t="shared" si="82"/>
        <v>Low</v>
      </c>
      <c r="K1769" s="1"/>
      <c r="L1769" s="1">
        <v>0</v>
      </c>
      <c r="M1769" s="1">
        <v>13.18</v>
      </c>
      <c r="N1769" s="1" t="s">
        <v>33</v>
      </c>
      <c r="O1769" s="1" t="s">
        <v>34</v>
      </c>
      <c r="P1769" s="2">
        <v>41937</v>
      </c>
      <c r="Q1769" s="2" t="b">
        <f t="shared" si="83"/>
        <v>0</v>
      </c>
      <c r="V1769" s="2"/>
      <c r="W1769" s="2"/>
      <c r="X1769" s="2"/>
      <c r="Y1769" s="2"/>
      <c r="Z1769" s="2"/>
      <c r="AA1769" s="2"/>
      <c r="AB1769" s="2"/>
      <c r="AC1769" s="2"/>
      <c r="AD1769" s="2"/>
      <c r="AE1769" s="2"/>
      <c r="AF1769" s="2"/>
      <c r="AG1769" s="2"/>
      <c r="AH1769" s="2"/>
      <c r="AI1769" s="2"/>
    </row>
    <row r="1770" spans="1:35" ht="14.25" customHeight="1" x14ac:dyDescent="0.2">
      <c r="A1770" s="1">
        <v>48929</v>
      </c>
      <c r="B1770" s="1" t="s">
        <v>948</v>
      </c>
      <c r="C1770" s="1" t="s">
        <v>21</v>
      </c>
      <c r="D1770" s="2">
        <v>41934</v>
      </c>
      <c r="E1770" s="1" t="s">
        <v>31</v>
      </c>
      <c r="F1770" s="1" t="s">
        <v>1513</v>
      </c>
      <c r="G1770" s="1">
        <v>1</v>
      </c>
      <c r="H1770" s="1">
        <v>35.44</v>
      </c>
      <c r="I1770" s="1">
        <f t="shared" si="81"/>
        <v>35.44</v>
      </c>
      <c r="J1770" t="str">
        <f t="shared" si="82"/>
        <v>Low</v>
      </c>
      <c r="K1770" s="1"/>
      <c r="L1770" s="1">
        <v>0.01</v>
      </c>
      <c r="M1770" s="1">
        <v>19.989999999999998</v>
      </c>
      <c r="N1770" s="1" t="s">
        <v>33</v>
      </c>
      <c r="O1770" s="1" t="s">
        <v>34</v>
      </c>
      <c r="P1770" s="2">
        <v>41935</v>
      </c>
      <c r="Q1770" s="2" t="b">
        <f t="shared" si="83"/>
        <v>0</v>
      </c>
      <c r="V1770" s="2"/>
      <c r="W1770" s="2"/>
      <c r="X1770" s="2"/>
      <c r="Y1770" s="2"/>
      <c r="Z1770" s="2"/>
      <c r="AA1770" s="2"/>
      <c r="AB1770" s="2"/>
      <c r="AC1770" s="2"/>
      <c r="AD1770" s="2"/>
      <c r="AE1770" s="2"/>
      <c r="AF1770" s="2"/>
      <c r="AG1770" s="2"/>
      <c r="AH1770" s="2"/>
      <c r="AI1770" s="2"/>
    </row>
    <row r="1771" spans="1:35" ht="14.25" customHeight="1" x14ac:dyDescent="0.2">
      <c r="A1771" s="1">
        <v>48929</v>
      </c>
      <c r="B1771" s="1" t="s">
        <v>948</v>
      </c>
      <c r="C1771" s="1" t="s">
        <v>51</v>
      </c>
      <c r="D1771" s="2">
        <v>41934</v>
      </c>
      <c r="E1771" s="1" t="s">
        <v>31</v>
      </c>
      <c r="F1771" s="1" t="s">
        <v>761</v>
      </c>
      <c r="G1771" s="1">
        <v>45</v>
      </c>
      <c r="H1771" s="1">
        <v>47.9</v>
      </c>
      <c r="I1771" s="1">
        <f t="shared" si="81"/>
        <v>2155.5</v>
      </c>
      <c r="J1771" t="str">
        <f t="shared" si="82"/>
        <v>High</v>
      </c>
      <c r="K1771" s="1"/>
      <c r="L1771" s="1">
        <v>0.03</v>
      </c>
      <c r="M1771" s="1">
        <v>5.86</v>
      </c>
      <c r="N1771" s="1" t="s">
        <v>33</v>
      </c>
      <c r="O1771" s="1" t="s">
        <v>34</v>
      </c>
      <c r="P1771" s="2">
        <v>41937</v>
      </c>
      <c r="Q1771" s="2" t="b">
        <f t="shared" si="83"/>
        <v>0</v>
      </c>
      <c r="V1771" s="2"/>
      <c r="W1771" s="2"/>
      <c r="X1771" s="2"/>
      <c r="Y1771" s="2"/>
      <c r="Z1771" s="2"/>
      <c r="AA1771" s="2"/>
      <c r="AB1771" s="2"/>
      <c r="AC1771" s="2"/>
      <c r="AD1771" s="2"/>
      <c r="AE1771" s="2"/>
      <c r="AF1771" s="2"/>
      <c r="AG1771" s="2"/>
      <c r="AH1771" s="2"/>
      <c r="AI1771" s="2"/>
    </row>
    <row r="1772" spans="1:35" ht="14.25" customHeight="1" x14ac:dyDescent="0.2">
      <c r="A1772" s="1">
        <v>34631</v>
      </c>
      <c r="B1772" s="1" t="s">
        <v>1266</v>
      </c>
      <c r="C1772" s="1" t="s">
        <v>30</v>
      </c>
      <c r="D1772" s="2">
        <v>41935</v>
      </c>
      <c r="E1772" s="1" t="s">
        <v>22</v>
      </c>
      <c r="F1772" s="1" t="s">
        <v>76</v>
      </c>
      <c r="G1772" s="1">
        <v>5</v>
      </c>
      <c r="H1772" s="1">
        <v>3.36</v>
      </c>
      <c r="I1772" s="1">
        <f t="shared" si="81"/>
        <v>16.8</v>
      </c>
      <c r="J1772" t="str">
        <f t="shared" si="82"/>
        <v>Low</v>
      </c>
      <c r="K1772" s="1"/>
      <c r="L1772" s="1">
        <v>0.06</v>
      </c>
      <c r="M1772" s="1">
        <v>6.27</v>
      </c>
      <c r="N1772" s="1" t="s">
        <v>33</v>
      </c>
      <c r="O1772" s="1" t="s">
        <v>34</v>
      </c>
      <c r="P1772" s="2">
        <v>41936</v>
      </c>
      <c r="Q1772" s="2" t="b">
        <f t="shared" si="83"/>
        <v>0</v>
      </c>
      <c r="V1772" s="2"/>
      <c r="W1772" s="2"/>
      <c r="X1772" s="2"/>
      <c r="Y1772" s="2"/>
      <c r="Z1772" s="2"/>
      <c r="AA1772" s="2"/>
      <c r="AB1772" s="2"/>
      <c r="AC1772" s="2"/>
      <c r="AD1772" s="2"/>
      <c r="AE1772" s="2"/>
      <c r="AF1772" s="2"/>
      <c r="AG1772" s="2"/>
      <c r="AH1772" s="2"/>
      <c r="AI1772" s="2"/>
    </row>
    <row r="1773" spans="1:35" ht="14.25" customHeight="1" x14ac:dyDescent="0.2">
      <c r="A1773" s="1">
        <v>34631</v>
      </c>
      <c r="B1773" s="1" t="s">
        <v>1266</v>
      </c>
      <c r="C1773" s="1" t="s">
        <v>21</v>
      </c>
      <c r="D1773" s="2">
        <v>41935</v>
      </c>
      <c r="E1773" s="1" t="s">
        <v>22</v>
      </c>
      <c r="F1773" s="1" t="s">
        <v>133</v>
      </c>
      <c r="G1773" s="1">
        <v>19</v>
      </c>
      <c r="H1773" s="1">
        <v>699.99</v>
      </c>
      <c r="I1773" s="1">
        <f t="shared" si="81"/>
        <v>13299.81</v>
      </c>
      <c r="J1773" t="str">
        <f t="shared" si="82"/>
        <v>High</v>
      </c>
      <c r="K1773" s="1"/>
      <c r="L1773" s="1">
        <v>7.0000000000000007E-2</v>
      </c>
      <c r="M1773" s="1">
        <v>24.49</v>
      </c>
      <c r="N1773" s="1" t="s">
        <v>33</v>
      </c>
      <c r="O1773" s="1" t="s">
        <v>26</v>
      </c>
      <c r="P1773" s="2">
        <v>41937</v>
      </c>
      <c r="Q1773" s="2" t="b">
        <f t="shared" si="83"/>
        <v>0</v>
      </c>
      <c r="V1773" s="2"/>
      <c r="W1773" s="2"/>
      <c r="X1773" s="2"/>
      <c r="Y1773" s="2"/>
      <c r="Z1773" s="2"/>
      <c r="AA1773" s="2"/>
      <c r="AB1773" s="2"/>
      <c r="AC1773" s="2"/>
      <c r="AD1773" s="2"/>
      <c r="AE1773" s="2"/>
      <c r="AF1773" s="2"/>
      <c r="AG1773" s="2"/>
      <c r="AH1773" s="2"/>
      <c r="AI1773" s="2"/>
    </row>
    <row r="1774" spans="1:35" ht="14.25" customHeight="1" x14ac:dyDescent="0.2">
      <c r="A1774" s="1">
        <v>34918</v>
      </c>
      <c r="B1774" s="1" t="s">
        <v>223</v>
      </c>
      <c r="C1774" s="1" t="s">
        <v>21</v>
      </c>
      <c r="D1774" s="2">
        <v>41935</v>
      </c>
      <c r="E1774" s="1" t="s">
        <v>101</v>
      </c>
      <c r="F1774" s="1" t="s">
        <v>894</v>
      </c>
      <c r="G1774" s="1">
        <v>12</v>
      </c>
      <c r="H1774" s="1">
        <v>180.98</v>
      </c>
      <c r="I1774" s="1">
        <f t="shared" si="81"/>
        <v>2171.7599999999998</v>
      </c>
      <c r="J1774" t="str">
        <f t="shared" si="82"/>
        <v>High</v>
      </c>
      <c r="K1774" s="1"/>
      <c r="L1774" s="1">
        <v>0.06</v>
      </c>
      <c r="M1774" s="1">
        <v>26.2</v>
      </c>
      <c r="N1774" s="1" t="s">
        <v>45</v>
      </c>
      <c r="O1774" s="1" t="s">
        <v>46</v>
      </c>
      <c r="P1774" s="2">
        <v>41936</v>
      </c>
      <c r="Q1774" s="2" t="b">
        <f t="shared" si="83"/>
        <v>0</v>
      </c>
      <c r="V1774" s="2"/>
      <c r="W1774" s="2"/>
      <c r="X1774" s="2"/>
      <c r="Y1774" s="2"/>
      <c r="Z1774" s="2"/>
      <c r="AA1774" s="2"/>
      <c r="AB1774" s="2"/>
      <c r="AC1774" s="2"/>
      <c r="AD1774" s="2"/>
      <c r="AE1774" s="2"/>
      <c r="AF1774" s="2"/>
      <c r="AG1774" s="2"/>
      <c r="AH1774" s="2"/>
      <c r="AI1774" s="2"/>
    </row>
    <row r="1775" spans="1:35" ht="14.25" customHeight="1" x14ac:dyDescent="0.2">
      <c r="A1775" s="1">
        <v>34918</v>
      </c>
      <c r="B1775" s="1" t="s">
        <v>223</v>
      </c>
      <c r="C1775" s="1" t="s">
        <v>51</v>
      </c>
      <c r="D1775" s="2">
        <v>41935</v>
      </c>
      <c r="E1775" s="1" t="s">
        <v>101</v>
      </c>
      <c r="F1775" s="1" t="s">
        <v>1006</v>
      </c>
      <c r="G1775" s="1">
        <v>25</v>
      </c>
      <c r="H1775" s="1">
        <v>7.28</v>
      </c>
      <c r="I1775" s="1">
        <f t="shared" si="81"/>
        <v>182</v>
      </c>
      <c r="J1775" t="str">
        <f t="shared" si="82"/>
        <v>Low</v>
      </c>
      <c r="K1775" s="1"/>
      <c r="L1775" s="1">
        <v>0.01</v>
      </c>
      <c r="M1775" s="1">
        <v>7.98</v>
      </c>
      <c r="N1775" s="1" t="s">
        <v>33</v>
      </c>
      <c r="O1775" s="1" t="s">
        <v>55</v>
      </c>
      <c r="P1775" s="2">
        <v>41937</v>
      </c>
      <c r="Q1775" s="2" t="b">
        <f t="shared" si="83"/>
        <v>0</v>
      </c>
      <c r="V1775" s="2"/>
      <c r="W1775" s="2"/>
      <c r="X1775" s="2"/>
      <c r="Y1775" s="2"/>
      <c r="Z1775" s="2"/>
      <c r="AA1775" s="2"/>
      <c r="AB1775" s="2"/>
      <c r="AC1775" s="2"/>
      <c r="AD1775" s="2"/>
      <c r="AE1775" s="2"/>
      <c r="AF1775" s="2"/>
      <c r="AG1775" s="2"/>
      <c r="AH1775" s="2"/>
      <c r="AI1775" s="2"/>
    </row>
    <row r="1776" spans="1:35" ht="14.25" customHeight="1" x14ac:dyDescent="0.2">
      <c r="A1776" s="1">
        <v>4835</v>
      </c>
      <c r="B1776" s="1" t="s">
        <v>863</v>
      </c>
      <c r="C1776" s="1" t="s">
        <v>51</v>
      </c>
      <c r="D1776" s="2">
        <v>41936</v>
      </c>
      <c r="E1776" s="1" t="s">
        <v>38</v>
      </c>
      <c r="F1776" s="1" t="s">
        <v>1514</v>
      </c>
      <c r="G1776" s="1">
        <v>3</v>
      </c>
      <c r="H1776" s="1">
        <v>2.52</v>
      </c>
      <c r="I1776" s="1">
        <f t="shared" si="81"/>
        <v>7.5600000000000005</v>
      </c>
      <c r="J1776" t="str">
        <f t="shared" si="82"/>
        <v>Low</v>
      </c>
      <c r="K1776" s="1"/>
      <c r="L1776" s="1">
        <v>0.04</v>
      </c>
      <c r="M1776" s="1">
        <v>1.92</v>
      </c>
      <c r="N1776" s="1" t="s">
        <v>33</v>
      </c>
      <c r="O1776" s="1" t="s">
        <v>55</v>
      </c>
      <c r="P1776" s="2">
        <v>41936</v>
      </c>
      <c r="Q1776" s="2" t="b">
        <f t="shared" si="83"/>
        <v>0</v>
      </c>
      <c r="V1776" s="2"/>
      <c r="W1776" s="2"/>
      <c r="X1776" s="2"/>
      <c r="Y1776" s="2"/>
      <c r="Z1776" s="2"/>
      <c r="AA1776" s="2"/>
      <c r="AB1776" s="2"/>
      <c r="AC1776" s="2"/>
      <c r="AD1776" s="2"/>
      <c r="AE1776" s="2"/>
      <c r="AF1776" s="2"/>
      <c r="AG1776" s="2"/>
      <c r="AH1776" s="2"/>
      <c r="AI1776" s="2"/>
    </row>
    <row r="1777" spans="1:35" ht="14.25" customHeight="1" x14ac:dyDescent="0.2">
      <c r="A1777" s="1">
        <v>38887</v>
      </c>
      <c r="B1777" s="1" t="s">
        <v>457</v>
      </c>
      <c r="C1777" s="1" t="s">
        <v>21</v>
      </c>
      <c r="D1777" s="2">
        <v>41936</v>
      </c>
      <c r="E1777" s="1" t="s">
        <v>38</v>
      </c>
      <c r="F1777" s="1" t="s">
        <v>1515</v>
      </c>
      <c r="G1777" s="1">
        <v>25</v>
      </c>
      <c r="H1777" s="1">
        <v>14.45</v>
      </c>
      <c r="I1777" s="1">
        <f t="shared" si="81"/>
        <v>361.25</v>
      </c>
      <c r="J1777" t="str">
        <f t="shared" si="82"/>
        <v>Low</v>
      </c>
      <c r="K1777" s="1"/>
      <c r="L1777" s="1">
        <v>0.02</v>
      </c>
      <c r="M1777" s="1">
        <v>7.17</v>
      </c>
      <c r="N1777" s="1" t="s">
        <v>33</v>
      </c>
      <c r="O1777" s="1" t="s">
        <v>34</v>
      </c>
      <c r="P1777" s="2">
        <v>41937</v>
      </c>
      <c r="Q1777" s="2" t="b">
        <f t="shared" si="83"/>
        <v>0</v>
      </c>
      <c r="V1777" s="2"/>
      <c r="W1777" s="2"/>
      <c r="X1777" s="2"/>
      <c r="Y1777" s="2"/>
      <c r="Z1777" s="2"/>
      <c r="AA1777" s="2"/>
      <c r="AB1777" s="2"/>
      <c r="AC1777" s="2"/>
      <c r="AD1777" s="2"/>
      <c r="AE1777" s="2"/>
      <c r="AF1777" s="2"/>
      <c r="AG1777" s="2"/>
      <c r="AH1777" s="2"/>
      <c r="AI1777" s="2"/>
    </row>
    <row r="1778" spans="1:35" ht="14.25" customHeight="1" x14ac:dyDescent="0.2">
      <c r="A1778" s="1">
        <v>38887</v>
      </c>
      <c r="B1778" s="1" t="s">
        <v>457</v>
      </c>
      <c r="C1778" s="1" t="s">
        <v>21</v>
      </c>
      <c r="D1778" s="2">
        <v>41936</v>
      </c>
      <c r="E1778" s="1" t="s">
        <v>38</v>
      </c>
      <c r="F1778" s="1" t="s">
        <v>1516</v>
      </c>
      <c r="G1778" s="1">
        <v>50</v>
      </c>
      <c r="H1778" s="1">
        <v>5.58</v>
      </c>
      <c r="I1778" s="1">
        <f t="shared" si="81"/>
        <v>279</v>
      </c>
      <c r="J1778" t="str">
        <f t="shared" si="82"/>
        <v>Low</v>
      </c>
      <c r="K1778" s="1"/>
      <c r="L1778" s="1">
        <v>7.0000000000000007E-2</v>
      </c>
      <c r="M1778" s="1">
        <v>1.99</v>
      </c>
      <c r="N1778" s="1" t="s">
        <v>33</v>
      </c>
      <c r="O1778" s="1" t="s">
        <v>55</v>
      </c>
      <c r="P1778" s="2">
        <v>41938</v>
      </c>
      <c r="Q1778" s="2" t="b">
        <f t="shared" si="83"/>
        <v>0</v>
      </c>
      <c r="V1778" s="2"/>
      <c r="W1778" s="2"/>
      <c r="X1778" s="2"/>
      <c r="Y1778" s="2"/>
      <c r="Z1778" s="2"/>
      <c r="AA1778" s="2"/>
      <c r="AB1778" s="2"/>
      <c r="AC1778" s="2"/>
      <c r="AD1778" s="2"/>
      <c r="AE1778" s="2"/>
      <c r="AF1778" s="2"/>
      <c r="AG1778" s="2"/>
      <c r="AH1778" s="2"/>
      <c r="AI1778" s="2"/>
    </row>
    <row r="1779" spans="1:35" ht="14.25" customHeight="1" x14ac:dyDescent="0.2">
      <c r="A1779" s="1">
        <v>17124</v>
      </c>
      <c r="B1779" s="1" t="s">
        <v>693</v>
      </c>
      <c r="C1779" s="1" t="s">
        <v>21</v>
      </c>
      <c r="D1779" s="2">
        <v>41937</v>
      </c>
      <c r="E1779" s="1" t="s">
        <v>38</v>
      </c>
      <c r="F1779" s="1" t="s">
        <v>1371</v>
      </c>
      <c r="G1779" s="1">
        <v>39</v>
      </c>
      <c r="H1779" s="1">
        <v>3.14</v>
      </c>
      <c r="I1779" s="1">
        <f t="shared" si="81"/>
        <v>122.46000000000001</v>
      </c>
      <c r="J1779" t="str">
        <f t="shared" si="82"/>
        <v>Low</v>
      </c>
      <c r="K1779" s="1"/>
      <c r="L1779" s="1">
        <v>0.05</v>
      </c>
      <c r="M1779" s="1">
        <v>1.92</v>
      </c>
      <c r="N1779" s="1" t="s">
        <v>25</v>
      </c>
      <c r="O1779" s="1" t="s">
        <v>55</v>
      </c>
      <c r="P1779" s="2">
        <v>41938</v>
      </c>
      <c r="Q1779" s="2" t="b">
        <f t="shared" si="83"/>
        <v>0</v>
      </c>
      <c r="V1779" s="2"/>
      <c r="W1779" s="2"/>
      <c r="X1779" s="2"/>
      <c r="Y1779" s="2"/>
      <c r="Z1779" s="2"/>
      <c r="AA1779" s="2"/>
      <c r="AB1779" s="2"/>
      <c r="AC1779" s="2"/>
      <c r="AD1779" s="2"/>
      <c r="AE1779" s="2"/>
      <c r="AF1779" s="2"/>
      <c r="AG1779" s="2"/>
      <c r="AH1779" s="2"/>
      <c r="AI1779" s="2"/>
    </row>
    <row r="1780" spans="1:35" ht="14.25" customHeight="1" x14ac:dyDescent="0.2">
      <c r="A1780" s="1">
        <v>50656</v>
      </c>
      <c r="B1780" s="1" t="s">
        <v>1517</v>
      </c>
      <c r="C1780" s="1" t="s">
        <v>30</v>
      </c>
      <c r="D1780" s="2">
        <v>41937</v>
      </c>
      <c r="E1780" s="1" t="s">
        <v>38</v>
      </c>
      <c r="F1780" s="1" t="s">
        <v>1350</v>
      </c>
      <c r="G1780" s="1">
        <v>42</v>
      </c>
      <c r="H1780" s="1">
        <v>4.37</v>
      </c>
      <c r="I1780" s="1">
        <f t="shared" si="81"/>
        <v>183.54</v>
      </c>
      <c r="J1780" t="str">
        <f t="shared" si="82"/>
        <v>Low</v>
      </c>
      <c r="K1780" s="1"/>
      <c r="L1780" s="1">
        <v>0</v>
      </c>
      <c r="M1780" s="1">
        <v>5.15</v>
      </c>
      <c r="N1780" s="1" t="s">
        <v>33</v>
      </c>
      <c r="O1780" s="1" t="s">
        <v>34</v>
      </c>
      <c r="P1780" s="2">
        <v>41939</v>
      </c>
      <c r="Q1780" s="2" t="b">
        <f t="shared" si="83"/>
        <v>0</v>
      </c>
      <c r="V1780" s="2"/>
      <c r="W1780" s="2"/>
      <c r="X1780" s="2"/>
      <c r="Y1780" s="2"/>
      <c r="Z1780" s="2"/>
      <c r="AA1780" s="2"/>
      <c r="AB1780" s="2"/>
      <c r="AC1780" s="2"/>
      <c r="AD1780" s="2"/>
      <c r="AE1780" s="2"/>
      <c r="AF1780" s="2"/>
      <c r="AG1780" s="2"/>
      <c r="AH1780" s="2"/>
      <c r="AI1780" s="2"/>
    </row>
    <row r="1781" spans="1:35" ht="14.25" customHeight="1" x14ac:dyDescent="0.2">
      <c r="A1781" s="1">
        <v>50656</v>
      </c>
      <c r="B1781" s="1" t="s">
        <v>1517</v>
      </c>
      <c r="C1781" s="1" t="s">
        <v>30</v>
      </c>
      <c r="D1781" s="2">
        <v>41937</v>
      </c>
      <c r="E1781" s="1" t="s">
        <v>38</v>
      </c>
      <c r="F1781" s="1" t="s">
        <v>1265</v>
      </c>
      <c r="G1781" s="1">
        <v>31</v>
      </c>
      <c r="H1781" s="1">
        <v>500.98</v>
      </c>
      <c r="I1781" s="1">
        <f t="shared" si="81"/>
        <v>15530.380000000001</v>
      </c>
      <c r="J1781" t="str">
        <f t="shared" si="82"/>
        <v>High</v>
      </c>
      <c r="K1781" s="1"/>
      <c r="L1781" s="1">
        <v>0.01</v>
      </c>
      <c r="M1781" s="1">
        <v>56</v>
      </c>
      <c r="N1781" s="1" t="s">
        <v>45</v>
      </c>
      <c r="O1781" s="1" t="s">
        <v>46</v>
      </c>
      <c r="P1781" s="2">
        <v>41938</v>
      </c>
      <c r="Q1781" s="2" t="b">
        <f t="shared" si="83"/>
        <v>0</v>
      </c>
      <c r="V1781" s="2"/>
      <c r="W1781" s="2"/>
      <c r="X1781" s="2"/>
      <c r="Y1781" s="2"/>
      <c r="Z1781" s="2"/>
      <c r="AA1781" s="2"/>
      <c r="AB1781" s="2"/>
      <c r="AC1781" s="2"/>
      <c r="AD1781" s="2"/>
      <c r="AE1781" s="2"/>
      <c r="AF1781" s="2"/>
      <c r="AG1781" s="2"/>
      <c r="AH1781" s="2"/>
      <c r="AI1781" s="2"/>
    </row>
    <row r="1782" spans="1:35" ht="14.25" customHeight="1" x14ac:dyDescent="0.2">
      <c r="A1782" s="1">
        <v>50656</v>
      </c>
      <c r="B1782" s="1" t="s">
        <v>1517</v>
      </c>
      <c r="C1782" s="1" t="s">
        <v>51</v>
      </c>
      <c r="D1782" s="2">
        <v>41937</v>
      </c>
      <c r="E1782" s="1" t="s">
        <v>38</v>
      </c>
      <c r="F1782" s="1" t="s">
        <v>1316</v>
      </c>
      <c r="G1782" s="1">
        <v>39</v>
      </c>
      <c r="H1782" s="1">
        <v>12.58</v>
      </c>
      <c r="I1782" s="1">
        <f t="shared" si="81"/>
        <v>490.62</v>
      </c>
      <c r="J1782" t="str">
        <f t="shared" si="82"/>
        <v>Low</v>
      </c>
      <c r="K1782" s="1"/>
      <c r="L1782" s="1">
        <v>0.02</v>
      </c>
      <c r="M1782" s="1">
        <v>5.16</v>
      </c>
      <c r="N1782" s="1" t="s">
        <v>33</v>
      </c>
      <c r="O1782" s="1" t="s">
        <v>34</v>
      </c>
      <c r="P1782" s="2">
        <v>41937</v>
      </c>
      <c r="Q1782" s="2" t="b">
        <f t="shared" si="83"/>
        <v>0</v>
      </c>
      <c r="V1782" s="2"/>
      <c r="W1782" s="2"/>
      <c r="X1782" s="2"/>
      <c r="Y1782" s="2"/>
      <c r="Z1782" s="2"/>
      <c r="AA1782" s="2"/>
      <c r="AB1782" s="2"/>
      <c r="AC1782" s="2"/>
      <c r="AD1782" s="2"/>
      <c r="AE1782" s="2"/>
      <c r="AF1782" s="2"/>
      <c r="AG1782" s="2"/>
      <c r="AH1782" s="2"/>
      <c r="AI1782" s="2"/>
    </row>
    <row r="1783" spans="1:35" ht="14.25" customHeight="1" x14ac:dyDescent="0.2">
      <c r="A1783" s="1">
        <v>50656</v>
      </c>
      <c r="B1783" s="1" t="s">
        <v>1517</v>
      </c>
      <c r="C1783" s="1" t="s">
        <v>21</v>
      </c>
      <c r="D1783" s="2">
        <v>41937</v>
      </c>
      <c r="E1783" s="1" t="s">
        <v>38</v>
      </c>
      <c r="F1783" s="1" t="s">
        <v>1518</v>
      </c>
      <c r="G1783" s="1">
        <v>15</v>
      </c>
      <c r="H1783" s="1">
        <v>7.7</v>
      </c>
      <c r="I1783" s="1">
        <f t="shared" si="81"/>
        <v>115.5</v>
      </c>
      <c r="J1783" t="str">
        <f t="shared" si="82"/>
        <v>Low</v>
      </c>
      <c r="K1783" s="1"/>
      <c r="L1783" s="1">
        <v>0.1</v>
      </c>
      <c r="M1783" s="1">
        <v>3.68</v>
      </c>
      <c r="N1783" s="1" t="s">
        <v>33</v>
      </c>
      <c r="O1783" s="1" t="s">
        <v>55</v>
      </c>
      <c r="P1783" s="2">
        <v>41938</v>
      </c>
      <c r="Q1783" s="2" t="b">
        <f t="shared" si="83"/>
        <v>0</v>
      </c>
      <c r="V1783" s="2"/>
      <c r="W1783" s="2"/>
      <c r="X1783" s="2"/>
      <c r="Y1783" s="2"/>
      <c r="Z1783" s="2"/>
      <c r="AA1783" s="2"/>
      <c r="AB1783" s="2"/>
      <c r="AC1783" s="2"/>
      <c r="AD1783" s="2"/>
      <c r="AE1783" s="2"/>
      <c r="AF1783" s="2"/>
      <c r="AG1783" s="2"/>
      <c r="AH1783" s="2"/>
      <c r="AI1783" s="2"/>
    </row>
    <row r="1784" spans="1:35" ht="14.25" customHeight="1" x14ac:dyDescent="0.2">
      <c r="A1784" s="1">
        <v>38599</v>
      </c>
      <c r="B1784" s="1" t="s">
        <v>632</v>
      </c>
      <c r="C1784" s="1" t="s">
        <v>30</v>
      </c>
      <c r="D1784" s="2">
        <v>41938</v>
      </c>
      <c r="E1784" s="1" t="s">
        <v>31</v>
      </c>
      <c r="F1784" s="1" t="s">
        <v>1261</v>
      </c>
      <c r="G1784" s="1">
        <v>27</v>
      </c>
      <c r="H1784" s="1">
        <v>101.41</v>
      </c>
      <c r="I1784" s="1">
        <f t="shared" si="81"/>
        <v>2738.0699999999997</v>
      </c>
      <c r="J1784" t="str">
        <f t="shared" si="82"/>
        <v>High</v>
      </c>
      <c r="K1784" s="1"/>
      <c r="L1784" s="1">
        <v>0.09</v>
      </c>
      <c r="M1784" s="1">
        <v>35</v>
      </c>
      <c r="N1784" s="1" t="s">
        <v>33</v>
      </c>
      <c r="O1784" s="1" t="s">
        <v>26</v>
      </c>
      <c r="P1784" s="2">
        <v>41939</v>
      </c>
      <c r="Q1784" s="2" t="b">
        <f t="shared" si="83"/>
        <v>0</v>
      </c>
      <c r="V1784" s="2"/>
      <c r="W1784" s="2"/>
      <c r="X1784" s="2"/>
      <c r="Y1784" s="2"/>
      <c r="Z1784" s="2"/>
      <c r="AA1784" s="2"/>
      <c r="AB1784" s="2"/>
      <c r="AC1784" s="2"/>
      <c r="AD1784" s="2"/>
      <c r="AE1784" s="2"/>
      <c r="AF1784" s="2"/>
      <c r="AG1784" s="2"/>
      <c r="AH1784" s="2"/>
      <c r="AI1784" s="2"/>
    </row>
    <row r="1785" spans="1:35" ht="14.25" customHeight="1" x14ac:dyDescent="0.2">
      <c r="A1785" s="1">
        <v>15904</v>
      </c>
      <c r="B1785" s="1" t="s">
        <v>1519</v>
      </c>
      <c r="C1785" s="1" t="s">
        <v>30</v>
      </c>
      <c r="D1785" s="2">
        <v>41939</v>
      </c>
      <c r="E1785" s="1" t="s">
        <v>22</v>
      </c>
      <c r="F1785" s="1" t="s">
        <v>124</v>
      </c>
      <c r="G1785" s="1">
        <v>39</v>
      </c>
      <c r="H1785" s="1">
        <v>3.28</v>
      </c>
      <c r="I1785" s="1">
        <f t="shared" si="81"/>
        <v>127.91999999999999</v>
      </c>
      <c r="J1785" t="str">
        <f t="shared" si="82"/>
        <v>Low</v>
      </c>
      <c r="K1785" s="1"/>
      <c r="L1785" s="1">
        <v>0.08</v>
      </c>
      <c r="M1785" s="1">
        <v>3.97</v>
      </c>
      <c r="N1785" s="1" t="s">
        <v>33</v>
      </c>
      <c r="O1785" s="1" t="s">
        <v>55</v>
      </c>
      <c r="P1785" s="2">
        <v>41940</v>
      </c>
      <c r="Q1785" s="2" t="b">
        <f t="shared" si="83"/>
        <v>0</v>
      </c>
      <c r="V1785" s="2"/>
      <c r="W1785" s="2"/>
      <c r="X1785" s="2"/>
      <c r="Y1785" s="2"/>
      <c r="Z1785" s="2"/>
      <c r="AA1785" s="2"/>
      <c r="AB1785" s="2"/>
      <c r="AC1785" s="2"/>
      <c r="AD1785" s="2"/>
      <c r="AE1785" s="2"/>
      <c r="AF1785" s="2"/>
      <c r="AG1785" s="2"/>
      <c r="AH1785" s="2"/>
      <c r="AI1785" s="2"/>
    </row>
    <row r="1786" spans="1:35" ht="14.25" customHeight="1" x14ac:dyDescent="0.2">
      <c r="A1786" s="1">
        <v>15904</v>
      </c>
      <c r="B1786" s="1" t="s">
        <v>1519</v>
      </c>
      <c r="C1786" s="1" t="s">
        <v>30</v>
      </c>
      <c r="D1786" s="2">
        <v>41939</v>
      </c>
      <c r="E1786" s="1" t="s">
        <v>22</v>
      </c>
      <c r="F1786" s="1" t="s">
        <v>1432</v>
      </c>
      <c r="G1786" s="1">
        <v>49</v>
      </c>
      <c r="H1786" s="1">
        <v>40.97</v>
      </c>
      <c r="I1786" s="1">
        <f t="shared" si="81"/>
        <v>2007.53</v>
      </c>
      <c r="J1786" t="str">
        <f t="shared" si="82"/>
        <v>High</v>
      </c>
      <c r="K1786" s="1"/>
      <c r="L1786" s="1">
        <v>0.09</v>
      </c>
      <c r="M1786" s="1">
        <v>8.99</v>
      </c>
      <c r="N1786" s="1" t="s">
        <v>25</v>
      </c>
      <c r="O1786" s="1" t="s">
        <v>84</v>
      </c>
      <c r="P1786" s="2">
        <v>41941</v>
      </c>
      <c r="Q1786" s="2" t="b">
        <f t="shared" si="83"/>
        <v>0</v>
      </c>
      <c r="V1786" s="2"/>
      <c r="W1786" s="2"/>
      <c r="X1786" s="2"/>
      <c r="Y1786" s="2"/>
      <c r="Z1786" s="2"/>
      <c r="AA1786" s="2"/>
      <c r="AB1786" s="2"/>
      <c r="AC1786" s="2"/>
      <c r="AD1786" s="2"/>
      <c r="AE1786" s="2"/>
      <c r="AF1786" s="2"/>
      <c r="AG1786" s="2"/>
      <c r="AH1786" s="2"/>
      <c r="AI1786" s="2"/>
    </row>
    <row r="1787" spans="1:35" ht="14.25" customHeight="1" x14ac:dyDescent="0.2">
      <c r="A1787" s="1">
        <v>17251</v>
      </c>
      <c r="B1787" s="1" t="s">
        <v>1520</v>
      </c>
      <c r="C1787" s="1" t="s">
        <v>30</v>
      </c>
      <c r="D1787" s="2">
        <v>41939</v>
      </c>
      <c r="E1787" s="1" t="s">
        <v>22</v>
      </c>
      <c r="F1787" s="1" t="s">
        <v>321</v>
      </c>
      <c r="G1787" s="1">
        <v>26</v>
      </c>
      <c r="H1787" s="1">
        <v>125.99</v>
      </c>
      <c r="I1787" s="1">
        <f t="shared" si="81"/>
        <v>3275.74</v>
      </c>
      <c r="J1787" t="str">
        <f t="shared" si="82"/>
        <v>High</v>
      </c>
      <c r="K1787" s="1"/>
      <c r="L1787" s="1">
        <v>0</v>
      </c>
      <c r="M1787" s="1">
        <v>8.99</v>
      </c>
      <c r="N1787" s="1" t="s">
        <v>33</v>
      </c>
      <c r="O1787" s="1" t="s">
        <v>34</v>
      </c>
      <c r="P1787" s="2">
        <v>41941</v>
      </c>
      <c r="Q1787" s="2" t="b">
        <f t="shared" si="83"/>
        <v>0</v>
      </c>
      <c r="V1787" s="2"/>
      <c r="W1787" s="2"/>
      <c r="X1787" s="2"/>
      <c r="Y1787" s="2"/>
      <c r="Z1787" s="2"/>
      <c r="AA1787" s="2"/>
      <c r="AB1787" s="2"/>
      <c r="AC1787" s="2"/>
      <c r="AD1787" s="2"/>
      <c r="AE1787" s="2"/>
      <c r="AF1787" s="2"/>
      <c r="AG1787" s="2"/>
      <c r="AH1787" s="2"/>
      <c r="AI1787" s="2"/>
    </row>
    <row r="1788" spans="1:35" ht="14.25" customHeight="1" x14ac:dyDescent="0.2">
      <c r="A1788" s="1">
        <v>32737</v>
      </c>
      <c r="B1788" s="1" t="s">
        <v>669</v>
      </c>
      <c r="C1788" s="1" t="s">
        <v>21</v>
      </c>
      <c r="D1788" s="2">
        <v>41940</v>
      </c>
      <c r="E1788" s="1" t="s">
        <v>31</v>
      </c>
      <c r="F1788" s="1" t="s">
        <v>723</v>
      </c>
      <c r="G1788" s="1">
        <v>14</v>
      </c>
      <c r="H1788" s="1">
        <v>28.53</v>
      </c>
      <c r="I1788" s="1">
        <f t="shared" si="81"/>
        <v>399.42</v>
      </c>
      <c r="J1788" t="str">
        <f t="shared" si="82"/>
        <v>Low</v>
      </c>
      <c r="K1788" s="1"/>
      <c r="L1788" s="1">
        <v>0.09</v>
      </c>
      <c r="M1788" s="1">
        <v>1.49</v>
      </c>
      <c r="N1788" s="1" t="s">
        <v>33</v>
      </c>
      <c r="O1788" s="1" t="s">
        <v>34</v>
      </c>
      <c r="P1788" s="2">
        <v>41942</v>
      </c>
      <c r="Q1788" s="2" t="b">
        <f t="shared" si="83"/>
        <v>0</v>
      </c>
      <c r="V1788" s="2"/>
      <c r="W1788" s="2"/>
      <c r="X1788" s="2"/>
      <c r="Y1788" s="2"/>
      <c r="Z1788" s="2"/>
      <c r="AA1788" s="2"/>
      <c r="AB1788" s="2"/>
      <c r="AC1788" s="2"/>
      <c r="AD1788" s="2"/>
      <c r="AE1788" s="2"/>
      <c r="AF1788" s="2"/>
      <c r="AG1788" s="2"/>
      <c r="AH1788" s="2"/>
      <c r="AI1788" s="2"/>
    </row>
    <row r="1789" spans="1:35" ht="14.25" customHeight="1" x14ac:dyDescent="0.2">
      <c r="A1789" s="1">
        <v>7623</v>
      </c>
      <c r="B1789" s="1" t="s">
        <v>1047</v>
      </c>
      <c r="C1789" s="1" t="s">
        <v>30</v>
      </c>
      <c r="D1789" s="2">
        <v>41940</v>
      </c>
      <c r="E1789" s="1" t="s">
        <v>38</v>
      </c>
      <c r="F1789" s="1" t="s">
        <v>1521</v>
      </c>
      <c r="G1789" s="1">
        <v>18</v>
      </c>
      <c r="H1789" s="1">
        <v>300.64999999999998</v>
      </c>
      <c r="I1789" s="1">
        <f t="shared" si="81"/>
        <v>5411.7</v>
      </c>
      <c r="J1789" t="str">
        <f t="shared" si="82"/>
        <v>High</v>
      </c>
      <c r="K1789" s="1"/>
      <c r="L1789" s="1">
        <v>0.03</v>
      </c>
      <c r="M1789" s="1">
        <v>24.49</v>
      </c>
      <c r="N1789" s="1" t="s">
        <v>33</v>
      </c>
      <c r="O1789" s="1" t="s">
        <v>26</v>
      </c>
      <c r="P1789" s="2">
        <v>41942</v>
      </c>
      <c r="Q1789" s="2" t="b">
        <f t="shared" si="83"/>
        <v>0</v>
      </c>
      <c r="V1789" s="2"/>
      <c r="W1789" s="2"/>
      <c r="X1789" s="2"/>
      <c r="Y1789" s="2"/>
      <c r="Z1789" s="2"/>
      <c r="AA1789" s="2"/>
      <c r="AB1789" s="2"/>
      <c r="AC1789" s="2"/>
      <c r="AD1789" s="2"/>
      <c r="AE1789" s="2"/>
      <c r="AF1789" s="2"/>
      <c r="AG1789" s="2"/>
      <c r="AH1789" s="2"/>
      <c r="AI1789" s="2"/>
    </row>
    <row r="1790" spans="1:35" ht="14.25" customHeight="1" x14ac:dyDescent="0.2">
      <c r="A1790" s="1">
        <v>7623</v>
      </c>
      <c r="B1790" s="1" t="s">
        <v>1047</v>
      </c>
      <c r="C1790" s="1" t="s">
        <v>21</v>
      </c>
      <c r="D1790" s="2">
        <v>41940</v>
      </c>
      <c r="E1790" s="1" t="s">
        <v>38</v>
      </c>
      <c r="F1790" s="1" t="s">
        <v>363</v>
      </c>
      <c r="G1790" s="1">
        <v>37</v>
      </c>
      <c r="H1790" s="1">
        <v>49.99</v>
      </c>
      <c r="I1790" s="1">
        <f t="shared" si="81"/>
        <v>1849.63</v>
      </c>
      <c r="J1790" t="str">
        <f t="shared" si="82"/>
        <v>High</v>
      </c>
      <c r="K1790" s="1"/>
      <c r="L1790" s="1">
        <v>0.06</v>
      </c>
      <c r="M1790" s="1">
        <v>19.989999999999998</v>
      </c>
      <c r="N1790" s="1" t="s">
        <v>33</v>
      </c>
      <c r="O1790" s="1" t="s">
        <v>34</v>
      </c>
      <c r="P1790" s="2">
        <v>41942</v>
      </c>
      <c r="Q1790" s="2" t="b">
        <f t="shared" si="83"/>
        <v>0</v>
      </c>
      <c r="V1790" s="2"/>
      <c r="W1790" s="2"/>
      <c r="X1790" s="2"/>
      <c r="Y1790" s="2"/>
      <c r="Z1790" s="2"/>
      <c r="AA1790" s="2"/>
      <c r="AB1790" s="2"/>
      <c r="AC1790" s="2"/>
      <c r="AD1790" s="2"/>
      <c r="AE1790" s="2"/>
      <c r="AF1790" s="2"/>
      <c r="AG1790" s="2"/>
      <c r="AH1790" s="2"/>
      <c r="AI1790" s="2"/>
    </row>
    <row r="1791" spans="1:35" ht="14.25" customHeight="1" x14ac:dyDescent="0.2">
      <c r="A1791" s="1">
        <v>7623</v>
      </c>
      <c r="B1791" s="1" t="s">
        <v>1047</v>
      </c>
      <c r="C1791" s="1" t="s">
        <v>21</v>
      </c>
      <c r="D1791" s="2">
        <v>41940</v>
      </c>
      <c r="E1791" s="1" t="s">
        <v>38</v>
      </c>
      <c r="F1791" s="1" t="s">
        <v>1522</v>
      </c>
      <c r="G1791" s="1">
        <v>32</v>
      </c>
      <c r="H1791" s="1">
        <v>104.85</v>
      </c>
      <c r="I1791" s="1">
        <f t="shared" si="81"/>
        <v>3355.2</v>
      </c>
      <c r="J1791" t="str">
        <f t="shared" si="82"/>
        <v>High</v>
      </c>
      <c r="K1791" s="1"/>
      <c r="L1791" s="1">
        <v>0.1</v>
      </c>
      <c r="M1791" s="1">
        <v>4.6500000000000004</v>
      </c>
      <c r="N1791" s="1" t="s">
        <v>33</v>
      </c>
      <c r="O1791" s="1" t="s">
        <v>34</v>
      </c>
      <c r="P1791" s="2">
        <v>41941</v>
      </c>
      <c r="Q1791" s="2" t="b">
        <f t="shared" si="83"/>
        <v>0</v>
      </c>
      <c r="V1791" s="2"/>
      <c r="W1791" s="2"/>
      <c r="X1791" s="2"/>
      <c r="Y1791" s="2"/>
      <c r="Z1791" s="2"/>
      <c r="AA1791" s="2"/>
      <c r="AB1791" s="2"/>
      <c r="AC1791" s="2"/>
      <c r="AD1791" s="2"/>
      <c r="AE1791" s="2"/>
      <c r="AF1791" s="2"/>
      <c r="AG1791" s="2"/>
      <c r="AH1791" s="2"/>
      <c r="AI1791" s="2"/>
    </row>
    <row r="1792" spans="1:35" ht="14.25" customHeight="1" x14ac:dyDescent="0.2">
      <c r="A1792" s="1">
        <v>48896</v>
      </c>
      <c r="B1792" s="1" t="s">
        <v>60</v>
      </c>
      <c r="C1792" s="1" t="s">
        <v>51</v>
      </c>
      <c r="D1792" s="2">
        <v>41940</v>
      </c>
      <c r="E1792" s="1" t="s">
        <v>38</v>
      </c>
      <c r="F1792" s="1" t="s">
        <v>207</v>
      </c>
      <c r="G1792" s="1">
        <v>43</v>
      </c>
      <c r="H1792" s="1">
        <v>18.97</v>
      </c>
      <c r="I1792" s="1">
        <f t="shared" si="81"/>
        <v>815.70999999999992</v>
      </c>
      <c r="J1792" t="str">
        <f t="shared" si="82"/>
        <v>Low</v>
      </c>
      <c r="K1792" s="1"/>
      <c r="L1792" s="1">
        <v>0.02</v>
      </c>
      <c r="M1792" s="1">
        <v>9.5399999999999991</v>
      </c>
      <c r="N1792" s="1" t="s">
        <v>33</v>
      </c>
      <c r="O1792" s="1" t="s">
        <v>34</v>
      </c>
      <c r="P1792" s="2">
        <v>41942</v>
      </c>
      <c r="Q1792" s="2" t="b">
        <f t="shared" si="83"/>
        <v>0</v>
      </c>
      <c r="V1792" s="2"/>
      <c r="W1792" s="2"/>
      <c r="X1792" s="2"/>
      <c r="Y1792" s="2"/>
      <c r="Z1792" s="2"/>
      <c r="AA1792" s="2"/>
      <c r="AB1792" s="2"/>
      <c r="AC1792" s="2"/>
      <c r="AD1792" s="2"/>
      <c r="AE1792" s="2"/>
      <c r="AF1792" s="2"/>
      <c r="AG1792" s="2"/>
      <c r="AH1792" s="2"/>
      <c r="AI1792" s="2"/>
    </row>
    <row r="1793" spans="1:35" ht="14.25" customHeight="1" x14ac:dyDescent="0.2">
      <c r="A1793" s="1">
        <v>19105</v>
      </c>
      <c r="B1793" s="1" t="s">
        <v>1271</v>
      </c>
      <c r="C1793" s="1" t="s">
        <v>21</v>
      </c>
      <c r="D1793" s="2">
        <v>41940</v>
      </c>
      <c r="E1793" s="1" t="s">
        <v>31</v>
      </c>
      <c r="F1793" s="1" t="s">
        <v>1523</v>
      </c>
      <c r="G1793" s="1">
        <v>31</v>
      </c>
      <c r="H1793" s="1">
        <v>48.91</v>
      </c>
      <c r="I1793" s="1">
        <f t="shared" si="81"/>
        <v>1516.2099999999998</v>
      </c>
      <c r="J1793" t="str">
        <f t="shared" si="82"/>
        <v>High</v>
      </c>
      <c r="K1793" s="1"/>
      <c r="L1793" s="1">
        <v>0.1</v>
      </c>
      <c r="M1793" s="1">
        <v>5.97</v>
      </c>
      <c r="N1793" s="1" t="s">
        <v>33</v>
      </c>
      <c r="O1793" s="1" t="s">
        <v>34</v>
      </c>
      <c r="P1793" s="2">
        <v>41942</v>
      </c>
      <c r="Q1793" s="2" t="b">
        <f t="shared" si="83"/>
        <v>0</v>
      </c>
      <c r="V1793" s="2"/>
      <c r="W1793" s="2"/>
      <c r="X1793" s="2"/>
      <c r="Y1793" s="2"/>
      <c r="Z1793" s="2"/>
      <c r="AA1793" s="2"/>
      <c r="AB1793" s="2"/>
      <c r="AC1793" s="2"/>
      <c r="AD1793" s="2"/>
      <c r="AE1793" s="2"/>
      <c r="AF1793" s="2"/>
      <c r="AG1793" s="2"/>
      <c r="AH1793" s="2"/>
      <c r="AI1793" s="2"/>
    </row>
    <row r="1794" spans="1:35" ht="14.25" customHeight="1" x14ac:dyDescent="0.2">
      <c r="A1794" s="1">
        <v>19105</v>
      </c>
      <c r="B1794" s="1" t="s">
        <v>1271</v>
      </c>
      <c r="C1794" s="1" t="s">
        <v>21</v>
      </c>
      <c r="D1794" s="2">
        <v>41940</v>
      </c>
      <c r="E1794" s="1" t="s">
        <v>31</v>
      </c>
      <c r="F1794" s="1" t="s">
        <v>495</v>
      </c>
      <c r="G1794" s="1">
        <v>29</v>
      </c>
      <c r="H1794" s="1">
        <v>5.98</v>
      </c>
      <c r="I1794" s="1">
        <f t="shared" ref="I1794:I1857" si="84">G1794*H1794</f>
        <v>173.42000000000002</v>
      </c>
      <c r="J1794" t="str">
        <f t="shared" ref="J1794:J1857" si="85">IF(I1794&lt;1000,"Low","High")</f>
        <v>Low</v>
      </c>
      <c r="K1794" s="1"/>
      <c r="L1794" s="1">
        <v>0.08</v>
      </c>
      <c r="M1794" s="1">
        <v>5.46</v>
      </c>
      <c r="N1794" s="1" t="s">
        <v>33</v>
      </c>
      <c r="O1794" s="1" t="s">
        <v>34</v>
      </c>
      <c r="P1794" s="2">
        <v>41940</v>
      </c>
      <c r="Q1794" s="2" t="b">
        <f t="shared" ref="Q1794:Q1857" si="86">AND(N1794="Express Air",O1794="Large Box")</f>
        <v>0</v>
      </c>
      <c r="V1794" s="2"/>
      <c r="W1794" s="2"/>
      <c r="X1794" s="2"/>
      <c r="Y1794" s="2"/>
      <c r="Z1794" s="2"/>
      <c r="AA1794" s="2"/>
      <c r="AB1794" s="2"/>
      <c r="AC1794" s="2"/>
      <c r="AD1794" s="2"/>
      <c r="AE1794" s="2"/>
      <c r="AF1794" s="2"/>
      <c r="AG1794" s="2"/>
      <c r="AH1794" s="2"/>
      <c r="AI1794" s="2"/>
    </row>
    <row r="1795" spans="1:35" ht="14.25" customHeight="1" x14ac:dyDescent="0.2">
      <c r="A1795" s="1">
        <v>52291</v>
      </c>
      <c r="B1795" s="1" t="s">
        <v>1461</v>
      </c>
      <c r="C1795" s="1" t="s">
        <v>51</v>
      </c>
      <c r="D1795" s="2">
        <v>41941</v>
      </c>
      <c r="E1795" s="1" t="s">
        <v>38</v>
      </c>
      <c r="F1795" s="1" t="s">
        <v>493</v>
      </c>
      <c r="G1795" s="1">
        <v>48</v>
      </c>
      <c r="H1795" s="1">
        <v>5.98</v>
      </c>
      <c r="I1795" s="1">
        <f t="shared" si="84"/>
        <v>287.04000000000002</v>
      </c>
      <c r="J1795" t="str">
        <f t="shared" si="85"/>
        <v>Low</v>
      </c>
      <c r="K1795" s="1"/>
      <c r="L1795" s="1">
        <v>0.04</v>
      </c>
      <c r="M1795" s="1">
        <v>0.96</v>
      </c>
      <c r="N1795" s="1" t="s">
        <v>33</v>
      </c>
      <c r="O1795" s="1" t="s">
        <v>55</v>
      </c>
      <c r="P1795" s="2">
        <v>41943</v>
      </c>
      <c r="Q1795" s="2" t="b">
        <f t="shared" si="86"/>
        <v>0</v>
      </c>
      <c r="V1795" s="2"/>
      <c r="W1795" s="2"/>
      <c r="X1795" s="2"/>
      <c r="Y1795" s="2"/>
      <c r="Z1795" s="2"/>
      <c r="AA1795" s="2"/>
      <c r="AB1795" s="2"/>
      <c r="AC1795" s="2"/>
      <c r="AD1795" s="2"/>
      <c r="AE1795" s="2"/>
      <c r="AF1795" s="2"/>
      <c r="AG1795" s="2"/>
      <c r="AH1795" s="2"/>
      <c r="AI1795" s="2"/>
    </row>
    <row r="1796" spans="1:35" ht="14.25" customHeight="1" x14ac:dyDescent="0.2">
      <c r="A1796" s="1">
        <v>52291</v>
      </c>
      <c r="B1796" s="1" t="s">
        <v>1461</v>
      </c>
      <c r="C1796" s="1" t="s">
        <v>51</v>
      </c>
      <c r="D1796" s="2">
        <v>41941</v>
      </c>
      <c r="E1796" s="1" t="s">
        <v>38</v>
      </c>
      <c r="F1796" s="1" t="s">
        <v>989</v>
      </c>
      <c r="G1796" s="1">
        <v>5</v>
      </c>
      <c r="H1796" s="1">
        <v>20.99</v>
      </c>
      <c r="I1796" s="1">
        <f t="shared" si="84"/>
        <v>104.94999999999999</v>
      </c>
      <c r="J1796" t="str">
        <f t="shared" si="85"/>
        <v>Low</v>
      </c>
      <c r="K1796" s="1"/>
      <c r="L1796" s="1">
        <v>0.01</v>
      </c>
      <c r="M1796" s="1">
        <v>0.99</v>
      </c>
      <c r="N1796" s="1" t="s">
        <v>33</v>
      </c>
      <c r="O1796" s="1" t="s">
        <v>55</v>
      </c>
      <c r="P1796" s="2">
        <v>41942</v>
      </c>
      <c r="Q1796" s="2" t="b">
        <f t="shared" si="86"/>
        <v>0</v>
      </c>
      <c r="V1796" s="2"/>
      <c r="W1796" s="2"/>
      <c r="X1796" s="2"/>
      <c r="Y1796" s="2"/>
      <c r="Z1796" s="2"/>
      <c r="AA1796" s="2"/>
      <c r="AB1796" s="2"/>
      <c r="AC1796" s="2"/>
      <c r="AD1796" s="2"/>
      <c r="AE1796" s="2"/>
      <c r="AF1796" s="2"/>
      <c r="AG1796" s="2"/>
      <c r="AH1796" s="2"/>
      <c r="AI1796" s="2"/>
    </row>
    <row r="1797" spans="1:35" ht="14.25" customHeight="1" x14ac:dyDescent="0.2">
      <c r="A1797" s="1">
        <v>31910</v>
      </c>
      <c r="B1797" s="1" t="s">
        <v>1524</v>
      </c>
      <c r="C1797" s="1" t="s">
        <v>30</v>
      </c>
      <c r="D1797" s="2">
        <v>41941</v>
      </c>
      <c r="E1797" s="1" t="s">
        <v>101</v>
      </c>
      <c r="F1797" s="1" t="s">
        <v>378</v>
      </c>
      <c r="G1797" s="1">
        <v>6</v>
      </c>
      <c r="H1797" s="1">
        <v>35.99</v>
      </c>
      <c r="I1797" s="1">
        <f t="shared" si="84"/>
        <v>215.94</v>
      </c>
      <c r="J1797" t="str">
        <f t="shared" si="85"/>
        <v>Low</v>
      </c>
      <c r="K1797" s="1"/>
      <c r="L1797" s="1">
        <v>0.03</v>
      </c>
      <c r="M1797" s="1">
        <v>5</v>
      </c>
      <c r="N1797" s="1" t="s">
        <v>33</v>
      </c>
      <c r="O1797" s="1" t="s">
        <v>34</v>
      </c>
      <c r="P1797" s="2">
        <v>41942</v>
      </c>
      <c r="Q1797" s="2" t="b">
        <f t="shared" si="86"/>
        <v>0</v>
      </c>
      <c r="V1797" s="2"/>
      <c r="W1797" s="2"/>
      <c r="X1797" s="2"/>
      <c r="Y1797" s="2"/>
      <c r="Z1797" s="2"/>
      <c r="AA1797" s="2"/>
      <c r="AB1797" s="2"/>
      <c r="AC1797" s="2"/>
      <c r="AD1797" s="2"/>
      <c r="AE1797" s="2"/>
      <c r="AF1797" s="2"/>
      <c r="AG1797" s="2"/>
      <c r="AH1797" s="2"/>
      <c r="AI1797" s="2"/>
    </row>
    <row r="1798" spans="1:35" ht="14.25" customHeight="1" x14ac:dyDescent="0.2">
      <c r="A1798" s="1">
        <v>56064</v>
      </c>
      <c r="B1798" s="1" t="s">
        <v>693</v>
      </c>
      <c r="C1798" s="1" t="s">
        <v>51</v>
      </c>
      <c r="D1798" s="2">
        <v>41941</v>
      </c>
      <c r="E1798" s="1" t="s">
        <v>101</v>
      </c>
      <c r="F1798" s="1" t="s">
        <v>723</v>
      </c>
      <c r="G1798" s="1">
        <v>41</v>
      </c>
      <c r="H1798" s="1">
        <v>28.53</v>
      </c>
      <c r="I1798" s="1">
        <f t="shared" si="84"/>
        <v>1169.73</v>
      </c>
      <c r="J1798" t="str">
        <f t="shared" si="85"/>
        <v>High</v>
      </c>
      <c r="K1798" s="1"/>
      <c r="L1798" s="1">
        <v>0.02</v>
      </c>
      <c r="M1798" s="1">
        <v>1.49</v>
      </c>
      <c r="N1798" s="1" t="s">
        <v>33</v>
      </c>
      <c r="O1798" s="1" t="s">
        <v>34</v>
      </c>
      <c r="P1798" s="2">
        <v>41941</v>
      </c>
      <c r="Q1798" s="2" t="b">
        <f t="shared" si="86"/>
        <v>0</v>
      </c>
      <c r="V1798" s="2"/>
      <c r="W1798" s="2"/>
      <c r="X1798" s="2"/>
      <c r="Y1798" s="2"/>
      <c r="Z1798" s="2"/>
      <c r="AA1798" s="2"/>
      <c r="AB1798" s="2"/>
      <c r="AC1798" s="2"/>
      <c r="AD1798" s="2"/>
      <c r="AE1798" s="2"/>
      <c r="AF1798" s="2"/>
      <c r="AG1798" s="2"/>
      <c r="AH1798" s="2"/>
      <c r="AI1798" s="2"/>
    </row>
    <row r="1799" spans="1:35" ht="14.25" customHeight="1" x14ac:dyDescent="0.2">
      <c r="A1799" s="1">
        <v>22628</v>
      </c>
      <c r="B1799" s="1" t="s">
        <v>715</v>
      </c>
      <c r="C1799" s="1" t="s">
        <v>21</v>
      </c>
      <c r="D1799" s="2">
        <v>41941</v>
      </c>
      <c r="E1799" s="1" t="s">
        <v>101</v>
      </c>
      <c r="F1799" s="1" t="s">
        <v>1525</v>
      </c>
      <c r="G1799" s="1">
        <v>30</v>
      </c>
      <c r="H1799" s="1">
        <v>95.95</v>
      </c>
      <c r="I1799" s="1">
        <f t="shared" si="84"/>
        <v>2878.5</v>
      </c>
      <c r="J1799" t="str">
        <f t="shared" si="85"/>
        <v>High</v>
      </c>
      <c r="K1799" s="1"/>
      <c r="L1799" s="1">
        <v>0.02</v>
      </c>
      <c r="M1799" s="1">
        <v>74.349999999999994</v>
      </c>
      <c r="N1799" s="1" t="s">
        <v>45</v>
      </c>
      <c r="O1799" s="1" t="s">
        <v>46</v>
      </c>
      <c r="P1799" s="2">
        <v>41944</v>
      </c>
      <c r="Q1799" s="2" t="b">
        <f t="shared" si="86"/>
        <v>0</v>
      </c>
      <c r="V1799" s="2"/>
      <c r="W1799" s="2"/>
      <c r="X1799" s="2"/>
      <c r="Y1799" s="2"/>
      <c r="Z1799" s="2"/>
      <c r="AA1799" s="2"/>
      <c r="AB1799" s="2"/>
      <c r="AC1799" s="2"/>
      <c r="AD1799" s="2"/>
      <c r="AE1799" s="2"/>
      <c r="AF1799" s="2"/>
      <c r="AG1799" s="2"/>
      <c r="AH1799" s="2"/>
      <c r="AI1799" s="2"/>
    </row>
    <row r="1800" spans="1:35" ht="14.25" customHeight="1" x14ac:dyDescent="0.2">
      <c r="A1800" s="1">
        <v>3395</v>
      </c>
      <c r="B1800" s="1" t="s">
        <v>444</v>
      </c>
      <c r="C1800" s="1" t="s">
        <v>21</v>
      </c>
      <c r="D1800" s="2">
        <v>41941</v>
      </c>
      <c r="E1800" s="1" t="s">
        <v>22</v>
      </c>
      <c r="F1800" s="1" t="s">
        <v>1526</v>
      </c>
      <c r="G1800" s="1">
        <v>31</v>
      </c>
      <c r="H1800" s="1">
        <v>5.38</v>
      </c>
      <c r="I1800" s="1">
        <f t="shared" si="84"/>
        <v>166.78</v>
      </c>
      <c r="J1800" t="str">
        <f t="shared" si="85"/>
        <v>Low</v>
      </c>
      <c r="K1800" s="1"/>
      <c r="L1800" s="1">
        <v>0.06</v>
      </c>
      <c r="M1800" s="1">
        <v>5.24</v>
      </c>
      <c r="N1800" s="1" t="s">
        <v>25</v>
      </c>
      <c r="O1800" s="1" t="s">
        <v>34</v>
      </c>
      <c r="P1800" s="2">
        <v>41943</v>
      </c>
      <c r="Q1800" s="2" t="b">
        <f t="shared" si="86"/>
        <v>0</v>
      </c>
      <c r="V1800" s="2"/>
      <c r="W1800" s="2"/>
      <c r="X1800" s="2"/>
      <c r="Y1800" s="2"/>
      <c r="Z1800" s="2"/>
      <c r="AA1800" s="2"/>
      <c r="AB1800" s="2"/>
      <c r="AC1800" s="2"/>
      <c r="AD1800" s="2"/>
      <c r="AE1800" s="2"/>
      <c r="AF1800" s="2"/>
      <c r="AG1800" s="2"/>
      <c r="AH1800" s="2"/>
      <c r="AI1800" s="2"/>
    </row>
    <row r="1801" spans="1:35" ht="14.25" customHeight="1" x14ac:dyDescent="0.2">
      <c r="A1801" s="1">
        <v>3395</v>
      </c>
      <c r="B1801" s="1" t="s">
        <v>444</v>
      </c>
      <c r="C1801" s="1" t="s">
        <v>51</v>
      </c>
      <c r="D1801" s="2">
        <v>41941</v>
      </c>
      <c r="E1801" s="1" t="s">
        <v>22</v>
      </c>
      <c r="F1801" s="1" t="s">
        <v>1527</v>
      </c>
      <c r="G1801" s="1">
        <v>1</v>
      </c>
      <c r="H1801" s="1">
        <v>7.35</v>
      </c>
      <c r="I1801" s="1">
        <f t="shared" si="84"/>
        <v>7.35</v>
      </c>
      <c r="J1801" t="str">
        <f t="shared" si="85"/>
        <v>Low</v>
      </c>
      <c r="K1801" s="1"/>
      <c r="L1801" s="1">
        <v>0.03</v>
      </c>
      <c r="M1801" s="1">
        <v>5.96</v>
      </c>
      <c r="N1801" s="1" t="s">
        <v>33</v>
      </c>
      <c r="O1801" s="1" t="s">
        <v>34</v>
      </c>
      <c r="P1801" s="2">
        <v>41943</v>
      </c>
      <c r="Q1801" s="2" t="b">
        <f t="shared" si="86"/>
        <v>0</v>
      </c>
      <c r="V1801" s="2"/>
      <c r="W1801" s="2"/>
      <c r="X1801" s="2"/>
      <c r="Y1801" s="2"/>
      <c r="Z1801" s="2"/>
      <c r="AA1801" s="2"/>
      <c r="AB1801" s="2"/>
      <c r="AC1801" s="2"/>
      <c r="AD1801" s="2"/>
      <c r="AE1801" s="2"/>
      <c r="AF1801" s="2"/>
      <c r="AG1801" s="2"/>
      <c r="AH1801" s="2"/>
      <c r="AI1801" s="2"/>
    </row>
    <row r="1802" spans="1:35" ht="14.25" customHeight="1" x14ac:dyDescent="0.2">
      <c r="A1802" s="1">
        <v>3395</v>
      </c>
      <c r="B1802" s="1" t="s">
        <v>444</v>
      </c>
      <c r="C1802" s="1" t="s">
        <v>30</v>
      </c>
      <c r="D1802" s="2">
        <v>41941</v>
      </c>
      <c r="E1802" s="1" t="s">
        <v>22</v>
      </c>
      <c r="F1802" s="1" t="s">
        <v>638</v>
      </c>
      <c r="G1802" s="1">
        <v>7</v>
      </c>
      <c r="H1802" s="1">
        <v>15.57</v>
      </c>
      <c r="I1802" s="1">
        <f t="shared" si="84"/>
        <v>108.99000000000001</v>
      </c>
      <c r="J1802" t="str">
        <f t="shared" si="85"/>
        <v>Low</v>
      </c>
      <c r="K1802" s="1"/>
      <c r="L1802" s="1">
        <v>0.02</v>
      </c>
      <c r="M1802" s="1">
        <v>1.39</v>
      </c>
      <c r="N1802" s="1" t="s">
        <v>33</v>
      </c>
      <c r="O1802" s="1" t="s">
        <v>34</v>
      </c>
      <c r="P1802" s="2">
        <v>41942</v>
      </c>
      <c r="Q1802" s="2" t="b">
        <f t="shared" si="86"/>
        <v>0</v>
      </c>
      <c r="V1802" s="2"/>
      <c r="W1802" s="2"/>
      <c r="X1802" s="2"/>
      <c r="Y1802" s="2"/>
      <c r="Z1802" s="2"/>
      <c r="AA1802" s="2"/>
      <c r="AB1802" s="2"/>
      <c r="AC1802" s="2"/>
      <c r="AD1802" s="2"/>
      <c r="AE1802" s="2"/>
      <c r="AF1802" s="2"/>
      <c r="AG1802" s="2"/>
      <c r="AH1802" s="2"/>
      <c r="AI1802" s="2"/>
    </row>
    <row r="1803" spans="1:35" ht="14.25" customHeight="1" x14ac:dyDescent="0.2">
      <c r="A1803" s="1">
        <v>3395</v>
      </c>
      <c r="B1803" s="1" t="s">
        <v>444</v>
      </c>
      <c r="C1803" s="1" t="s">
        <v>21</v>
      </c>
      <c r="D1803" s="2">
        <v>41941</v>
      </c>
      <c r="E1803" s="1" t="s">
        <v>22</v>
      </c>
      <c r="F1803" s="1" t="s">
        <v>714</v>
      </c>
      <c r="G1803" s="1">
        <v>29</v>
      </c>
      <c r="H1803" s="1">
        <v>20.89</v>
      </c>
      <c r="I1803" s="1">
        <f t="shared" si="84"/>
        <v>605.81000000000006</v>
      </c>
      <c r="J1803" t="str">
        <f t="shared" si="85"/>
        <v>Low</v>
      </c>
      <c r="K1803" s="1"/>
      <c r="L1803" s="1">
        <v>0.02</v>
      </c>
      <c r="M1803" s="1">
        <v>11.52</v>
      </c>
      <c r="N1803" s="1" t="s">
        <v>33</v>
      </c>
      <c r="O1803" s="1" t="s">
        <v>34</v>
      </c>
      <c r="P1803" s="2">
        <v>41942</v>
      </c>
      <c r="Q1803" s="2" t="b">
        <f t="shared" si="86"/>
        <v>0</v>
      </c>
      <c r="V1803" s="2"/>
      <c r="W1803" s="2"/>
      <c r="X1803" s="2"/>
      <c r="Y1803" s="2"/>
      <c r="Z1803" s="2"/>
      <c r="AA1803" s="2"/>
      <c r="AB1803" s="2"/>
      <c r="AC1803" s="2"/>
      <c r="AD1803" s="2"/>
      <c r="AE1803" s="2"/>
      <c r="AF1803" s="2"/>
      <c r="AG1803" s="2"/>
      <c r="AH1803" s="2"/>
      <c r="AI1803" s="2"/>
    </row>
    <row r="1804" spans="1:35" ht="14.25" customHeight="1" x14ac:dyDescent="0.2">
      <c r="A1804" s="1">
        <v>44134</v>
      </c>
      <c r="B1804" s="1" t="s">
        <v>1269</v>
      </c>
      <c r="C1804" s="1" t="s">
        <v>21</v>
      </c>
      <c r="D1804" s="2">
        <v>41942</v>
      </c>
      <c r="E1804" s="1" t="s">
        <v>31</v>
      </c>
      <c r="F1804" s="1" t="s">
        <v>791</v>
      </c>
      <c r="G1804" s="1">
        <v>35</v>
      </c>
      <c r="H1804" s="1">
        <v>17.670000000000002</v>
      </c>
      <c r="I1804" s="1">
        <f t="shared" si="84"/>
        <v>618.45000000000005</v>
      </c>
      <c r="J1804" t="str">
        <f t="shared" si="85"/>
        <v>Low</v>
      </c>
      <c r="K1804" s="1"/>
      <c r="L1804" s="1">
        <v>0.05</v>
      </c>
      <c r="M1804" s="1">
        <v>8.99</v>
      </c>
      <c r="N1804" s="1" t="s">
        <v>33</v>
      </c>
      <c r="O1804" s="1" t="s">
        <v>84</v>
      </c>
      <c r="P1804" s="2">
        <v>41944</v>
      </c>
      <c r="Q1804" s="2" t="b">
        <f t="shared" si="86"/>
        <v>0</v>
      </c>
      <c r="V1804" s="2"/>
      <c r="W1804" s="2"/>
      <c r="X1804" s="2"/>
      <c r="Y1804" s="2"/>
      <c r="Z1804" s="2"/>
      <c r="AA1804" s="2"/>
      <c r="AB1804" s="2"/>
      <c r="AC1804" s="2"/>
      <c r="AD1804" s="2"/>
      <c r="AE1804" s="2"/>
      <c r="AF1804" s="2"/>
      <c r="AG1804" s="2"/>
      <c r="AH1804" s="2"/>
      <c r="AI1804" s="2"/>
    </row>
    <row r="1805" spans="1:35" ht="14.25" customHeight="1" x14ac:dyDescent="0.2">
      <c r="A1805" s="1">
        <v>20229</v>
      </c>
      <c r="B1805" s="1" t="s">
        <v>1528</v>
      </c>
      <c r="C1805" s="1" t="s">
        <v>30</v>
      </c>
      <c r="D1805" s="2">
        <v>41942</v>
      </c>
      <c r="E1805" s="1" t="s">
        <v>43</v>
      </c>
      <c r="F1805" s="1" t="s">
        <v>961</v>
      </c>
      <c r="G1805" s="1">
        <v>47</v>
      </c>
      <c r="H1805" s="1">
        <v>2.62</v>
      </c>
      <c r="I1805" s="1">
        <f t="shared" si="84"/>
        <v>123.14</v>
      </c>
      <c r="J1805" t="str">
        <f t="shared" si="85"/>
        <v>Low</v>
      </c>
      <c r="K1805" s="1"/>
      <c r="L1805" s="1">
        <v>0.1</v>
      </c>
      <c r="M1805" s="1">
        <v>0.8</v>
      </c>
      <c r="N1805" s="1" t="s">
        <v>33</v>
      </c>
      <c r="O1805" s="1" t="s">
        <v>55</v>
      </c>
      <c r="P1805" s="2">
        <v>41949</v>
      </c>
      <c r="Q1805" s="2" t="b">
        <f t="shared" si="86"/>
        <v>0</v>
      </c>
      <c r="V1805" s="2"/>
      <c r="W1805" s="2"/>
      <c r="X1805" s="2"/>
      <c r="Y1805" s="2"/>
      <c r="Z1805" s="2"/>
      <c r="AA1805" s="2"/>
      <c r="AB1805" s="2"/>
      <c r="AC1805" s="2"/>
      <c r="AD1805" s="2"/>
      <c r="AE1805" s="2"/>
      <c r="AF1805" s="2"/>
      <c r="AG1805" s="2"/>
      <c r="AH1805" s="2"/>
      <c r="AI1805" s="2"/>
    </row>
    <row r="1806" spans="1:35" ht="14.25" customHeight="1" x14ac:dyDescent="0.2">
      <c r="A1806" s="1">
        <v>43554</v>
      </c>
      <c r="B1806" s="1" t="s">
        <v>1529</v>
      </c>
      <c r="C1806" s="1" t="s">
        <v>51</v>
      </c>
      <c r="D1806" s="2">
        <v>41942</v>
      </c>
      <c r="E1806" s="1" t="s">
        <v>38</v>
      </c>
      <c r="F1806" s="1" t="s">
        <v>540</v>
      </c>
      <c r="G1806" s="1">
        <v>9</v>
      </c>
      <c r="H1806" s="1">
        <v>3.6</v>
      </c>
      <c r="I1806" s="1">
        <f t="shared" si="84"/>
        <v>32.4</v>
      </c>
      <c r="J1806" t="str">
        <f t="shared" si="85"/>
        <v>Low</v>
      </c>
      <c r="K1806" s="1"/>
      <c r="L1806" s="1">
        <v>0.06</v>
      </c>
      <c r="M1806" s="1">
        <v>2.2000000000000002</v>
      </c>
      <c r="N1806" s="1" t="s">
        <v>33</v>
      </c>
      <c r="O1806" s="1" t="s">
        <v>55</v>
      </c>
      <c r="P1806" s="2">
        <v>41945</v>
      </c>
      <c r="Q1806" s="2" t="b">
        <f t="shared" si="86"/>
        <v>0</v>
      </c>
      <c r="V1806" s="2"/>
      <c r="W1806" s="2"/>
      <c r="X1806" s="2"/>
      <c r="Y1806" s="2"/>
      <c r="Z1806" s="2"/>
      <c r="AA1806" s="2"/>
      <c r="AB1806" s="2"/>
      <c r="AC1806" s="2"/>
      <c r="AD1806" s="2"/>
      <c r="AE1806" s="2"/>
      <c r="AF1806" s="2"/>
      <c r="AG1806" s="2"/>
      <c r="AH1806" s="2"/>
      <c r="AI1806" s="2"/>
    </row>
    <row r="1807" spans="1:35" ht="14.25" customHeight="1" x14ac:dyDescent="0.2">
      <c r="A1807" s="1">
        <v>26627</v>
      </c>
      <c r="B1807" s="1" t="s">
        <v>70</v>
      </c>
      <c r="C1807" s="1" t="s">
        <v>51</v>
      </c>
      <c r="D1807" s="2">
        <v>41942</v>
      </c>
      <c r="E1807" s="1" t="s">
        <v>101</v>
      </c>
      <c r="F1807" s="1" t="s">
        <v>1530</v>
      </c>
      <c r="G1807" s="1">
        <v>25</v>
      </c>
      <c r="H1807" s="1">
        <v>1.6</v>
      </c>
      <c r="I1807" s="1">
        <f t="shared" si="84"/>
        <v>40</v>
      </c>
      <c r="J1807" t="str">
        <f t="shared" si="85"/>
        <v>Low</v>
      </c>
      <c r="K1807" s="1"/>
      <c r="L1807" s="1">
        <v>0.1</v>
      </c>
      <c r="M1807" s="1">
        <v>1.29</v>
      </c>
      <c r="N1807" s="1" t="s">
        <v>33</v>
      </c>
      <c r="O1807" s="1" t="s">
        <v>55</v>
      </c>
      <c r="P1807" s="2">
        <v>41942</v>
      </c>
      <c r="Q1807" s="2" t="b">
        <f t="shared" si="86"/>
        <v>0</v>
      </c>
      <c r="V1807" s="2"/>
      <c r="W1807" s="2"/>
      <c r="X1807" s="2"/>
      <c r="Y1807" s="2"/>
      <c r="Z1807" s="2"/>
      <c r="AA1807" s="2"/>
      <c r="AB1807" s="2"/>
      <c r="AC1807" s="2"/>
      <c r="AD1807" s="2"/>
      <c r="AE1807" s="2"/>
      <c r="AF1807" s="2"/>
      <c r="AG1807" s="2"/>
      <c r="AH1807" s="2"/>
      <c r="AI1807" s="2"/>
    </row>
    <row r="1808" spans="1:35" ht="14.25" customHeight="1" x14ac:dyDescent="0.2">
      <c r="A1808" s="1">
        <v>24003</v>
      </c>
      <c r="B1808" s="1" t="s">
        <v>531</v>
      </c>
      <c r="C1808" s="1" t="s">
        <v>21</v>
      </c>
      <c r="D1808" s="2">
        <v>41943</v>
      </c>
      <c r="E1808" s="1" t="s">
        <v>38</v>
      </c>
      <c r="F1808" s="1" t="s">
        <v>130</v>
      </c>
      <c r="G1808" s="1">
        <v>49</v>
      </c>
      <c r="H1808" s="1">
        <v>1.76</v>
      </c>
      <c r="I1808" s="1">
        <f t="shared" si="84"/>
        <v>86.24</v>
      </c>
      <c r="J1808" t="str">
        <f t="shared" si="85"/>
        <v>Low</v>
      </c>
      <c r="K1808" s="1"/>
      <c r="L1808" s="1">
        <v>0.06</v>
      </c>
      <c r="M1808" s="1">
        <v>0.7</v>
      </c>
      <c r="N1808" s="1" t="s">
        <v>33</v>
      </c>
      <c r="O1808" s="1" t="s">
        <v>55</v>
      </c>
      <c r="P1808" s="2">
        <v>41945</v>
      </c>
      <c r="Q1808" s="2" t="b">
        <f t="shared" si="86"/>
        <v>0</v>
      </c>
      <c r="V1808" s="2"/>
      <c r="W1808" s="2"/>
      <c r="X1808" s="2"/>
      <c r="Y1808" s="2"/>
      <c r="Z1808" s="2"/>
      <c r="AA1808" s="2"/>
      <c r="AB1808" s="2"/>
      <c r="AC1808" s="2"/>
      <c r="AD1808" s="2"/>
      <c r="AE1808" s="2"/>
      <c r="AF1808" s="2"/>
      <c r="AG1808" s="2"/>
      <c r="AH1808" s="2"/>
      <c r="AI1808" s="2"/>
    </row>
    <row r="1809" spans="1:35" ht="14.25" customHeight="1" x14ac:dyDescent="0.2">
      <c r="A1809" s="1">
        <v>24003</v>
      </c>
      <c r="B1809" s="1" t="s">
        <v>531</v>
      </c>
      <c r="C1809" s="1" t="s">
        <v>30</v>
      </c>
      <c r="D1809" s="2">
        <v>41943</v>
      </c>
      <c r="E1809" s="1" t="s">
        <v>38</v>
      </c>
      <c r="F1809" s="1" t="s">
        <v>1531</v>
      </c>
      <c r="G1809" s="1">
        <v>50</v>
      </c>
      <c r="H1809" s="1">
        <v>24.98</v>
      </c>
      <c r="I1809" s="1">
        <f t="shared" si="84"/>
        <v>1249</v>
      </c>
      <c r="J1809" t="str">
        <f t="shared" si="85"/>
        <v>High</v>
      </c>
      <c r="K1809" s="1"/>
      <c r="L1809" s="1">
        <v>0.02</v>
      </c>
      <c r="M1809" s="1">
        <v>8.7899999999999991</v>
      </c>
      <c r="N1809" s="1" t="s">
        <v>33</v>
      </c>
      <c r="O1809" s="1" t="s">
        <v>34</v>
      </c>
      <c r="P1809" s="2">
        <v>41944</v>
      </c>
      <c r="Q1809" s="2" t="b">
        <f t="shared" si="86"/>
        <v>0</v>
      </c>
      <c r="V1809" s="2"/>
      <c r="W1809" s="2"/>
      <c r="X1809" s="2"/>
      <c r="Y1809" s="2"/>
      <c r="Z1809" s="2"/>
      <c r="AA1809" s="2"/>
      <c r="AB1809" s="2"/>
      <c r="AC1809" s="2"/>
      <c r="AD1809" s="2"/>
      <c r="AE1809" s="2"/>
      <c r="AF1809" s="2"/>
      <c r="AG1809" s="2"/>
      <c r="AH1809" s="2"/>
      <c r="AI1809" s="2"/>
    </row>
    <row r="1810" spans="1:35" ht="14.25" customHeight="1" x14ac:dyDescent="0.2">
      <c r="A1810" s="1">
        <v>24003</v>
      </c>
      <c r="B1810" s="1" t="s">
        <v>531</v>
      </c>
      <c r="C1810" s="1" t="s">
        <v>21</v>
      </c>
      <c r="D1810" s="2">
        <v>41943</v>
      </c>
      <c r="E1810" s="1" t="s">
        <v>38</v>
      </c>
      <c r="F1810" s="1" t="s">
        <v>538</v>
      </c>
      <c r="G1810" s="1">
        <v>4</v>
      </c>
      <c r="H1810" s="1">
        <v>35.99</v>
      </c>
      <c r="I1810" s="1">
        <f t="shared" si="84"/>
        <v>143.96</v>
      </c>
      <c r="J1810" t="str">
        <f t="shared" si="85"/>
        <v>Low</v>
      </c>
      <c r="K1810" s="1"/>
      <c r="L1810" s="1">
        <v>0.05</v>
      </c>
      <c r="M1810" s="1">
        <v>5.99</v>
      </c>
      <c r="N1810" s="1" t="s">
        <v>25</v>
      </c>
      <c r="O1810" s="1" t="s">
        <v>55</v>
      </c>
      <c r="P1810" s="2">
        <v>41945</v>
      </c>
      <c r="Q1810" s="2" t="b">
        <f t="shared" si="86"/>
        <v>0</v>
      </c>
      <c r="V1810" s="2"/>
      <c r="W1810" s="2"/>
      <c r="X1810" s="2"/>
      <c r="Y1810" s="2"/>
      <c r="Z1810" s="2"/>
      <c r="AA1810" s="2"/>
      <c r="AB1810" s="2"/>
      <c r="AC1810" s="2"/>
      <c r="AD1810" s="2"/>
      <c r="AE1810" s="2"/>
      <c r="AF1810" s="2"/>
      <c r="AG1810" s="2"/>
      <c r="AH1810" s="2"/>
      <c r="AI1810" s="2"/>
    </row>
    <row r="1811" spans="1:35" ht="14.25" customHeight="1" x14ac:dyDescent="0.2">
      <c r="A1811" s="1">
        <v>28419</v>
      </c>
      <c r="B1811" s="1" t="s">
        <v>1529</v>
      </c>
      <c r="C1811" s="1" t="s">
        <v>51</v>
      </c>
      <c r="D1811" s="2">
        <v>41943</v>
      </c>
      <c r="E1811" s="1" t="s">
        <v>43</v>
      </c>
      <c r="F1811" s="1" t="s">
        <v>675</v>
      </c>
      <c r="G1811" s="1">
        <v>9</v>
      </c>
      <c r="H1811" s="1">
        <v>13.48</v>
      </c>
      <c r="I1811" s="1">
        <f t="shared" si="84"/>
        <v>121.32000000000001</v>
      </c>
      <c r="J1811" t="str">
        <f t="shared" si="85"/>
        <v>Low</v>
      </c>
      <c r="K1811" s="1"/>
      <c r="L1811" s="1">
        <v>0.03</v>
      </c>
      <c r="M1811" s="1">
        <v>4.51</v>
      </c>
      <c r="N1811" s="1" t="s">
        <v>25</v>
      </c>
      <c r="O1811" s="1" t="s">
        <v>34</v>
      </c>
      <c r="P1811" s="2">
        <v>41947</v>
      </c>
      <c r="Q1811" s="2" t="b">
        <f t="shared" si="86"/>
        <v>0</v>
      </c>
      <c r="V1811" s="2"/>
      <c r="W1811" s="2"/>
      <c r="X1811" s="2"/>
      <c r="Y1811" s="2"/>
      <c r="Z1811" s="2"/>
      <c r="AA1811" s="2"/>
      <c r="AB1811" s="2"/>
      <c r="AC1811" s="2"/>
      <c r="AD1811" s="2"/>
      <c r="AE1811" s="2"/>
      <c r="AF1811" s="2"/>
      <c r="AG1811" s="2"/>
      <c r="AH1811" s="2"/>
      <c r="AI1811" s="2"/>
    </row>
    <row r="1812" spans="1:35" ht="14.25" customHeight="1" x14ac:dyDescent="0.2">
      <c r="A1812" s="1">
        <v>24003</v>
      </c>
      <c r="B1812" s="1" t="s">
        <v>531</v>
      </c>
      <c r="C1812" s="1" t="s">
        <v>51</v>
      </c>
      <c r="D1812" s="2">
        <v>41943</v>
      </c>
      <c r="E1812" s="1" t="s">
        <v>38</v>
      </c>
      <c r="F1812" s="1" t="s">
        <v>1087</v>
      </c>
      <c r="G1812" s="1">
        <v>9</v>
      </c>
      <c r="H1812" s="1">
        <v>1.26</v>
      </c>
      <c r="I1812" s="1">
        <f t="shared" si="84"/>
        <v>11.34</v>
      </c>
      <c r="J1812" t="str">
        <f t="shared" si="85"/>
        <v>Low</v>
      </c>
      <c r="K1812" s="1"/>
      <c r="L1812" s="1">
        <v>0.06</v>
      </c>
      <c r="M1812" s="1">
        <v>0.7</v>
      </c>
      <c r="N1812" s="1" t="s">
        <v>33</v>
      </c>
      <c r="O1812" s="1" t="s">
        <v>55</v>
      </c>
      <c r="P1812" s="2">
        <v>41943</v>
      </c>
      <c r="Q1812" s="2" t="b">
        <f t="shared" si="86"/>
        <v>0</v>
      </c>
      <c r="V1812" s="2"/>
      <c r="W1812" s="2"/>
      <c r="X1812" s="2"/>
      <c r="Y1812" s="2"/>
      <c r="Z1812" s="2"/>
      <c r="AA1812" s="2"/>
      <c r="AB1812" s="2"/>
      <c r="AC1812" s="2"/>
      <c r="AD1812" s="2"/>
      <c r="AE1812" s="2"/>
      <c r="AF1812" s="2"/>
      <c r="AG1812" s="2"/>
      <c r="AH1812" s="2"/>
      <c r="AI1812" s="2"/>
    </row>
    <row r="1813" spans="1:35" ht="14.25" customHeight="1" x14ac:dyDescent="0.2">
      <c r="A1813" s="1">
        <v>38852</v>
      </c>
      <c r="B1813" s="1" t="s">
        <v>653</v>
      </c>
      <c r="C1813" s="1" t="s">
        <v>30</v>
      </c>
      <c r="D1813" s="2">
        <v>41944</v>
      </c>
      <c r="E1813" s="1" t="s">
        <v>22</v>
      </c>
      <c r="F1813" s="1" t="s">
        <v>1115</v>
      </c>
      <c r="G1813" s="1">
        <v>25</v>
      </c>
      <c r="H1813" s="1">
        <v>5.98</v>
      </c>
      <c r="I1813" s="1">
        <f t="shared" si="84"/>
        <v>149.5</v>
      </c>
      <c r="J1813" t="str">
        <f t="shared" si="85"/>
        <v>Low</v>
      </c>
      <c r="K1813" s="1"/>
      <c r="L1813" s="1">
        <v>0.03</v>
      </c>
      <c r="M1813" s="1">
        <v>1.49</v>
      </c>
      <c r="N1813" s="1" t="s">
        <v>33</v>
      </c>
      <c r="O1813" s="1" t="s">
        <v>34</v>
      </c>
      <c r="P1813" s="2">
        <v>41946</v>
      </c>
      <c r="Q1813" s="2" t="b">
        <f t="shared" si="86"/>
        <v>0</v>
      </c>
      <c r="V1813" s="2"/>
      <c r="W1813" s="2"/>
      <c r="X1813" s="2"/>
      <c r="Y1813" s="2"/>
      <c r="Z1813" s="2"/>
      <c r="AA1813" s="2"/>
      <c r="AB1813" s="2"/>
      <c r="AC1813" s="2"/>
      <c r="AD1813" s="2"/>
      <c r="AE1813" s="2"/>
      <c r="AF1813" s="2"/>
      <c r="AG1813" s="2"/>
      <c r="AH1813" s="2"/>
      <c r="AI1813" s="2"/>
    </row>
    <row r="1814" spans="1:35" ht="14.25" customHeight="1" x14ac:dyDescent="0.2">
      <c r="A1814" s="1">
        <v>8103</v>
      </c>
      <c r="B1814" s="1" t="s">
        <v>1532</v>
      </c>
      <c r="C1814" s="1" t="s">
        <v>51</v>
      </c>
      <c r="D1814" s="2">
        <v>41945</v>
      </c>
      <c r="E1814" s="1" t="s">
        <v>43</v>
      </c>
      <c r="F1814" s="1" t="s">
        <v>1174</v>
      </c>
      <c r="G1814" s="1">
        <v>16</v>
      </c>
      <c r="H1814" s="1">
        <v>29.17</v>
      </c>
      <c r="I1814" s="1">
        <f t="shared" si="84"/>
        <v>466.72</v>
      </c>
      <c r="J1814" t="str">
        <f t="shared" si="85"/>
        <v>Low</v>
      </c>
      <c r="K1814" s="1"/>
      <c r="L1814" s="1">
        <v>7.0000000000000007E-2</v>
      </c>
      <c r="M1814" s="1">
        <v>6.27</v>
      </c>
      <c r="N1814" s="1" t="s">
        <v>33</v>
      </c>
      <c r="O1814" s="1" t="s">
        <v>34</v>
      </c>
      <c r="P1814" s="2">
        <v>41949</v>
      </c>
      <c r="Q1814" s="2" t="b">
        <f t="shared" si="86"/>
        <v>0</v>
      </c>
      <c r="V1814" s="2"/>
      <c r="W1814" s="2"/>
      <c r="X1814" s="2"/>
      <c r="Y1814" s="2"/>
      <c r="Z1814" s="2"/>
      <c r="AA1814" s="2"/>
      <c r="AB1814" s="2"/>
      <c r="AC1814" s="2"/>
      <c r="AD1814" s="2"/>
      <c r="AE1814" s="2"/>
      <c r="AF1814" s="2"/>
      <c r="AG1814" s="2"/>
      <c r="AH1814" s="2"/>
      <c r="AI1814" s="2"/>
    </row>
    <row r="1815" spans="1:35" ht="14.25" customHeight="1" x14ac:dyDescent="0.2">
      <c r="A1815" s="1">
        <v>18178</v>
      </c>
      <c r="B1815" s="1" t="s">
        <v>630</v>
      </c>
      <c r="C1815" s="1" t="s">
        <v>51</v>
      </c>
      <c r="D1815" s="2">
        <v>41945</v>
      </c>
      <c r="E1815" s="1" t="s">
        <v>43</v>
      </c>
      <c r="F1815" s="1" t="s">
        <v>810</v>
      </c>
      <c r="G1815" s="1">
        <v>43</v>
      </c>
      <c r="H1815" s="1">
        <v>4.4800000000000004</v>
      </c>
      <c r="I1815" s="1">
        <f t="shared" si="84"/>
        <v>192.64000000000001</v>
      </c>
      <c r="J1815" t="str">
        <f t="shared" si="85"/>
        <v>Low</v>
      </c>
      <c r="K1815" s="1"/>
      <c r="L1815" s="1">
        <v>0.08</v>
      </c>
      <c r="M1815" s="1">
        <v>49</v>
      </c>
      <c r="N1815" s="1" t="s">
        <v>33</v>
      </c>
      <c r="O1815" s="1" t="s">
        <v>26</v>
      </c>
      <c r="P1815" s="2">
        <v>41945</v>
      </c>
      <c r="Q1815" s="2" t="b">
        <f t="shared" si="86"/>
        <v>0</v>
      </c>
      <c r="V1815" s="2"/>
      <c r="W1815" s="2"/>
      <c r="X1815" s="2"/>
      <c r="Y1815" s="2"/>
      <c r="Z1815" s="2"/>
      <c r="AA1815" s="2"/>
      <c r="AB1815" s="2"/>
      <c r="AC1815" s="2"/>
      <c r="AD1815" s="2"/>
      <c r="AE1815" s="2"/>
      <c r="AF1815" s="2"/>
      <c r="AG1815" s="2"/>
      <c r="AH1815" s="2"/>
      <c r="AI1815" s="2"/>
    </row>
    <row r="1816" spans="1:35" ht="14.25" customHeight="1" x14ac:dyDescent="0.2">
      <c r="A1816" s="1">
        <v>18178</v>
      </c>
      <c r="B1816" s="1" t="s">
        <v>630</v>
      </c>
      <c r="C1816" s="1" t="s">
        <v>30</v>
      </c>
      <c r="D1816" s="2">
        <v>41945</v>
      </c>
      <c r="E1816" s="1" t="s">
        <v>43</v>
      </c>
      <c r="F1816" s="1" t="s">
        <v>791</v>
      </c>
      <c r="G1816" s="1">
        <v>10</v>
      </c>
      <c r="H1816" s="1">
        <v>17.670000000000002</v>
      </c>
      <c r="I1816" s="1">
        <f t="shared" si="84"/>
        <v>176.70000000000002</v>
      </c>
      <c r="J1816" t="str">
        <f t="shared" si="85"/>
        <v>Low</v>
      </c>
      <c r="K1816" s="1"/>
      <c r="L1816" s="1">
        <v>0</v>
      </c>
      <c r="M1816" s="1">
        <v>8.99</v>
      </c>
      <c r="N1816" s="1" t="s">
        <v>33</v>
      </c>
      <c r="O1816" s="1" t="s">
        <v>84</v>
      </c>
      <c r="P1816" s="2">
        <v>41952</v>
      </c>
      <c r="Q1816" s="2" t="b">
        <f t="shared" si="86"/>
        <v>0</v>
      </c>
      <c r="V1816" s="2"/>
      <c r="W1816" s="2"/>
      <c r="X1816" s="2"/>
      <c r="Y1816" s="2"/>
      <c r="Z1816" s="2"/>
      <c r="AA1816" s="2"/>
      <c r="AB1816" s="2"/>
      <c r="AC1816" s="2"/>
      <c r="AD1816" s="2"/>
      <c r="AE1816" s="2"/>
      <c r="AF1816" s="2"/>
      <c r="AG1816" s="2"/>
      <c r="AH1816" s="2"/>
      <c r="AI1816" s="2"/>
    </row>
    <row r="1817" spans="1:35" ht="14.25" customHeight="1" x14ac:dyDescent="0.2">
      <c r="A1817" s="1">
        <v>38566</v>
      </c>
      <c r="B1817" s="1" t="s">
        <v>229</v>
      </c>
      <c r="C1817" s="1" t="s">
        <v>21</v>
      </c>
      <c r="D1817" s="2">
        <v>41945</v>
      </c>
      <c r="E1817" s="1" t="s">
        <v>38</v>
      </c>
      <c r="F1817" s="1" t="s">
        <v>572</v>
      </c>
      <c r="G1817" s="1">
        <v>37</v>
      </c>
      <c r="H1817" s="1">
        <v>280.98</v>
      </c>
      <c r="I1817" s="1">
        <f t="shared" si="84"/>
        <v>10396.26</v>
      </c>
      <c r="J1817" t="str">
        <f t="shared" si="85"/>
        <v>High</v>
      </c>
      <c r="K1817" s="1"/>
      <c r="L1817" s="1">
        <v>0.09</v>
      </c>
      <c r="M1817" s="1">
        <v>57</v>
      </c>
      <c r="N1817" s="1" t="s">
        <v>45</v>
      </c>
      <c r="O1817" s="1" t="s">
        <v>46</v>
      </c>
      <c r="P1817" s="2">
        <v>41948</v>
      </c>
      <c r="Q1817" s="2" t="b">
        <f t="shared" si="86"/>
        <v>0</v>
      </c>
      <c r="V1817" s="2"/>
      <c r="W1817" s="2"/>
      <c r="X1817" s="2"/>
      <c r="Y1817" s="2"/>
      <c r="Z1817" s="2"/>
      <c r="AA1817" s="2"/>
      <c r="AB1817" s="2"/>
      <c r="AC1817" s="2"/>
      <c r="AD1817" s="2"/>
      <c r="AE1817" s="2"/>
      <c r="AF1817" s="2"/>
      <c r="AG1817" s="2"/>
      <c r="AH1817" s="2"/>
      <c r="AI1817" s="2"/>
    </row>
    <row r="1818" spans="1:35" ht="14.25" customHeight="1" x14ac:dyDescent="0.2">
      <c r="A1818" s="1">
        <v>38564</v>
      </c>
      <c r="B1818" s="1" t="s">
        <v>455</v>
      </c>
      <c r="C1818" s="1" t="s">
        <v>51</v>
      </c>
      <c r="D1818" s="2">
        <v>41945</v>
      </c>
      <c r="E1818" s="1" t="s">
        <v>38</v>
      </c>
      <c r="F1818" s="1" t="s">
        <v>1498</v>
      </c>
      <c r="G1818" s="1">
        <v>31</v>
      </c>
      <c r="H1818" s="1">
        <v>30.97</v>
      </c>
      <c r="I1818" s="1">
        <f t="shared" si="84"/>
        <v>960.06999999999994</v>
      </c>
      <c r="J1818" t="str">
        <f t="shared" si="85"/>
        <v>Low</v>
      </c>
      <c r="K1818" s="1"/>
      <c r="L1818" s="1">
        <v>0.08</v>
      </c>
      <c r="M1818" s="1">
        <v>4</v>
      </c>
      <c r="N1818" s="1" t="s">
        <v>33</v>
      </c>
      <c r="O1818" s="1" t="s">
        <v>34</v>
      </c>
      <c r="P1818" s="2">
        <v>41946</v>
      </c>
      <c r="Q1818" s="2" t="b">
        <f t="shared" si="86"/>
        <v>0</v>
      </c>
      <c r="V1818" s="2"/>
      <c r="W1818" s="2"/>
      <c r="X1818" s="2"/>
      <c r="Y1818" s="2"/>
      <c r="Z1818" s="2"/>
      <c r="AA1818" s="2"/>
      <c r="AB1818" s="2"/>
      <c r="AC1818" s="2"/>
      <c r="AD1818" s="2"/>
      <c r="AE1818" s="2"/>
      <c r="AF1818" s="2"/>
      <c r="AG1818" s="2"/>
      <c r="AH1818" s="2"/>
      <c r="AI1818" s="2"/>
    </row>
    <row r="1819" spans="1:35" ht="14.25" customHeight="1" x14ac:dyDescent="0.2">
      <c r="A1819" s="1">
        <v>38564</v>
      </c>
      <c r="B1819" s="1" t="s">
        <v>455</v>
      </c>
      <c r="C1819" s="1" t="s">
        <v>21</v>
      </c>
      <c r="D1819" s="2">
        <v>41945</v>
      </c>
      <c r="E1819" s="1" t="s">
        <v>38</v>
      </c>
      <c r="F1819" s="1" t="s">
        <v>1533</v>
      </c>
      <c r="G1819" s="1">
        <v>21</v>
      </c>
      <c r="H1819" s="1">
        <v>4.13</v>
      </c>
      <c r="I1819" s="1">
        <f t="shared" si="84"/>
        <v>86.73</v>
      </c>
      <c r="J1819" t="str">
        <f t="shared" si="85"/>
        <v>Low</v>
      </c>
      <c r="K1819" s="1"/>
      <c r="L1819" s="1">
        <v>0.1</v>
      </c>
      <c r="M1819" s="1">
        <v>0.5</v>
      </c>
      <c r="N1819" s="1" t="s">
        <v>25</v>
      </c>
      <c r="O1819" s="1" t="s">
        <v>34</v>
      </c>
      <c r="P1819" s="2">
        <v>41947</v>
      </c>
      <c r="Q1819" s="2" t="b">
        <f t="shared" si="86"/>
        <v>0</v>
      </c>
      <c r="V1819" s="2"/>
      <c r="W1819" s="2"/>
      <c r="X1819" s="2"/>
      <c r="Y1819" s="2"/>
      <c r="Z1819" s="2"/>
      <c r="AA1819" s="2"/>
      <c r="AB1819" s="2"/>
      <c r="AC1819" s="2"/>
      <c r="AD1819" s="2"/>
      <c r="AE1819" s="2"/>
      <c r="AF1819" s="2"/>
      <c r="AG1819" s="2"/>
      <c r="AH1819" s="2"/>
      <c r="AI1819" s="2"/>
    </row>
    <row r="1820" spans="1:35" ht="14.25" customHeight="1" x14ac:dyDescent="0.2">
      <c r="A1820" s="1">
        <v>21314</v>
      </c>
      <c r="B1820" s="1" t="s">
        <v>60</v>
      </c>
      <c r="C1820" s="1" t="s">
        <v>21</v>
      </c>
      <c r="D1820" s="2">
        <v>41945</v>
      </c>
      <c r="E1820" s="1" t="s">
        <v>43</v>
      </c>
      <c r="F1820" s="1" t="s">
        <v>222</v>
      </c>
      <c r="G1820" s="1">
        <v>6</v>
      </c>
      <c r="H1820" s="1">
        <v>8.6</v>
      </c>
      <c r="I1820" s="1">
        <f t="shared" si="84"/>
        <v>51.599999999999994</v>
      </c>
      <c r="J1820" t="str">
        <f t="shared" si="85"/>
        <v>Low</v>
      </c>
      <c r="K1820" s="1"/>
      <c r="L1820" s="1">
        <v>0.04</v>
      </c>
      <c r="M1820" s="1">
        <v>6.19</v>
      </c>
      <c r="N1820" s="1" t="s">
        <v>33</v>
      </c>
      <c r="O1820" s="1" t="s">
        <v>34</v>
      </c>
      <c r="P1820" s="2">
        <v>41947</v>
      </c>
      <c r="Q1820" s="2" t="b">
        <f t="shared" si="86"/>
        <v>0</v>
      </c>
      <c r="V1820" s="2"/>
      <c r="W1820" s="2"/>
      <c r="X1820" s="2"/>
      <c r="Y1820" s="2"/>
      <c r="Z1820" s="2"/>
      <c r="AA1820" s="2"/>
      <c r="AB1820" s="2"/>
      <c r="AC1820" s="2"/>
      <c r="AD1820" s="2"/>
      <c r="AE1820" s="2"/>
      <c r="AF1820" s="2"/>
      <c r="AG1820" s="2"/>
      <c r="AH1820" s="2"/>
      <c r="AI1820" s="2"/>
    </row>
    <row r="1821" spans="1:35" ht="14.25" customHeight="1" x14ac:dyDescent="0.2">
      <c r="A1821" s="1">
        <v>21314</v>
      </c>
      <c r="B1821" s="1" t="s">
        <v>60</v>
      </c>
      <c r="C1821" s="1" t="s">
        <v>21</v>
      </c>
      <c r="D1821" s="2">
        <v>41945</v>
      </c>
      <c r="E1821" s="1" t="s">
        <v>43</v>
      </c>
      <c r="F1821" s="1" t="s">
        <v>858</v>
      </c>
      <c r="G1821" s="1">
        <v>30</v>
      </c>
      <c r="H1821" s="1">
        <v>3.58</v>
      </c>
      <c r="I1821" s="1">
        <f t="shared" si="84"/>
        <v>107.4</v>
      </c>
      <c r="J1821" t="str">
        <f t="shared" si="85"/>
        <v>Low</v>
      </c>
      <c r="K1821" s="1"/>
      <c r="L1821" s="1">
        <v>0.01</v>
      </c>
      <c r="M1821" s="1">
        <v>1.63</v>
      </c>
      <c r="N1821" s="1" t="s">
        <v>33</v>
      </c>
      <c r="O1821" s="1" t="s">
        <v>55</v>
      </c>
      <c r="P1821" s="2">
        <v>41949</v>
      </c>
      <c r="Q1821" s="2" t="b">
        <f t="shared" si="86"/>
        <v>0</v>
      </c>
      <c r="V1821" s="2"/>
      <c r="W1821" s="2"/>
      <c r="X1821" s="2"/>
      <c r="Y1821" s="2"/>
      <c r="Z1821" s="2"/>
      <c r="AA1821" s="2"/>
      <c r="AB1821" s="2"/>
      <c r="AC1821" s="2"/>
      <c r="AD1821" s="2"/>
      <c r="AE1821" s="2"/>
      <c r="AF1821" s="2"/>
      <c r="AG1821" s="2"/>
      <c r="AH1821" s="2"/>
      <c r="AI1821" s="2"/>
    </row>
    <row r="1822" spans="1:35" ht="14.25" customHeight="1" x14ac:dyDescent="0.2">
      <c r="A1822" s="1">
        <v>21314</v>
      </c>
      <c r="B1822" s="1" t="s">
        <v>60</v>
      </c>
      <c r="C1822" s="1" t="s">
        <v>30</v>
      </c>
      <c r="D1822" s="2">
        <v>41945</v>
      </c>
      <c r="E1822" s="1" t="s">
        <v>43</v>
      </c>
      <c r="F1822" s="1" t="s">
        <v>1534</v>
      </c>
      <c r="G1822" s="1">
        <v>40</v>
      </c>
      <c r="H1822" s="1">
        <v>105.49</v>
      </c>
      <c r="I1822" s="1">
        <f t="shared" si="84"/>
        <v>4219.5999999999995</v>
      </c>
      <c r="J1822" t="str">
        <f t="shared" si="85"/>
        <v>High</v>
      </c>
      <c r="K1822" s="1"/>
      <c r="L1822" s="1">
        <v>0.08</v>
      </c>
      <c r="M1822" s="1">
        <v>41.64</v>
      </c>
      <c r="N1822" s="1" t="s">
        <v>45</v>
      </c>
      <c r="O1822" s="1" t="s">
        <v>63</v>
      </c>
      <c r="P1822" s="2">
        <v>41952</v>
      </c>
      <c r="Q1822" s="2" t="b">
        <f t="shared" si="86"/>
        <v>0</v>
      </c>
      <c r="V1822" s="2"/>
      <c r="W1822" s="2"/>
      <c r="X1822" s="2"/>
      <c r="Y1822" s="2"/>
      <c r="Z1822" s="2"/>
      <c r="AA1822" s="2"/>
      <c r="AB1822" s="2"/>
      <c r="AC1822" s="2"/>
      <c r="AD1822" s="2"/>
      <c r="AE1822" s="2"/>
      <c r="AF1822" s="2"/>
      <c r="AG1822" s="2"/>
      <c r="AH1822" s="2"/>
      <c r="AI1822" s="2"/>
    </row>
    <row r="1823" spans="1:35" ht="14.25" customHeight="1" x14ac:dyDescent="0.2">
      <c r="A1823" s="1">
        <v>42338</v>
      </c>
      <c r="B1823" s="1" t="s">
        <v>341</v>
      </c>
      <c r="C1823" s="1" t="s">
        <v>21</v>
      </c>
      <c r="D1823" s="2">
        <v>41945</v>
      </c>
      <c r="E1823" s="1" t="s">
        <v>22</v>
      </c>
      <c r="F1823" s="1" t="s">
        <v>182</v>
      </c>
      <c r="G1823" s="1">
        <v>14</v>
      </c>
      <c r="H1823" s="1">
        <v>4.1399999999999997</v>
      </c>
      <c r="I1823" s="1">
        <f t="shared" si="84"/>
        <v>57.959999999999994</v>
      </c>
      <c r="J1823" t="str">
        <f t="shared" si="85"/>
        <v>Low</v>
      </c>
      <c r="K1823" s="1"/>
      <c r="L1823" s="1">
        <v>0.04</v>
      </c>
      <c r="M1823" s="1">
        <v>6.6</v>
      </c>
      <c r="N1823" s="1" t="s">
        <v>33</v>
      </c>
      <c r="O1823" s="1" t="s">
        <v>34</v>
      </c>
      <c r="P1823" s="2">
        <v>41947</v>
      </c>
      <c r="Q1823" s="2" t="b">
        <f t="shared" si="86"/>
        <v>0</v>
      </c>
      <c r="V1823" s="2"/>
      <c r="W1823" s="2"/>
      <c r="X1823" s="2"/>
      <c r="Y1823" s="2"/>
      <c r="Z1823" s="2"/>
      <c r="AA1823" s="2"/>
      <c r="AB1823" s="2"/>
      <c r="AC1823" s="2"/>
      <c r="AD1823" s="2"/>
      <c r="AE1823" s="2"/>
      <c r="AF1823" s="2"/>
      <c r="AG1823" s="2"/>
      <c r="AH1823" s="2"/>
      <c r="AI1823" s="2"/>
    </row>
    <row r="1824" spans="1:35" ht="14.25" customHeight="1" x14ac:dyDescent="0.2">
      <c r="A1824" s="1">
        <v>42338</v>
      </c>
      <c r="B1824" s="1" t="s">
        <v>341</v>
      </c>
      <c r="C1824" s="1" t="s">
        <v>51</v>
      </c>
      <c r="D1824" s="2">
        <v>41945</v>
      </c>
      <c r="E1824" s="1" t="s">
        <v>22</v>
      </c>
      <c r="F1824" s="1" t="s">
        <v>1075</v>
      </c>
      <c r="G1824" s="1">
        <v>32</v>
      </c>
      <c r="H1824" s="1">
        <v>65.989999999999995</v>
      </c>
      <c r="I1824" s="1">
        <f t="shared" si="84"/>
        <v>2111.6799999999998</v>
      </c>
      <c r="J1824" t="str">
        <f t="shared" si="85"/>
        <v>High</v>
      </c>
      <c r="K1824" s="1"/>
      <c r="L1824" s="1">
        <v>0.01</v>
      </c>
      <c r="M1824" s="1">
        <v>8.99</v>
      </c>
      <c r="N1824" s="1" t="s">
        <v>33</v>
      </c>
      <c r="O1824" s="1" t="s">
        <v>34</v>
      </c>
      <c r="P1824" s="2">
        <v>41947</v>
      </c>
      <c r="Q1824" s="2" t="b">
        <f t="shared" si="86"/>
        <v>0</v>
      </c>
      <c r="V1824" s="2"/>
      <c r="W1824" s="2"/>
      <c r="X1824" s="2"/>
      <c r="Y1824" s="2"/>
      <c r="Z1824" s="2"/>
      <c r="AA1824" s="2"/>
      <c r="AB1824" s="2"/>
      <c r="AC1824" s="2"/>
      <c r="AD1824" s="2"/>
      <c r="AE1824" s="2"/>
      <c r="AF1824" s="2"/>
      <c r="AG1824" s="2"/>
      <c r="AH1824" s="2"/>
      <c r="AI1824" s="2"/>
    </row>
    <row r="1825" spans="1:35" ht="14.25" customHeight="1" x14ac:dyDescent="0.2">
      <c r="A1825" s="1">
        <v>50081</v>
      </c>
      <c r="B1825" s="1" t="s">
        <v>573</v>
      </c>
      <c r="C1825" s="1" t="s">
        <v>30</v>
      </c>
      <c r="D1825" s="2">
        <v>41946</v>
      </c>
      <c r="E1825" s="1" t="s">
        <v>22</v>
      </c>
      <c r="F1825" s="1" t="s">
        <v>1487</v>
      </c>
      <c r="G1825" s="1">
        <v>7</v>
      </c>
      <c r="H1825" s="1">
        <v>70.98</v>
      </c>
      <c r="I1825" s="1">
        <f t="shared" si="84"/>
        <v>496.86</v>
      </c>
      <c r="J1825" t="str">
        <f t="shared" si="85"/>
        <v>Low</v>
      </c>
      <c r="K1825" s="1"/>
      <c r="L1825" s="1">
        <v>0</v>
      </c>
      <c r="M1825" s="1">
        <v>26.74</v>
      </c>
      <c r="N1825" s="1" t="s">
        <v>45</v>
      </c>
      <c r="O1825" s="1" t="s">
        <v>63</v>
      </c>
      <c r="P1825" s="2">
        <v>41947</v>
      </c>
      <c r="Q1825" s="2" t="b">
        <f t="shared" si="86"/>
        <v>0</v>
      </c>
      <c r="V1825" s="2"/>
      <c r="W1825" s="2"/>
      <c r="X1825" s="2"/>
      <c r="Y1825" s="2"/>
      <c r="Z1825" s="2"/>
      <c r="AA1825" s="2"/>
      <c r="AB1825" s="2"/>
      <c r="AC1825" s="2"/>
      <c r="AD1825" s="2"/>
      <c r="AE1825" s="2"/>
      <c r="AF1825" s="2"/>
      <c r="AG1825" s="2"/>
      <c r="AH1825" s="2"/>
      <c r="AI1825" s="2"/>
    </row>
    <row r="1826" spans="1:35" ht="14.25" customHeight="1" x14ac:dyDescent="0.2">
      <c r="A1826" s="1">
        <v>44231</v>
      </c>
      <c r="B1826" s="1" t="s">
        <v>1535</v>
      </c>
      <c r="C1826" s="1" t="s">
        <v>51</v>
      </c>
      <c r="D1826" s="2">
        <v>41946</v>
      </c>
      <c r="E1826" s="1" t="s">
        <v>22</v>
      </c>
      <c r="F1826" s="1" t="s">
        <v>355</v>
      </c>
      <c r="G1826" s="1">
        <v>11</v>
      </c>
      <c r="H1826" s="1">
        <v>160.97999999999999</v>
      </c>
      <c r="I1826" s="1">
        <f t="shared" si="84"/>
        <v>1770.78</v>
      </c>
      <c r="J1826" t="str">
        <f t="shared" si="85"/>
        <v>High</v>
      </c>
      <c r="K1826" s="1"/>
      <c r="L1826" s="1">
        <v>0.04</v>
      </c>
      <c r="M1826" s="1">
        <v>30</v>
      </c>
      <c r="N1826" s="1" t="s">
        <v>45</v>
      </c>
      <c r="O1826" s="1" t="s">
        <v>46</v>
      </c>
      <c r="P1826" s="2">
        <v>41948</v>
      </c>
      <c r="Q1826" s="2" t="b">
        <f t="shared" si="86"/>
        <v>0</v>
      </c>
      <c r="V1826" s="2"/>
      <c r="W1826" s="2"/>
      <c r="X1826" s="2"/>
      <c r="Y1826" s="2"/>
      <c r="Z1826" s="2"/>
      <c r="AA1826" s="2"/>
      <c r="AB1826" s="2"/>
      <c r="AC1826" s="2"/>
      <c r="AD1826" s="2"/>
      <c r="AE1826" s="2"/>
      <c r="AF1826" s="2"/>
      <c r="AG1826" s="2"/>
      <c r="AH1826" s="2"/>
      <c r="AI1826" s="2"/>
    </row>
    <row r="1827" spans="1:35" ht="14.25" customHeight="1" x14ac:dyDescent="0.2">
      <c r="A1827" s="1">
        <v>44231</v>
      </c>
      <c r="B1827" s="1" t="s">
        <v>1535</v>
      </c>
      <c r="C1827" s="1" t="s">
        <v>51</v>
      </c>
      <c r="D1827" s="2">
        <v>41946</v>
      </c>
      <c r="E1827" s="1" t="s">
        <v>22</v>
      </c>
      <c r="F1827" s="1" t="s">
        <v>634</v>
      </c>
      <c r="G1827" s="1">
        <v>43</v>
      </c>
      <c r="H1827" s="1">
        <v>17.98</v>
      </c>
      <c r="I1827" s="1">
        <f t="shared" si="84"/>
        <v>773.14</v>
      </c>
      <c r="J1827" t="str">
        <f t="shared" si="85"/>
        <v>Low</v>
      </c>
      <c r="K1827" s="1"/>
      <c r="L1827" s="1">
        <v>0.01</v>
      </c>
      <c r="M1827" s="1">
        <v>4</v>
      </c>
      <c r="N1827" s="1" t="s">
        <v>33</v>
      </c>
      <c r="O1827" s="1" t="s">
        <v>34</v>
      </c>
      <c r="P1827" s="2">
        <v>41948</v>
      </c>
      <c r="Q1827" s="2" t="b">
        <f t="shared" si="86"/>
        <v>0</v>
      </c>
      <c r="V1827" s="2"/>
      <c r="W1827" s="2"/>
      <c r="X1827" s="2"/>
      <c r="Y1827" s="2"/>
      <c r="Z1827" s="2"/>
      <c r="AA1827" s="2"/>
      <c r="AB1827" s="2"/>
      <c r="AC1827" s="2"/>
      <c r="AD1827" s="2"/>
      <c r="AE1827" s="2"/>
      <c r="AF1827" s="2"/>
      <c r="AG1827" s="2"/>
      <c r="AH1827" s="2"/>
      <c r="AI1827" s="2"/>
    </row>
    <row r="1828" spans="1:35" ht="14.25" customHeight="1" x14ac:dyDescent="0.2">
      <c r="A1828" s="1">
        <v>44231</v>
      </c>
      <c r="B1828" s="1" t="s">
        <v>1535</v>
      </c>
      <c r="C1828" s="1" t="s">
        <v>51</v>
      </c>
      <c r="D1828" s="2">
        <v>41946</v>
      </c>
      <c r="E1828" s="1" t="s">
        <v>22</v>
      </c>
      <c r="F1828" s="1" t="s">
        <v>807</v>
      </c>
      <c r="G1828" s="1">
        <v>24</v>
      </c>
      <c r="H1828" s="1">
        <v>115.99</v>
      </c>
      <c r="I1828" s="1">
        <f t="shared" si="84"/>
        <v>2783.7599999999998</v>
      </c>
      <c r="J1828" t="str">
        <f t="shared" si="85"/>
        <v>High</v>
      </c>
      <c r="K1828" s="1"/>
      <c r="L1828" s="1">
        <v>0.06</v>
      </c>
      <c r="M1828" s="1">
        <v>8.99</v>
      </c>
      <c r="N1828" s="1" t="s">
        <v>33</v>
      </c>
      <c r="O1828" s="1" t="s">
        <v>34</v>
      </c>
      <c r="P1828" s="2">
        <v>41947</v>
      </c>
      <c r="Q1828" s="2" t="b">
        <f t="shared" si="86"/>
        <v>0</v>
      </c>
      <c r="V1828" s="2"/>
      <c r="W1828" s="2"/>
      <c r="X1828" s="2"/>
      <c r="Y1828" s="2"/>
      <c r="Z1828" s="2"/>
      <c r="AA1828" s="2"/>
      <c r="AB1828" s="2"/>
      <c r="AC1828" s="2"/>
      <c r="AD1828" s="2"/>
      <c r="AE1828" s="2"/>
      <c r="AF1828" s="2"/>
      <c r="AG1828" s="2"/>
      <c r="AH1828" s="2"/>
      <c r="AI1828" s="2"/>
    </row>
    <row r="1829" spans="1:35" ht="14.25" customHeight="1" x14ac:dyDescent="0.2">
      <c r="A1829" s="1">
        <v>28389</v>
      </c>
      <c r="B1829" s="1" t="s">
        <v>1417</v>
      </c>
      <c r="C1829" s="1" t="s">
        <v>21</v>
      </c>
      <c r="D1829" s="2">
        <v>41946</v>
      </c>
      <c r="E1829" s="1" t="s">
        <v>31</v>
      </c>
      <c r="F1829" s="1" t="s">
        <v>631</v>
      </c>
      <c r="G1829" s="1">
        <v>22</v>
      </c>
      <c r="H1829" s="1">
        <v>30.93</v>
      </c>
      <c r="I1829" s="1">
        <f t="shared" si="84"/>
        <v>680.46</v>
      </c>
      <c r="J1829" t="str">
        <f t="shared" si="85"/>
        <v>Low</v>
      </c>
      <c r="K1829" s="1"/>
      <c r="L1829" s="1">
        <v>7.0000000000000007E-2</v>
      </c>
      <c r="M1829" s="1">
        <v>3.92</v>
      </c>
      <c r="N1829" s="1" t="s">
        <v>33</v>
      </c>
      <c r="O1829" s="1" t="s">
        <v>84</v>
      </c>
      <c r="P1829" s="2">
        <v>41947</v>
      </c>
      <c r="Q1829" s="2" t="b">
        <f t="shared" si="86"/>
        <v>0</v>
      </c>
      <c r="V1829" s="2"/>
      <c r="W1829" s="2"/>
      <c r="X1829" s="2"/>
      <c r="Y1829" s="2"/>
      <c r="Z1829" s="2"/>
      <c r="AA1829" s="2"/>
      <c r="AB1829" s="2"/>
      <c r="AC1829" s="2"/>
      <c r="AD1829" s="2"/>
      <c r="AE1829" s="2"/>
      <c r="AF1829" s="2"/>
      <c r="AG1829" s="2"/>
      <c r="AH1829" s="2"/>
      <c r="AI1829" s="2"/>
    </row>
    <row r="1830" spans="1:35" ht="14.25" customHeight="1" x14ac:dyDescent="0.2">
      <c r="A1830" s="1">
        <v>28389</v>
      </c>
      <c r="B1830" s="1" t="s">
        <v>1417</v>
      </c>
      <c r="C1830" s="1" t="s">
        <v>30</v>
      </c>
      <c r="D1830" s="2">
        <v>41946</v>
      </c>
      <c r="E1830" s="1" t="s">
        <v>31</v>
      </c>
      <c r="F1830" s="1" t="s">
        <v>175</v>
      </c>
      <c r="G1830" s="1">
        <v>16</v>
      </c>
      <c r="H1830" s="1">
        <v>297.48</v>
      </c>
      <c r="I1830" s="1">
        <f t="shared" si="84"/>
        <v>4759.68</v>
      </c>
      <c r="J1830" t="str">
        <f t="shared" si="85"/>
        <v>High</v>
      </c>
      <c r="K1830" s="1"/>
      <c r="L1830" s="1">
        <v>0.05</v>
      </c>
      <c r="M1830" s="1">
        <v>18.059999999999999</v>
      </c>
      <c r="N1830" s="1" t="s">
        <v>45</v>
      </c>
      <c r="O1830" s="1" t="s">
        <v>46</v>
      </c>
      <c r="P1830" s="2">
        <v>41947</v>
      </c>
      <c r="Q1830" s="2" t="b">
        <f t="shared" si="86"/>
        <v>0</v>
      </c>
      <c r="V1830" s="2"/>
      <c r="W1830" s="2"/>
      <c r="X1830" s="2"/>
      <c r="Y1830" s="2"/>
      <c r="Z1830" s="2"/>
      <c r="AA1830" s="2"/>
      <c r="AB1830" s="2"/>
      <c r="AC1830" s="2"/>
      <c r="AD1830" s="2"/>
      <c r="AE1830" s="2"/>
      <c r="AF1830" s="2"/>
      <c r="AG1830" s="2"/>
      <c r="AH1830" s="2"/>
      <c r="AI1830" s="2"/>
    </row>
    <row r="1831" spans="1:35" ht="14.25" customHeight="1" x14ac:dyDescent="0.2">
      <c r="A1831" s="1">
        <v>28389</v>
      </c>
      <c r="B1831" s="1" t="s">
        <v>1417</v>
      </c>
      <c r="C1831" s="1" t="s">
        <v>51</v>
      </c>
      <c r="D1831" s="2">
        <v>41946</v>
      </c>
      <c r="E1831" s="1" t="s">
        <v>31</v>
      </c>
      <c r="F1831" s="1" t="s">
        <v>581</v>
      </c>
      <c r="G1831" s="1">
        <v>7</v>
      </c>
      <c r="H1831" s="1">
        <v>296.18</v>
      </c>
      <c r="I1831" s="1">
        <f t="shared" si="84"/>
        <v>2073.2600000000002</v>
      </c>
      <c r="J1831" t="str">
        <f t="shared" si="85"/>
        <v>High</v>
      </c>
      <c r="K1831" s="1"/>
      <c r="L1831" s="1">
        <v>7.0000000000000007E-2</v>
      </c>
      <c r="M1831" s="1">
        <v>54.12</v>
      </c>
      <c r="N1831" s="1" t="s">
        <v>45</v>
      </c>
      <c r="O1831" s="1" t="s">
        <v>63</v>
      </c>
      <c r="P1831" s="2">
        <v>41948</v>
      </c>
      <c r="Q1831" s="2" t="b">
        <f t="shared" si="86"/>
        <v>0</v>
      </c>
      <c r="V1831" s="2"/>
      <c r="W1831" s="2"/>
      <c r="X1831" s="2"/>
      <c r="Y1831" s="2"/>
      <c r="Z1831" s="2"/>
      <c r="AA1831" s="2"/>
      <c r="AB1831" s="2"/>
      <c r="AC1831" s="2"/>
      <c r="AD1831" s="2"/>
      <c r="AE1831" s="2"/>
      <c r="AF1831" s="2"/>
      <c r="AG1831" s="2"/>
      <c r="AH1831" s="2"/>
      <c r="AI1831" s="2"/>
    </row>
    <row r="1832" spans="1:35" ht="14.25" customHeight="1" x14ac:dyDescent="0.2">
      <c r="A1832" s="1">
        <v>36896</v>
      </c>
      <c r="B1832" s="1" t="s">
        <v>238</v>
      </c>
      <c r="C1832" s="1" t="s">
        <v>30</v>
      </c>
      <c r="D1832" s="2">
        <v>41946</v>
      </c>
      <c r="E1832" s="1" t="s">
        <v>38</v>
      </c>
      <c r="F1832" s="1" t="s">
        <v>1023</v>
      </c>
      <c r="G1832" s="1">
        <v>12</v>
      </c>
      <c r="H1832" s="1">
        <v>2.61</v>
      </c>
      <c r="I1832" s="1">
        <f t="shared" si="84"/>
        <v>31.32</v>
      </c>
      <c r="J1832" t="str">
        <f t="shared" si="85"/>
        <v>Low</v>
      </c>
      <c r="K1832" s="1"/>
      <c r="L1832" s="1">
        <v>0</v>
      </c>
      <c r="M1832" s="1">
        <v>0.5</v>
      </c>
      <c r="N1832" s="1" t="s">
        <v>33</v>
      </c>
      <c r="O1832" s="1" t="s">
        <v>34</v>
      </c>
      <c r="P1832" s="2">
        <v>41948</v>
      </c>
      <c r="Q1832" s="2" t="b">
        <f t="shared" si="86"/>
        <v>0</v>
      </c>
      <c r="V1832" s="2"/>
      <c r="W1832" s="2"/>
      <c r="X1832" s="2"/>
      <c r="Y1832" s="2"/>
      <c r="Z1832" s="2"/>
      <c r="AA1832" s="2"/>
      <c r="AB1832" s="2"/>
      <c r="AC1832" s="2"/>
      <c r="AD1832" s="2"/>
      <c r="AE1832" s="2"/>
      <c r="AF1832" s="2"/>
      <c r="AG1832" s="2"/>
      <c r="AH1832" s="2"/>
      <c r="AI1832" s="2"/>
    </row>
    <row r="1833" spans="1:35" ht="14.25" customHeight="1" x14ac:dyDescent="0.2">
      <c r="A1833" s="1">
        <v>36896</v>
      </c>
      <c r="B1833" s="1" t="s">
        <v>238</v>
      </c>
      <c r="C1833" s="1" t="s">
        <v>30</v>
      </c>
      <c r="D1833" s="2">
        <v>41946</v>
      </c>
      <c r="E1833" s="1" t="s">
        <v>38</v>
      </c>
      <c r="F1833" s="1" t="s">
        <v>1136</v>
      </c>
      <c r="G1833" s="1">
        <v>41</v>
      </c>
      <c r="H1833" s="1">
        <v>25.38</v>
      </c>
      <c r="I1833" s="1">
        <f t="shared" si="84"/>
        <v>1040.58</v>
      </c>
      <c r="J1833" t="str">
        <f t="shared" si="85"/>
        <v>High</v>
      </c>
      <c r="K1833" s="1"/>
      <c r="L1833" s="1">
        <v>0.04</v>
      </c>
      <c r="M1833" s="1">
        <v>8.99</v>
      </c>
      <c r="N1833" s="1" t="s">
        <v>25</v>
      </c>
      <c r="O1833" s="1" t="s">
        <v>84</v>
      </c>
      <c r="P1833" s="2">
        <v>41949</v>
      </c>
      <c r="Q1833" s="2" t="b">
        <f t="shared" si="86"/>
        <v>0</v>
      </c>
      <c r="V1833" s="2"/>
      <c r="W1833" s="2"/>
      <c r="X1833" s="2"/>
      <c r="Y1833" s="2"/>
      <c r="Z1833" s="2"/>
      <c r="AA1833" s="2"/>
      <c r="AB1833" s="2"/>
      <c r="AC1833" s="2"/>
      <c r="AD1833" s="2"/>
      <c r="AE1833" s="2"/>
      <c r="AF1833" s="2"/>
      <c r="AG1833" s="2"/>
      <c r="AH1833" s="2"/>
      <c r="AI1833" s="2"/>
    </row>
    <row r="1834" spans="1:35" ht="14.25" customHeight="1" x14ac:dyDescent="0.2">
      <c r="A1834" s="1">
        <v>36896</v>
      </c>
      <c r="B1834" s="1" t="s">
        <v>238</v>
      </c>
      <c r="C1834" s="1" t="s">
        <v>21</v>
      </c>
      <c r="D1834" s="2">
        <v>41946</v>
      </c>
      <c r="E1834" s="1" t="s">
        <v>38</v>
      </c>
      <c r="F1834" s="1" t="s">
        <v>1536</v>
      </c>
      <c r="G1834" s="1">
        <v>21</v>
      </c>
      <c r="H1834" s="1">
        <v>167.27</v>
      </c>
      <c r="I1834" s="1">
        <f t="shared" si="84"/>
        <v>3512.67</v>
      </c>
      <c r="J1834" t="str">
        <f t="shared" si="85"/>
        <v>High</v>
      </c>
      <c r="K1834" s="1"/>
      <c r="L1834" s="1">
        <v>0.04</v>
      </c>
      <c r="M1834" s="1">
        <v>35</v>
      </c>
      <c r="N1834" s="1" t="s">
        <v>33</v>
      </c>
      <c r="O1834" s="1" t="s">
        <v>26</v>
      </c>
      <c r="P1834" s="2">
        <v>41946</v>
      </c>
      <c r="Q1834" s="2" t="b">
        <f t="shared" si="86"/>
        <v>0</v>
      </c>
      <c r="V1834" s="2"/>
      <c r="W1834" s="2"/>
      <c r="X1834" s="2"/>
      <c r="Y1834" s="2"/>
      <c r="Z1834" s="2"/>
      <c r="AA1834" s="2"/>
      <c r="AB1834" s="2"/>
      <c r="AC1834" s="2"/>
      <c r="AD1834" s="2"/>
      <c r="AE1834" s="2"/>
      <c r="AF1834" s="2"/>
      <c r="AG1834" s="2"/>
      <c r="AH1834" s="2"/>
      <c r="AI1834" s="2"/>
    </row>
    <row r="1835" spans="1:35" ht="14.25" customHeight="1" x14ac:dyDescent="0.2">
      <c r="A1835" s="1">
        <v>32675</v>
      </c>
      <c r="B1835" s="1" t="s">
        <v>740</v>
      </c>
      <c r="C1835" s="1" t="s">
        <v>21</v>
      </c>
      <c r="D1835" s="2">
        <v>41946</v>
      </c>
      <c r="E1835" s="1" t="s">
        <v>31</v>
      </c>
      <c r="F1835" s="1" t="s">
        <v>811</v>
      </c>
      <c r="G1835" s="1">
        <v>20</v>
      </c>
      <c r="H1835" s="1">
        <v>349.45</v>
      </c>
      <c r="I1835" s="1">
        <f t="shared" si="84"/>
        <v>6989</v>
      </c>
      <c r="J1835" t="str">
        <f t="shared" si="85"/>
        <v>High</v>
      </c>
      <c r="K1835" s="1"/>
      <c r="L1835" s="1">
        <v>0.09</v>
      </c>
      <c r="M1835" s="1">
        <v>60</v>
      </c>
      <c r="N1835" s="1" t="s">
        <v>45</v>
      </c>
      <c r="O1835" s="1" t="s">
        <v>46</v>
      </c>
      <c r="P1835" s="2">
        <v>41947</v>
      </c>
      <c r="Q1835" s="2" t="b">
        <f t="shared" si="86"/>
        <v>0</v>
      </c>
      <c r="V1835" s="2"/>
      <c r="W1835" s="2"/>
      <c r="X1835" s="2"/>
      <c r="Y1835" s="2"/>
      <c r="Z1835" s="2"/>
      <c r="AA1835" s="2"/>
      <c r="AB1835" s="2"/>
      <c r="AC1835" s="2"/>
      <c r="AD1835" s="2"/>
      <c r="AE1835" s="2"/>
      <c r="AF1835" s="2"/>
      <c r="AG1835" s="2"/>
      <c r="AH1835" s="2"/>
      <c r="AI1835" s="2"/>
    </row>
    <row r="1836" spans="1:35" ht="14.25" customHeight="1" x14ac:dyDescent="0.2">
      <c r="A1836" s="1">
        <v>15105</v>
      </c>
      <c r="B1836" s="1" t="s">
        <v>171</v>
      </c>
      <c r="C1836" s="1" t="s">
        <v>21</v>
      </c>
      <c r="D1836" s="2">
        <v>41946</v>
      </c>
      <c r="E1836" s="1" t="s">
        <v>43</v>
      </c>
      <c r="F1836" s="1" t="s">
        <v>1537</v>
      </c>
      <c r="G1836" s="1">
        <v>39</v>
      </c>
      <c r="H1836" s="1">
        <v>12.28</v>
      </c>
      <c r="I1836" s="1">
        <f t="shared" si="84"/>
        <v>478.91999999999996</v>
      </c>
      <c r="J1836" t="str">
        <f t="shared" si="85"/>
        <v>Low</v>
      </c>
      <c r="K1836" s="1"/>
      <c r="L1836" s="1">
        <v>7.0000000000000007E-2</v>
      </c>
      <c r="M1836" s="1">
        <v>6.13</v>
      </c>
      <c r="N1836" s="1" t="s">
        <v>33</v>
      </c>
      <c r="O1836" s="1" t="s">
        <v>34</v>
      </c>
      <c r="P1836" s="2">
        <v>41953</v>
      </c>
      <c r="Q1836" s="2" t="b">
        <f t="shared" si="86"/>
        <v>0</v>
      </c>
      <c r="V1836" s="2"/>
      <c r="W1836" s="2"/>
      <c r="X1836" s="2"/>
      <c r="Y1836" s="2"/>
      <c r="Z1836" s="2"/>
      <c r="AA1836" s="2"/>
      <c r="AB1836" s="2"/>
      <c r="AC1836" s="2"/>
      <c r="AD1836" s="2"/>
      <c r="AE1836" s="2"/>
      <c r="AF1836" s="2"/>
      <c r="AG1836" s="2"/>
      <c r="AH1836" s="2"/>
      <c r="AI1836" s="2"/>
    </row>
    <row r="1837" spans="1:35" ht="14.25" customHeight="1" x14ac:dyDescent="0.2">
      <c r="A1837" s="1">
        <v>9057</v>
      </c>
      <c r="B1837" s="1" t="s">
        <v>1200</v>
      </c>
      <c r="C1837" s="1" t="s">
        <v>21</v>
      </c>
      <c r="D1837" s="2">
        <v>41947</v>
      </c>
      <c r="E1837" s="1" t="s">
        <v>38</v>
      </c>
      <c r="F1837" s="1" t="s">
        <v>640</v>
      </c>
      <c r="G1837" s="1">
        <v>20</v>
      </c>
      <c r="H1837" s="1">
        <v>7.59</v>
      </c>
      <c r="I1837" s="1">
        <f t="shared" si="84"/>
        <v>151.80000000000001</v>
      </c>
      <c r="J1837" t="str">
        <f t="shared" si="85"/>
        <v>Low</v>
      </c>
      <c r="K1837" s="1"/>
      <c r="L1837" s="1">
        <v>0.01</v>
      </c>
      <c r="M1837" s="1">
        <v>4</v>
      </c>
      <c r="N1837" s="1" t="s">
        <v>33</v>
      </c>
      <c r="O1837" s="1" t="s">
        <v>55</v>
      </c>
      <c r="P1837" s="2">
        <v>41947</v>
      </c>
      <c r="Q1837" s="2" t="b">
        <f t="shared" si="86"/>
        <v>0</v>
      </c>
      <c r="V1837" s="2"/>
      <c r="W1837" s="2"/>
      <c r="X1837" s="2"/>
      <c r="Y1837" s="2"/>
      <c r="Z1837" s="2"/>
      <c r="AA1837" s="2"/>
      <c r="AB1837" s="2"/>
      <c r="AC1837" s="2"/>
      <c r="AD1837" s="2"/>
      <c r="AE1837" s="2"/>
      <c r="AF1837" s="2"/>
      <c r="AG1837" s="2"/>
      <c r="AH1837" s="2"/>
      <c r="AI1837" s="2"/>
    </row>
    <row r="1838" spans="1:35" ht="14.25" customHeight="1" x14ac:dyDescent="0.2">
      <c r="A1838" s="1">
        <v>50336</v>
      </c>
      <c r="B1838" s="1" t="s">
        <v>1253</v>
      </c>
      <c r="C1838" s="1" t="s">
        <v>21</v>
      </c>
      <c r="D1838" s="2">
        <v>41947</v>
      </c>
      <c r="E1838" s="1" t="s">
        <v>22</v>
      </c>
      <c r="F1838" s="1" t="s">
        <v>1538</v>
      </c>
      <c r="G1838" s="1">
        <v>9</v>
      </c>
      <c r="H1838" s="1">
        <v>5.77</v>
      </c>
      <c r="I1838" s="1">
        <f t="shared" si="84"/>
        <v>51.929999999999993</v>
      </c>
      <c r="J1838" t="str">
        <f t="shared" si="85"/>
        <v>Low</v>
      </c>
      <c r="K1838" s="1"/>
      <c r="L1838" s="1">
        <v>0</v>
      </c>
      <c r="M1838" s="1">
        <v>4.97</v>
      </c>
      <c r="N1838" s="1" t="s">
        <v>33</v>
      </c>
      <c r="O1838" s="1" t="s">
        <v>34</v>
      </c>
      <c r="P1838" s="2">
        <v>41948</v>
      </c>
      <c r="Q1838" s="2" t="b">
        <f t="shared" si="86"/>
        <v>0</v>
      </c>
      <c r="V1838" s="2"/>
      <c r="W1838" s="2"/>
      <c r="X1838" s="2"/>
      <c r="Y1838" s="2"/>
      <c r="Z1838" s="2"/>
      <c r="AA1838" s="2"/>
      <c r="AB1838" s="2"/>
      <c r="AC1838" s="2"/>
      <c r="AD1838" s="2"/>
      <c r="AE1838" s="2"/>
      <c r="AF1838" s="2"/>
      <c r="AG1838" s="2"/>
      <c r="AH1838" s="2"/>
      <c r="AI1838" s="2"/>
    </row>
    <row r="1839" spans="1:35" ht="14.25" customHeight="1" x14ac:dyDescent="0.2">
      <c r="A1839" s="1">
        <v>3332</v>
      </c>
      <c r="B1839" s="1" t="s">
        <v>1278</v>
      </c>
      <c r="C1839" s="1" t="s">
        <v>30</v>
      </c>
      <c r="D1839" s="2">
        <v>41947</v>
      </c>
      <c r="E1839" s="1" t="s">
        <v>38</v>
      </c>
      <c r="F1839" s="1" t="s">
        <v>1539</v>
      </c>
      <c r="G1839" s="1">
        <v>6</v>
      </c>
      <c r="H1839" s="1">
        <v>3.26</v>
      </c>
      <c r="I1839" s="1">
        <f t="shared" si="84"/>
        <v>19.559999999999999</v>
      </c>
      <c r="J1839" t="str">
        <f t="shared" si="85"/>
        <v>Low</v>
      </c>
      <c r="K1839" s="1"/>
      <c r="L1839" s="1">
        <v>0.01</v>
      </c>
      <c r="M1839" s="1">
        <v>1.86</v>
      </c>
      <c r="N1839" s="1" t="s">
        <v>33</v>
      </c>
      <c r="O1839" s="1" t="s">
        <v>55</v>
      </c>
      <c r="P1839" s="2">
        <v>41949</v>
      </c>
      <c r="Q1839" s="2" t="b">
        <f t="shared" si="86"/>
        <v>0</v>
      </c>
      <c r="V1839" s="2"/>
      <c r="W1839" s="2"/>
      <c r="X1839" s="2"/>
      <c r="Y1839" s="2"/>
      <c r="Z1839" s="2"/>
      <c r="AA1839" s="2"/>
      <c r="AB1839" s="2"/>
      <c r="AC1839" s="2"/>
      <c r="AD1839" s="2"/>
      <c r="AE1839" s="2"/>
      <c r="AF1839" s="2"/>
      <c r="AG1839" s="2"/>
      <c r="AH1839" s="2"/>
      <c r="AI1839" s="2"/>
    </row>
    <row r="1840" spans="1:35" ht="14.25" customHeight="1" x14ac:dyDescent="0.2">
      <c r="A1840" s="1">
        <v>37731</v>
      </c>
      <c r="B1840" s="1" t="s">
        <v>1540</v>
      </c>
      <c r="C1840" s="1" t="s">
        <v>51</v>
      </c>
      <c r="D1840" s="2">
        <v>41947</v>
      </c>
      <c r="E1840" s="1" t="s">
        <v>38</v>
      </c>
      <c r="F1840" s="1" t="s">
        <v>1541</v>
      </c>
      <c r="G1840" s="1">
        <v>25</v>
      </c>
      <c r="H1840" s="1">
        <v>3.75</v>
      </c>
      <c r="I1840" s="1">
        <f t="shared" si="84"/>
        <v>93.75</v>
      </c>
      <c r="J1840" t="str">
        <f t="shared" si="85"/>
        <v>Low</v>
      </c>
      <c r="K1840" s="1"/>
      <c r="L1840" s="1">
        <v>0.09</v>
      </c>
      <c r="M1840" s="1">
        <v>0.5</v>
      </c>
      <c r="N1840" s="1" t="s">
        <v>33</v>
      </c>
      <c r="O1840" s="1" t="s">
        <v>34</v>
      </c>
      <c r="P1840" s="2">
        <v>41949</v>
      </c>
      <c r="Q1840" s="2" t="b">
        <f t="shared" si="86"/>
        <v>0</v>
      </c>
      <c r="V1840" s="2"/>
      <c r="W1840" s="2"/>
      <c r="X1840" s="2"/>
      <c r="Y1840" s="2"/>
      <c r="Z1840" s="2"/>
      <c r="AA1840" s="2"/>
      <c r="AB1840" s="2"/>
      <c r="AC1840" s="2"/>
      <c r="AD1840" s="2"/>
      <c r="AE1840" s="2"/>
      <c r="AF1840" s="2"/>
      <c r="AG1840" s="2"/>
      <c r="AH1840" s="2"/>
      <c r="AI1840" s="2"/>
    </row>
    <row r="1841" spans="1:35" ht="14.25" customHeight="1" x14ac:dyDescent="0.2">
      <c r="A1841" s="1">
        <v>34883</v>
      </c>
      <c r="B1841" s="1" t="s">
        <v>1097</v>
      </c>
      <c r="C1841" s="1" t="s">
        <v>51</v>
      </c>
      <c r="D1841" s="2">
        <v>41947</v>
      </c>
      <c r="E1841" s="1" t="s">
        <v>38</v>
      </c>
      <c r="F1841" s="1" t="s">
        <v>538</v>
      </c>
      <c r="G1841" s="1">
        <v>31</v>
      </c>
      <c r="H1841" s="1">
        <v>35.99</v>
      </c>
      <c r="I1841" s="1">
        <f t="shared" si="84"/>
        <v>1115.69</v>
      </c>
      <c r="J1841" t="str">
        <f t="shared" si="85"/>
        <v>High</v>
      </c>
      <c r="K1841" s="1"/>
      <c r="L1841" s="1">
        <v>0.05</v>
      </c>
      <c r="M1841" s="1">
        <v>5.99</v>
      </c>
      <c r="N1841" s="1" t="s">
        <v>33</v>
      </c>
      <c r="O1841" s="1" t="s">
        <v>55</v>
      </c>
      <c r="P1841" s="2">
        <v>41948</v>
      </c>
      <c r="Q1841" s="2" t="b">
        <f t="shared" si="86"/>
        <v>0</v>
      </c>
      <c r="V1841" s="2"/>
      <c r="W1841" s="2"/>
      <c r="X1841" s="2"/>
      <c r="Y1841" s="2"/>
      <c r="Z1841" s="2"/>
      <c r="AA1841" s="2"/>
      <c r="AB1841" s="2"/>
      <c r="AC1841" s="2"/>
      <c r="AD1841" s="2"/>
      <c r="AE1841" s="2"/>
      <c r="AF1841" s="2"/>
      <c r="AG1841" s="2"/>
      <c r="AH1841" s="2"/>
      <c r="AI1841" s="2"/>
    </row>
    <row r="1842" spans="1:35" ht="14.25" customHeight="1" x14ac:dyDescent="0.2">
      <c r="A1842" s="1">
        <v>37731</v>
      </c>
      <c r="B1842" s="1" t="s">
        <v>1540</v>
      </c>
      <c r="C1842" s="1" t="s">
        <v>21</v>
      </c>
      <c r="D1842" s="2">
        <v>41947</v>
      </c>
      <c r="E1842" s="1" t="s">
        <v>38</v>
      </c>
      <c r="F1842" s="1" t="s">
        <v>869</v>
      </c>
      <c r="G1842" s="1">
        <v>24</v>
      </c>
      <c r="H1842" s="1">
        <v>30.98</v>
      </c>
      <c r="I1842" s="1">
        <f t="shared" si="84"/>
        <v>743.52</v>
      </c>
      <c r="J1842" t="str">
        <f t="shared" si="85"/>
        <v>Low</v>
      </c>
      <c r="K1842" s="1"/>
      <c r="L1842" s="1">
        <v>0.01</v>
      </c>
      <c r="M1842" s="1">
        <v>9.18</v>
      </c>
      <c r="N1842" s="1" t="s">
        <v>33</v>
      </c>
      <c r="O1842" s="1" t="s">
        <v>34</v>
      </c>
      <c r="P1842" s="2">
        <v>41947</v>
      </c>
      <c r="Q1842" s="2" t="b">
        <f t="shared" si="86"/>
        <v>0</v>
      </c>
      <c r="V1842" s="2"/>
      <c r="W1842" s="2"/>
      <c r="X1842" s="2"/>
      <c r="Y1842" s="2"/>
      <c r="Z1842" s="2"/>
      <c r="AA1842" s="2"/>
      <c r="AB1842" s="2"/>
      <c r="AC1842" s="2"/>
      <c r="AD1842" s="2"/>
      <c r="AE1842" s="2"/>
      <c r="AF1842" s="2"/>
      <c r="AG1842" s="2"/>
      <c r="AH1842" s="2"/>
      <c r="AI1842" s="2"/>
    </row>
    <row r="1843" spans="1:35" ht="14.25" customHeight="1" x14ac:dyDescent="0.2">
      <c r="A1843" s="1">
        <v>28259</v>
      </c>
      <c r="B1843" s="1" t="s">
        <v>288</v>
      </c>
      <c r="C1843" s="1" t="s">
        <v>21</v>
      </c>
      <c r="D1843" s="2">
        <v>41947</v>
      </c>
      <c r="E1843" s="1" t="s">
        <v>31</v>
      </c>
      <c r="F1843" s="1" t="s">
        <v>1542</v>
      </c>
      <c r="G1843" s="1">
        <v>22</v>
      </c>
      <c r="H1843" s="1">
        <v>10.97</v>
      </c>
      <c r="I1843" s="1">
        <f t="shared" si="84"/>
        <v>241.34</v>
      </c>
      <c r="J1843" t="str">
        <f t="shared" si="85"/>
        <v>Low</v>
      </c>
      <c r="K1843" s="1"/>
      <c r="L1843" s="1">
        <v>0.06</v>
      </c>
      <c r="M1843" s="1">
        <v>6.5</v>
      </c>
      <c r="N1843" s="1" t="s">
        <v>33</v>
      </c>
      <c r="O1843" s="1" t="s">
        <v>34</v>
      </c>
      <c r="P1843" s="2">
        <v>41949</v>
      </c>
      <c r="Q1843" s="2" t="b">
        <f t="shared" si="86"/>
        <v>0</v>
      </c>
      <c r="V1843" s="2"/>
      <c r="W1843" s="2"/>
      <c r="X1843" s="2"/>
      <c r="Y1843" s="2"/>
      <c r="Z1843" s="2"/>
      <c r="AA1843" s="2"/>
      <c r="AB1843" s="2"/>
      <c r="AC1843" s="2"/>
      <c r="AD1843" s="2"/>
      <c r="AE1843" s="2"/>
      <c r="AF1843" s="2"/>
      <c r="AG1843" s="2"/>
      <c r="AH1843" s="2"/>
      <c r="AI1843" s="2"/>
    </row>
    <row r="1844" spans="1:35" ht="14.25" customHeight="1" x14ac:dyDescent="0.2">
      <c r="A1844" s="1">
        <v>40261</v>
      </c>
      <c r="B1844" s="1" t="s">
        <v>432</v>
      </c>
      <c r="C1844" s="1" t="s">
        <v>21</v>
      </c>
      <c r="D1844" s="2">
        <v>41947</v>
      </c>
      <c r="E1844" s="1" t="s">
        <v>38</v>
      </c>
      <c r="F1844" s="1" t="s">
        <v>888</v>
      </c>
      <c r="G1844" s="1">
        <v>36</v>
      </c>
      <c r="H1844" s="1">
        <v>9.06</v>
      </c>
      <c r="I1844" s="1">
        <f t="shared" si="84"/>
        <v>326.16000000000003</v>
      </c>
      <c r="J1844" t="str">
        <f t="shared" si="85"/>
        <v>Low</v>
      </c>
      <c r="K1844" s="1"/>
      <c r="L1844" s="1">
        <v>0.03</v>
      </c>
      <c r="M1844" s="1">
        <v>9.86</v>
      </c>
      <c r="N1844" s="1" t="s">
        <v>25</v>
      </c>
      <c r="O1844" s="1" t="s">
        <v>34</v>
      </c>
      <c r="P1844" s="2">
        <v>41949</v>
      </c>
      <c r="Q1844" s="2" t="b">
        <f t="shared" si="86"/>
        <v>0</v>
      </c>
      <c r="V1844" s="2"/>
      <c r="W1844" s="2"/>
      <c r="X1844" s="2"/>
      <c r="Y1844" s="2"/>
      <c r="Z1844" s="2"/>
      <c r="AA1844" s="2"/>
      <c r="AB1844" s="2"/>
      <c r="AC1844" s="2"/>
      <c r="AD1844" s="2"/>
      <c r="AE1844" s="2"/>
      <c r="AF1844" s="2"/>
      <c r="AG1844" s="2"/>
      <c r="AH1844" s="2"/>
      <c r="AI1844" s="2"/>
    </row>
    <row r="1845" spans="1:35" ht="14.25" customHeight="1" x14ac:dyDescent="0.2">
      <c r="A1845" s="1">
        <v>40261</v>
      </c>
      <c r="B1845" s="1" t="s">
        <v>432</v>
      </c>
      <c r="C1845" s="1" t="s">
        <v>30</v>
      </c>
      <c r="D1845" s="2">
        <v>41947</v>
      </c>
      <c r="E1845" s="1" t="s">
        <v>38</v>
      </c>
      <c r="F1845" s="1" t="s">
        <v>1543</v>
      </c>
      <c r="G1845" s="1">
        <v>26</v>
      </c>
      <c r="H1845" s="1">
        <v>2.94</v>
      </c>
      <c r="I1845" s="1">
        <f t="shared" si="84"/>
        <v>76.44</v>
      </c>
      <c r="J1845" t="str">
        <f t="shared" si="85"/>
        <v>Low</v>
      </c>
      <c r="K1845" s="1"/>
      <c r="L1845" s="1">
        <v>0.05</v>
      </c>
      <c r="M1845" s="1">
        <v>1.05</v>
      </c>
      <c r="N1845" s="1" t="s">
        <v>33</v>
      </c>
      <c r="O1845" s="1" t="s">
        <v>55</v>
      </c>
      <c r="P1845" s="2">
        <v>41949</v>
      </c>
      <c r="Q1845" s="2" t="b">
        <f t="shared" si="86"/>
        <v>0</v>
      </c>
      <c r="V1845" s="2"/>
      <c r="W1845" s="2"/>
      <c r="X1845" s="2"/>
      <c r="Y1845" s="2"/>
      <c r="Z1845" s="2"/>
      <c r="AA1845" s="2"/>
      <c r="AB1845" s="2"/>
      <c r="AC1845" s="2"/>
      <c r="AD1845" s="2"/>
      <c r="AE1845" s="2"/>
      <c r="AF1845" s="2"/>
      <c r="AG1845" s="2"/>
      <c r="AH1845" s="2"/>
      <c r="AI1845" s="2"/>
    </row>
    <row r="1846" spans="1:35" ht="14.25" customHeight="1" x14ac:dyDescent="0.2">
      <c r="A1846" s="1">
        <v>18247</v>
      </c>
      <c r="B1846" s="1" t="s">
        <v>169</v>
      </c>
      <c r="C1846" s="1" t="s">
        <v>21</v>
      </c>
      <c r="D1846" s="2">
        <v>41948</v>
      </c>
      <c r="E1846" s="1" t="s">
        <v>22</v>
      </c>
      <c r="F1846" s="1" t="s">
        <v>640</v>
      </c>
      <c r="G1846" s="1">
        <v>20</v>
      </c>
      <c r="H1846" s="1">
        <v>7.59</v>
      </c>
      <c r="I1846" s="1">
        <f t="shared" si="84"/>
        <v>151.80000000000001</v>
      </c>
      <c r="J1846" t="str">
        <f t="shared" si="85"/>
        <v>Low</v>
      </c>
      <c r="K1846" s="1"/>
      <c r="L1846" s="1">
        <v>0</v>
      </c>
      <c r="M1846" s="1">
        <v>4</v>
      </c>
      <c r="N1846" s="1" t="s">
        <v>33</v>
      </c>
      <c r="O1846" s="1" t="s">
        <v>55</v>
      </c>
      <c r="P1846" s="2">
        <v>41949</v>
      </c>
      <c r="Q1846" s="2" t="b">
        <f t="shared" si="86"/>
        <v>0</v>
      </c>
      <c r="V1846" s="2"/>
      <c r="W1846" s="2"/>
      <c r="X1846" s="2"/>
      <c r="Y1846" s="2"/>
      <c r="Z1846" s="2"/>
      <c r="AA1846" s="2"/>
      <c r="AB1846" s="2"/>
      <c r="AC1846" s="2"/>
      <c r="AD1846" s="2"/>
      <c r="AE1846" s="2"/>
      <c r="AF1846" s="2"/>
      <c r="AG1846" s="2"/>
      <c r="AH1846" s="2"/>
      <c r="AI1846" s="2"/>
    </row>
    <row r="1847" spans="1:35" ht="14.25" customHeight="1" x14ac:dyDescent="0.2">
      <c r="A1847" s="1">
        <v>32291</v>
      </c>
      <c r="B1847" s="1" t="s">
        <v>1544</v>
      </c>
      <c r="C1847" s="1" t="s">
        <v>30</v>
      </c>
      <c r="D1847" s="2">
        <v>41948</v>
      </c>
      <c r="E1847" s="1" t="s">
        <v>101</v>
      </c>
      <c r="F1847" s="1" t="s">
        <v>180</v>
      </c>
      <c r="G1847" s="1">
        <v>13</v>
      </c>
      <c r="H1847" s="1">
        <v>12.99</v>
      </c>
      <c r="I1847" s="1">
        <f t="shared" si="84"/>
        <v>168.87</v>
      </c>
      <c r="J1847" t="str">
        <f t="shared" si="85"/>
        <v>Low</v>
      </c>
      <c r="K1847" s="1"/>
      <c r="L1847" s="1">
        <v>0.01</v>
      </c>
      <c r="M1847" s="1">
        <v>14.37</v>
      </c>
      <c r="N1847" s="1" t="s">
        <v>33</v>
      </c>
      <c r="O1847" s="1" t="s">
        <v>26</v>
      </c>
      <c r="P1847" s="2">
        <v>41948</v>
      </c>
      <c r="Q1847" s="2" t="b">
        <f t="shared" si="86"/>
        <v>0</v>
      </c>
      <c r="V1847" s="2"/>
      <c r="W1847" s="2"/>
      <c r="X1847" s="2"/>
      <c r="Y1847" s="2"/>
      <c r="Z1847" s="2"/>
      <c r="AA1847" s="2"/>
      <c r="AB1847" s="2"/>
      <c r="AC1847" s="2"/>
      <c r="AD1847" s="2"/>
      <c r="AE1847" s="2"/>
      <c r="AF1847" s="2"/>
      <c r="AG1847" s="2"/>
      <c r="AH1847" s="2"/>
      <c r="AI1847" s="2"/>
    </row>
    <row r="1848" spans="1:35" ht="14.25" customHeight="1" x14ac:dyDescent="0.2">
      <c r="A1848" s="1">
        <v>32291</v>
      </c>
      <c r="B1848" s="1" t="s">
        <v>1544</v>
      </c>
      <c r="C1848" s="1" t="s">
        <v>30</v>
      </c>
      <c r="D1848" s="2">
        <v>41948</v>
      </c>
      <c r="E1848" s="1" t="s">
        <v>101</v>
      </c>
      <c r="F1848" s="1" t="s">
        <v>689</v>
      </c>
      <c r="G1848" s="1">
        <v>4</v>
      </c>
      <c r="H1848" s="1">
        <v>15.14</v>
      </c>
      <c r="I1848" s="1">
        <f t="shared" si="84"/>
        <v>60.56</v>
      </c>
      <c r="J1848" t="str">
        <f t="shared" si="85"/>
        <v>Low</v>
      </c>
      <c r="K1848" s="1"/>
      <c r="L1848" s="1">
        <v>0.02</v>
      </c>
      <c r="M1848" s="1">
        <v>4.53</v>
      </c>
      <c r="N1848" s="1" t="s">
        <v>33</v>
      </c>
      <c r="O1848" s="1" t="s">
        <v>34</v>
      </c>
      <c r="P1848" s="2">
        <v>41949</v>
      </c>
      <c r="Q1848" s="2" t="b">
        <f t="shared" si="86"/>
        <v>0</v>
      </c>
      <c r="V1848" s="2"/>
      <c r="W1848" s="2"/>
      <c r="X1848" s="2"/>
      <c r="Y1848" s="2"/>
      <c r="Z1848" s="2"/>
      <c r="AA1848" s="2"/>
      <c r="AB1848" s="2"/>
      <c r="AC1848" s="2"/>
      <c r="AD1848" s="2"/>
      <c r="AE1848" s="2"/>
      <c r="AF1848" s="2"/>
      <c r="AG1848" s="2"/>
      <c r="AH1848" s="2"/>
      <c r="AI1848" s="2"/>
    </row>
    <row r="1849" spans="1:35" ht="14.25" customHeight="1" x14ac:dyDescent="0.2">
      <c r="A1849" s="1">
        <v>5856</v>
      </c>
      <c r="B1849" s="1" t="s">
        <v>711</v>
      </c>
      <c r="C1849" s="1" t="s">
        <v>51</v>
      </c>
      <c r="D1849" s="2">
        <v>41948</v>
      </c>
      <c r="E1849" s="1" t="s">
        <v>31</v>
      </c>
      <c r="F1849" s="1" t="s">
        <v>587</v>
      </c>
      <c r="G1849" s="1">
        <v>42</v>
      </c>
      <c r="H1849" s="1">
        <v>230.98</v>
      </c>
      <c r="I1849" s="1">
        <f t="shared" si="84"/>
        <v>9701.16</v>
      </c>
      <c r="J1849" t="str">
        <f t="shared" si="85"/>
        <v>High</v>
      </c>
      <c r="K1849" s="1"/>
      <c r="L1849" s="1">
        <v>0</v>
      </c>
      <c r="M1849" s="1">
        <v>23.78</v>
      </c>
      <c r="N1849" s="1" t="s">
        <v>45</v>
      </c>
      <c r="O1849" s="1" t="s">
        <v>63</v>
      </c>
      <c r="P1849" s="2">
        <v>41950</v>
      </c>
      <c r="Q1849" s="2" t="b">
        <f t="shared" si="86"/>
        <v>0</v>
      </c>
      <c r="V1849" s="2"/>
      <c r="W1849" s="2"/>
      <c r="X1849" s="2"/>
      <c r="Y1849" s="2"/>
      <c r="Z1849" s="2"/>
      <c r="AA1849" s="2"/>
      <c r="AB1849" s="2"/>
      <c r="AC1849" s="2"/>
      <c r="AD1849" s="2"/>
      <c r="AE1849" s="2"/>
      <c r="AF1849" s="2"/>
      <c r="AG1849" s="2"/>
      <c r="AH1849" s="2"/>
      <c r="AI1849" s="2"/>
    </row>
    <row r="1850" spans="1:35" ht="14.25" customHeight="1" x14ac:dyDescent="0.2">
      <c r="A1850" s="1">
        <v>26374</v>
      </c>
      <c r="B1850" s="1" t="s">
        <v>1545</v>
      </c>
      <c r="C1850" s="1" t="s">
        <v>30</v>
      </c>
      <c r="D1850" s="2">
        <v>41948</v>
      </c>
      <c r="E1850" s="1" t="s">
        <v>22</v>
      </c>
      <c r="F1850" s="1" t="s">
        <v>608</v>
      </c>
      <c r="G1850" s="1">
        <v>5</v>
      </c>
      <c r="H1850" s="1">
        <v>20.99</v>
      </c>
      <c r="I1850" s="1">
        <f t="shared" si="84"/>
        <v>104.94999999999999</v>
      </c>
      <c r="J1850" t="str">
        <f t="shared" si="85"/>
        <v>Low</v>
      </c>
      <c r="K1850" s="1"/>
      <c r="L1850" s="1">
        <v>0.05</v>
      </c>
      <c r="M1850" s="1">
        <v>3.3</v>
      </c>
      <c r="N1850" s="1" t="s">
        <v>33</v>
      </c>
      <c r="O1850" s="1" t="s">
        <v>84</v>
      </c>
      <c r="P1850" s="2">
        <v>41949</v>
      </c>
      <c r="Q1850" s="2" t="b">
        <f t="shared" si="86"/>
        <v>0</v>
      </c>
      <c r="V1850" s="2"/>
      <c r="W1850" s="2"/>
      <c r="X1850" s="2"/>
      <c r="Y1850" s="2"/>
      <c r="Z1850" s="2"/>
      <c r="AA1850" s="2"/>
      <c r="AB1850" s="2"/>
      <c r="AC1850" s="2"/>
      <c r="AD1850" s="2"/>
      <c r="AE1850" s="2"/>
      <c r="AF1850" s="2"/>
      <c r="AG1850" s="2"/>
      <c r="AH1850" s="2"/>
      <c r="AI1850" s="2"/>
    </row>
    <row r="1851" spans="1:35" ht="14.25" customHeight="1" x14ac:dyDescent="0.2">
      <c r="A1851" s="1">
        <v>18533</v>
      </c>
      <c r="B1851" s="1" t="s">
        <v>1546</v>
      </c>
      <c r="C1851" s="1" t="s">
        <v>30</v>
      </c>
      <c r="D1851" s="2">
        <v>41949</v>
      </c>
      <c r="E1851" s="1" t="s">
        <v>22</v>
      </c>
      <c r="F1851" s="1" t="s">
        <v>1058</v>
      </c>
      <c r="G1851" s="1">
        <v>27</v>
      </c>
      <c r="H1851" s="1">
        <v>15.31</v>
      </c>
      <c r="I1851" s="1">
        <f t="shared" si="84"/>
        <v>413.37</v>
      </c>
      <c r="J1851" t="str">
        <f t="shared" si="85"/>
        <v>Low</v>
      </c>
      <c r="K1851" s="1"/>
      <c r="L1851" s="1">
        <v>0.01</v>
      </c>
      <c r="M1851" s="1">
        <v>8.7799999999999994</v>
      </c>
      <c r="N1851" s="1" t="s">
        <v>33</v>
      </c>
      <c r="O1851" s="1" t="s">
        <v>34</v>
      </c>
      <c r="P1851" s="2">
        <v>41950</v>
      </c>
      <c r="Q1851" s="2" t="b">
        <f t="shared" si="86"/>
        <v>0</v>
      </c>
      <c r="V1851" s="2"/>
      <c r="W1851" s="2"/>
      <c r="X1851" s="2"/>
      <c r="Y1851" s="2"/>
      <c r="Z1851" s="2"/>
      <c r="AA1851" s="2"/>
      <c r="AB1851" s="2"/>
      <c r="AC1851" s="2"/>
      <c r="AD1851" s="2"/>
      <c r="AE1851" s="2"/>
      <c r="AF1851" s="2"/>
      <c r="AG1851" s="2"/>
      <c r="AH1851" s="2"/>
      <c r="AI1851" s="2"/>
    </row>
    <row r="1852" spans="1:35" ht="14.25" customHeight="1" x14ac:dyDescent="0.2">
      <c r="A1852" s="1">
        <v>18533</v>
      </c>
      <c r="B1852" s="1" t="s">
        <v>1546</v>
      </c>
      <c r="C1852" s="1" t="s">
        <v>30</v>
      </c>
      <c r="D1852" s="2">
        <v>41949</v>
      </c>
      <c r="E1852" s="1" t="s">
        <v>22</v>
      </c>
      <c r="F1852" s="1" t="s">
        <v>1224</v>
      </c>
      <c r="G1852" s="1">
        <v>5</v>
      </c>
      <c r="H1852" s="1">
        <v>7.99</v>
      </c>
      <c r="I1852" s="1">
        <f t="shared" si="84"/>
        <v>39.950000000000003</v>
      </c>
      <c r="J1852" t="str">
        <f t="shared" si="85"/>
        <v>Low</v>
      </c>
      <c r="K1852" s="1"/>
      <c r="L1852" s="1">
        <v>0.05</v>
      </c>
      <c r="M1852" s="1">
        <v>5.03</v>
      </c>
      <c r="N1852" s="1" t="s">
        <v>25</v>
      </c>
      <c r="O1852" s="1" t="s">
        <v>72</v>
      </c>
      <c r="P1852" s="2">
        <v>41951</v>
      </c>
      <c r="Q1852" s="2" t="b">
        <f t="shared" si="86"/>
        <v>0</v>
      </c>
      <c r="V1852" s="2"/>
      <c r="W1852" s="2"/>
      <c r="X1852" s="2"/>
      <c r="Y1852" s="2"/>
      <c r="Z1852" s="2"/>
      <c r="AA1852" s="2"/>
      <c r="AB1852" s="2"/>
      <c r="AC1852" s="2"/>
      <c r="AD1852" s="2"/>
      <c r="AE1852" s="2"/>
      <c r="AF1852" s="2"/>
      <c r="AG1852" s="2"/>
      <c r="AH1852" s="2"/>
      <c r="AI1852" s="2"/>
    </row>
    <row r="1853" spans="1:35" ht="14.25" customHeight="1" x14ac:dyDescent="0.2">
      <c r="A1853" s="1">
        <v>26337</v>
      </c>
      <c r="B1853" s="1" t="s">
        <v>1547</v>
      </c>
      <c r="C1853" s="1" t="s">
        <v>30</v>
      </c>
      <c r="D1853" s="2">
        <v>41950</v>
      </c>
      <c r="E1853" s="1" t="s">
        <v>38</v>
      </c>
      <c r="F1853" s="1" t="s">
        <v>1455</v>
      </c>
      <c r="G1853" s="1">
        <v>45</v>
      </c>
      <c r="H1853" s="1">
        <v>3.69</v>
      </c>
      <c r="I1853" s="1">
        <f t="shared" si="84"/>
        <v>166.05</v>
      </c>
      <c r="J1853" t="str">
        <f t="shared" si="85"/>
        <v>Low</v>
      </c>
      <c r="K1853" s="1"/>
      <c r="L1853" s="1">
        <v>0.08</v>
      </c>
      <c r="M1853" s="1">
        <v>0.5</v>
      </c>
      <c r="N1853" s="1" t="s">
        <v>33</v>
      </c>
      <c r="O1853" s="1" t="s">
        <v>34</v>
      </c>
      <c r="P1853" s="2">
        <v>41953</v>
      </c>
      <c r="Q1853" s="2" t="b">
        <f t="shared" si="86"/>
        <v>0</v>
      </c>
      <c r="V1853" s="2"/>
      <c r="W1853" s="2"/>
      <c r="X1853" s="2"/>
      <c r="Y1853" s="2"/>
      <c r="Z1853" s="2"/>
      <c r="AA1853" s="2"/>
      <c r="AB1853" s="2"/>
      <c r="AC1853" s="2"/>
      <c r="AD1853" s="2"/>
      <c r="AE1853" s="2"/>
      <c r="AF1853" s="2"/>
      <c r="AG1853" s="2"/>
      <c r="AH1853" s="2"/>
      <c r="AI1853" s="2"/>
    </row>
    <row r="1854" spans="1:35" ht="14.25" customHeight="1" x14ac:dyDescent="0.2">
      <c r="A1854" s="1">
        <v>26944</v>
      </c>
      <c r="B1854" s="1" t="s">
        <v>1095</v>
      </c>
      <c r="C1854" s="1" t="s">
        <v>21</v>
      </c>
      <c r="D1854" s="2">
        <v>41950</v>
      </c>
      <c r="E1854" s="1" t="s">
        <v>38</v>
      </c>
      <c r="F1854" s="1" t="s">
        <v>128</v>
      </c>
      <c r="G1854" s="1">
        <v>6</v>
      </c>
      <c r="H1854" s="1">
        <v>73.98</v>
      </c>
      <c r="I1854" s="1">
        <f t="shared" si="84"/>
        <v>443.88</v>
      </c>
      <c r="J1854" t="str">
        <f t="shared" si="85"/>
        <v>Low</v>
      </c>
      <c r="K1854" s="1"/>
      <c r="L1854" s="1">
        <v>0.02</v>
      </c>
      <c r="M1854" s="1">
        <v>14.52</v>
      </c>
      <c r="N1854" s="1" t="s">
        <v>33</v>
      </c>
      <c r="O1854" s="1" t="s">
        <v>34</v>
      </c>
      <c r="P1854" s="2">
        <v>41953</v>
      </c>
      <c r="Q1854" s="2" t="b">
        <f t="shared" si="86"/>
        <v>0</v>
      </c>
      <c r="V1854" s="2"/>
      <c r="W1854" s="2"/>
      <c r="X1854" s="2"/>
      <c r="Y1854" s="2"/>
      <c r="Z1854" s="2"/>
      <c r="AA1854" s="2"/>
      <c r="AB1854" s="2"/>
      <c r="AC1854" s="2"/>
      <c r="AD1854" s="2"/>
      <c r="AE1854" s="2"/>
      <c r="AF1854" s="2"/>
      <c r="AG1854" s="2"/>
      <c r="AH1854" s="2"/>
      <c r="AI1854" s="2"/>
    </row>
    <row r="1855" spans="1:35" ht="14.25" customHeight="1" x14ac:dyDescent="0.2">
      <c r="A1855" s="1">
        <v>37793</v>
      </c>
      <c r="B1855" s="1" t="s">
        <v>751</v>
      </c>
      <c r="C1855" s="1" t="s">
        <v>21</v>
      </c>
      <c r="D1855" s="2">
        <v>41951</v>
      </c>
      <c r="E1855" s="1" t="s">
        <v>22</v>
      </c>
      <c r="F1855" s="1" t="s">
        <v>960</v>
      </c>
      <c r="G1855" s="1">
        <v>16</v>
      </c>
      <c r="H1855" s="1">
        <v>13.9</v>
      </c>
      <c r="I1855" s="1">
        <f t="shared" si="84"/>
        <v>222.4</v>
      </c>
      <c r="J1855" t="str">
        <f t="shared" si="85"/>
        <v>Low</v>
      </c>
      <c r="K1855" s="1"/>
      <c r="L1855" s="1">
        <v>0.08</v>
      </c>
      <c r="M1855" s="1">
        <v>7.59</v>
      </c>
      <c r="N1855" s="1" t="s">
        <v>33</v>
      </c>
      <c r="O1855" s="1" t="s">
        <v>84</v>
      </c>
      <c r="P1855" s="2">
        <v>41952</v>
      </c>
      <c r="Q1855" s="2" t="b">
        <f t="shared" si="86"/>
        <v>0</v>
      </c>
      <c r="V1855" s="2"/>
      <c r="W1855" s="2"/>
      <c r="X1855" s="2"/>
      <c r="Y1855" s="2"/>
      <c r="Z1855" s="2"/>
      <c r="AA1855" s="2"/>
      <c r="AB1855" s="2"/>
      <c r="AC1855" s="2"/>
      <c r="AD1855" s="2"/>
      <c r="AE1855" s="2"/>
      <c r="AF1855" s="2"/>
      <c r="AG1855" s="2"/>
      <c r="AH1855" s="2"/>
      <c r="AI1855" s="2"/>
    </row>
    <row r="1856" spans="1:35" ht="14.25" customHeight="1" x14ac:dyDescent="0.2">
      <c r="A1856" s="1">
        <v>31873</v>
      </c>
      <c r="B1856" s="1" t="s">
        <v>1548</v>
      </c>
      <c r="C1856" s="1" t="s">
        <v>51</v>
      </c>
      <c r="D1856" s="2">
        <v>41951</v>
      </c>
      <c r="E1856" s="1" t="s">
        <v>43</v>
      </c>
      <c r="F1856" s="1" t="s">
        <v>841</v>
      </c>
      <c r="G1856" s="1">
        <v>2</v>
      </c>
      <c r="H1856" s="1">
        <v>70.97</v>
      </c>
      <c r="I1856" s="1">
        <f t="shared" si="84"/>
        <v>141.94</v>
      </c>
      <c r="J1856" t="str">
        <f t="shared" si="85"/>
        <v>Low</v>
      </c>
      <c r="K1856" s="1"/>
      <c r="L1856" s="1">
        <v>0.05</v>
      </c>
      <c r="M1856" s="1">
        <v>3.5</v>
      </c>
      <c r="N1856" s="1" t="s">
        <v>33</v>
      </c>
      <c r="O1856" s="1" t="s">
        <v>34</v>
      </c>
      <c r="P1856" s="2">
        <v>41956</v>
      </c>
      <c r="Q1856" s="2" t="b">
        <f t="shared" si="86"/>
        <v>0</v>
      </c>
      <c r="V1856" s="2"/>
      <c r="W1856" s="2"/>
      <c r="X1856" s="2"/>
      <c r="Y1856" s="2"/>
      <c r="Z1856" s="2"/>
      <c r="AA1856" s="2"/>
      <c r="AB1856" s="2"/>
      <c r="AC1856" s="2"/>
      <c r="AD1856" s="2"/>
      <c r="AE1856" s="2"/>
      <c r="AF1856" s="2"/>
      <c r="AG1856" s="2"/>
      <c r="AH1856" s="2"/>
      <c r="AI1856" s="2"/>
    </row>
    <row r="1857" spans="1:35" ht="14.25" customHeight="1" x14ac:dyDescent="0.2">
      <c r="A1857" s="1">
        <v>31873</v>
      </c>
      <c r="B1857" s="1" t="s">
        <v>1548</v>
      </c>
      <c r="C1857" s="1" t="s">
        <v>30</v>
      </c>
      <c r="D1857" s="2">
        <v>41951</v>
      </c>
      <c r="E1857" s="1" t="s">
        <v>43</v>
      </c>
      <c r="F1857" s="1" t="s">
        <v>413</v>
      </c>
      <c r="G1857" s="1">
        <v>14</v>
      </c>
      <c r="H1857" s="1">
        <v>205.99</v>
      </c>
      <c r="I1857" s="1">
        <f t="shared" si="84"/>
        <v>2883.86</v>
      </c>
      <c r="J1857" t="str">
        <f t="shared" si="85"/>
        <v>High</v>
      </c>
      <c r="K1857" s="1"/>
      <c r="L1857" s="1">
        <v>0.06</v>
      </c>
      <c r="M1857" s="1">
        <v>8.99</v>
      </c>
      <c r="N1857" s="1" t="s">
        <v>33</v>
      </c>
      <c r="O1857" s="1" t="s">
        <v>34</v>
      </c>
      <c r="P1857" s="2">
        <v>41958</v>
      </c>
      <c r="Q1857" s="2" t="b">
        <f t="shared" si="86"/>
        <v>0</v>
      </c>
      <c r="V1857" s="2"/>
      <c r="W1857" s="2"/>
      <c r="X1857" s="2"/>
      <c r="Y1857" s="2"/>
      <c r="Z1857" s="2"/>
      <c r="AA1857" s="2"/>
      <c r="AB1857" s="2"/>
      <c r="AC1857" s="2"/>
      <c r="AD1857" s="2"/>
      <c r="AE1857" s="2"/>
      <c r="AF1857" s="2"/>
      <c r="AG1857" s="2"/>
      <c r="AH1857" s="2"/>
      <c r="AI1857" s="2"/>
    </row>
    <row r="1858" spans="1:35" ht="14.25" customHeight="1" x14ac:dyDescent="0.2">
      <c r="A1858" s="1">
        <v>31873</v>
      </c>
      <c r="B1858" s="1" t="s">
        <v>1548</v>
      </c>
      <c r="C1858" s="1" t="s">
        <v>51</v>
      </c>
      <c r="D1858" s="2">
        <v>41951</v>
      </c>
      <c r="E1858" s="1" t="s">
        <v>43</v>
      </c>
      <c r="F1858" s="1" t="s">
        <v>441</v>
      </c>
      <c r="G1858" s="1">
        <v>50</v>
      </c>
      <c r="H1858" s="1">
        <v>205.99</v>
      </c>
      <c r="I1858" s="1">
        <f t="shared" ref="I1858:I1921" si="87">G1858*H1858</f>
        <v>10299.5</v>
      </c>
      <c r="J1858" t="str">
        <f t="shared" ref="J1858:J1921" si="88">IF(I1858&lt;1000,"Low","High")</f>
        <v>High</v>
      </c>
      <c r="K1858" s="1"/>
      <c r="L1858" s="1">
        <v>0.06</v>
      </c>
      <c r="M1858" s="1">
        <v>8.99</v>
      </c>
      <c r="N1858" s="1" t="s">
        <v>33</v>
      </c>
      <c r="O1858" s="1" t="s">
        <v>34</v>
      </c>
      <c r="P1858" s="2">
        <v>41958</v>
      </c>
      <c r="Q1858" s="2" t="b">
        <f t="shared" ref="Q1858:Q1921" si="89">AND(N1858="Express Air",O1858="Large Box")</f>
        <v>0</v>
      </c>
      <c r="V1858" s="2"/>
      <c r="W1858" s="2"/>
      <c r="X1858" s="2"/>
      <c r="Y1858" s="2"/>
      <c r="Z1858" s="2"/>
      <c r="AA1858" s="2"/>
      <c r="AB1858" s="2"/>
      <c r="AC1858" s="2"/>
      <c r="AD1858" s="2"/>
      <c r="AE1858" s="2"/>
      <c r="AF1858" s="2"/>
      <c r="AG1858" s="2"/>
      <c r="AH1858" s="2"/>
      <c r="AI1858" s="2"/>
    </row>
    <row r="1859" spans="1:35" ht="14.25" customHeight="1" x14ac:dyDescent="0.2">
      <c r="A1859" s="1">
        <v>31873</v>
      </c>
      <c r="B1859" s="1" t="s">
        <v>1548</v>
      </c>
      <c r="C1859" s="1" t="s">
        <v>51</v>
      </c>
      <c r="D1859" s="2">
        <v>41951</v>
      </c>
      <c r="E1859" s="1" t="s">
        <v>43</v>
      </c>
      <c r="F1859" s="1" t="s">
        <v>1096</v>
      </c>
      <c r="G1859" s="1">
        <v>42</v>
      </c>
      <c r="H1859" s="1">
        <v>5.28</v>
      </c>
      <c r="I1859" s="1">
        <f t="shared" si="87"/>
        <v>221.76000000000002</v>
      </c>
      <c r="J1859" t="str">
        <f t="shared" si="88"/>
        <v>Low</v>
      </c>
      <c r="K1859" s="1"/>
      <c r="L1859" s="1">
        <v>0</v>
      </c>
      <c r="M1859" s="1">
        <v>6.26</v>
      </c>
      <c r="N1859" s="1" t="s">
        <v>33</v>
      </c>
      <c r="O1859" s="1" t="s">
        <v>34</v>
      </c>
      <c r="P1859" s="2">
        <v>41958</v>
      </c>
      <c r="Q1859" s="2" t="b">
        <f t="shared" si="89"/>
        <v>0</v>
      </c>
      <c r="V1859" s="2"/>
      <c r="W1859" s="2"/>
      <c r="X1859" s="2"/>
      <c r="Y1859" s="2"/>
      <c r="Z1859" s="2"/>
      <c r="AA1859" s="2"/>
      <c r="AB1859" s="2"/>
      <c r="AC1859" s="2"/>
      <c r="AD1859" s="2"/>
      <c r="AE1859" s="2"/>
      <c r="AF1859" s="2"/>
      <c r="AG1859" s="2"/>
      <c r="AH1859" s="2"/>
      <c r="AI1859" s="2"/>
    </row>
    <row r="1860" spans="1:35" ht="14.25" customHeight="1" x14ac:dyDescent="0.2">
      <c r="A1860" s="1">
        <v>38371</v>
      </c>
      <c r="B1860" s="1" t="s">
        <v>610</v>
      </c>
      <c r="C1860" s="1" t="s">
        <v>51</v>
      </c>
      <c r="D1860" s="2">
        <v>41951</v>
      </c>
      <c r="E1860" s="1" t="s">
        <v>22</v>
      </c>
      <c r="F1860" s="1" t="s">
        <v>371</v>
      </c>
      <c r="G1860" s="1">
        <v>24</v>
      </c>
      <c r="H1860" s="1">
        <v>83.1</v>
      </c>
      <c r="I1860" s="1">
        <f t="shared" si="87"/>
        <v>1994.3999999999999</v>
      </c>
      <c r="J1860" t="str">
        <f t="shared" si="88"/>
        <v>High</v>
      </c>
      <c r="K1860" s="1"/>
      <c r="L1860" s="1">
        <v>0.05</v>
      </c>
      <c r="M1860" s="1">
        <v>6.13</v>
      </c>
      <c r="N1860" s="1" t="s">
        <v>25</v>
      </c>
      <c r="O1860" s="1" t="s">
        <v>34</v>
      </c>
      <c r="P1860" s="2">
        <v>41952</v>
      </c>
      <c r="Q1860" s="2" t="b">
        <f t="shared" si="89"/>
        <v>0</v>
      </c>
      <c r="V1860" s="2"/>
      <c r="W1860" s="2"/>
      <c r="X1860" s="2"/>
      <c r="Y1860" s="2"/>
      <c r="Z1860" s="2"/>
      <c r="AA1860" s="2"/>
      <c r="AB1860" s="2"/>
      <c r="AC1860" s="2"/>
      <c r="AD1860" s="2"/>
      <c r="AE1860" s="2"/>
      <c r="AF1860" s="2"/>
      <c r="AG1860" s="2"/>
      <c r="AH1860" s="2"/>
      <c r="AI1860" s="2"/>
    </row>
    <row r="1861" spans="1:35" ht="14.25" customHeight="1" x14ac:dyDescent="0.2">
      <c r="A1861" s="1">
        <v>16679</v>
      </c>
      <c r="B1861" s="1" t="s">
        <v>739</v>
      </c>
      <c r="C1861" s="1" t="s">
        <v>21</v>
      </c>
      <c r="D1861" s="2">
        <v>41951</v>
      </c>
      <c r="E1861" s="1" t="s">
        <v>43</v>
      </c>
      <c r="F1861" s="1" t="s">
        <v>87</v>
      </c>
      <c r="G1861" s="1">
        <v>29</v>
      </c>
      <c r="H1861" s="1">
        <v>243.98</v>
      </c>
      <c r="I1861" s="1">
        <f t="shared" si="87"/>
        <v>7075.42</v>
      </c>
      <c r="J1861" t="str">
        <f t="shared" si="88"/>
        <v>High</v>
      </c>
      <c r="K1861" s="1"/>
      <c r="L1861" s="1">
        <v>0.09</v>
      </c>
      <c r="M1861" s="1">
        <v>43.32</v>
      </c>
      <c r="N1861" s="1" t="s">
        <v>45</v>
      </c>
      <c r="O1861" s="1" t="s">
        <v>46</v>
      </c>
      <c r="P1861" s="2">
        <v>41956</v>
      </c>
      <c r="Q1861" s="2" t="b">
        <f t="shared" si="89"/>
        <v>0</v>
      </c>
      <c r="V1861" s="2"/>
      <c r="W1861" s="2"/>
      <c r="X1861" s="2"/>
      <c r="Y1861" s="2"/>
      <c r="Z1861" s="2"/>
      <c r="AA1861" s="2"/>
      <c r="AB1861" s="2"/>
      <c r="AC1861" s="2"/>
      <c r="AD1861" s="2"/>
      <c r="AE1861" s="2"/>
      <c r="AF1861" s="2"/>
      <c r="AG1861" s="2"/>
      <c r="AH1861" s="2"/>
      <c r="AI1861" s="2"/>
    </row>
    <row r="1862" spans="1:35" ht="14.25" customHeight="1" x14ac:dyDescent="0.2">
      <c r="A1862" s="1">
        <v>46151</v>
      </c>
      <c r="B1862" s="1" t="s">
        <v>993</v>
      </c>
      <c r="C1862" s="1" t="s">
        <v>30</v>
      </c>
      <c r="D1862" s="2">
        <v>41951</v>
      </c>
      <c r="E1862" s="1" t="s">
        <v>38</v>
      </c>
      <c r="F1862" s="1" t="s">
        <v>222</v>
      </c>
      <c r="G1862" s="1">
        <v>23</v>
      </c>
      <c r="H1862" s="1">
        <v>8.6</v>
      </c>
      <c r="I1862" s="1">
        <f t="shared" si="87"/>
        <v>197.79999999999998</v>
      </c>
      <c r="J1862" t="str">
        <f t="shared" si="88"/>
        <v>Low</v>
      </c>
      <c r="K1862" s="1"/>
      <c r="L1862" s="1">
        <v>0.02</v>
      </c>
      <c r="M1862" s="1">
        <v>6.19</v>
      </c>
      <c r="N1862" s="1" t="s">
        <v>33</v>
      </c>
      <c r="O1862" s="1" t="s">
        <v>34</v>
      </c>
      <c r="P1862" s="2">
        <v>41953</v>
      </c>
      <c r="Q1862" s="2" t="b">
        <f t="shared" si="89"/>
        <v>0</v>
      </c>
      <c r="V1862" s="2"/>
      <c r="W1862" s="2"/>
      <c r="X1862" s="2"/>
      <c r="Y1862" s="2"/>
      <c r="Z1862" s="2"/>
      <c r="AA1862" s="2"/>
      <c r="AB1862" s="2"/>
      <c r="AC1862" s="2"/>
      <c r="AD1862" s="2"/>
      <c r="AE1862" s="2"/>
      <c r="AF1862" s="2"/>
      <c r="AG1862" s="2"/>
      <c r="AH1862" s="2"/>
      <c r="AI1862" s="2"/>
    </row>
    <row r="1863" spans="1:35" ht="14.25" customHeight="1" x14ac:dyDescent="0.2">
      <c r="A1863" s="1">
        <v>34788</v>
      </c>
      <c r="B1863" s="1" t="s">
        <v>566</v>
      </c>
      <c r="C1863" s="1" t="s">
        <v>51</v>
      </c>
      <c r="D1863" s="2">
        <v>41952</v>
      </c>
      <c r="E1863" s="1" t="s">
        <v>31</v>
      </c>
      <c r="F1863" s="1" t="s">
        <v>1126</v>
      </c>
      <c r="G1863" s="1">
        <v>4</v>
      </c>
      <c r="H1863" s="1">
        <v>5.98</v>
      </c>
      <c r="I1863" s="1">
        <f t="shared" si="87"/>
        <v>23.92</v>
      </c>
      <c r="J1863" t="str">
        <f t="shared" si="88"/>
        <v>Low</v>
      </c>
      <c r="K1863" s="1"/>
      <c r="L1863" s="1">
        <v>0.02</v>
      </c>
      <c r="M1863" s="1">
        <v>5.15</v>
      </c>
      <c r="N1863" s="1" t="s">
        <v>33</v>
      </c>
      <c r="O1863" s="1" t="s">
        <v>34</v>
      </c>
      <c r="P1863" s="2">
        <v>41954</v>
      </c>
      <c r="Q1863" s="2" t="b">
        <f t="shared" si="89"/>
        <v>0</v>
      </c>
      <c r="V1863" s="2"/>
      <c r="W1863" s="2"/>
      <c r="X1863" s="2"/>
      <c r="Y1863" s="2"/>
      <c r="Z1863" s="2"/>
      <c r="AA1863" s="2"/>
      <c r="AB1863" s="2"/>
      <c r="AC1863" s="2"/>
      <c r="AD1863" s="2"/>
      <c r="AE1863" s="2"/>
      <c r="AF1863" s="2"/>
      <c r="AG1863" s="2"/>
      <c r="AH1863" s="2"/>
      <c r="AI1863" s="2"/>
    </row>
    <row r="1864" spans="1:35" ht="14.25" customHeight="1" x14ac:dyDescent="0.2">
      <c r="A1864" s="1">
        <v>53508</v>
      </c>
      <c r="B1864" s="1" t="s">
        <v>367</v>
      </c>
      <c r="C1864" s="1" t="s">
        <v>30</v>
      </c>
      <c r="D1864" s="2">
        <v>41953</v>
      </c>
      <c r="E1864" s="1" t="s">
        <v>31</v>
      </c>
      <c r="F1864" s="1" t="s">
        <v>1288</v>
      </c>
      <c r="G1864" s="1">
        <v>13</v>
      </c>
      <c r="H1864" s="1">
        <v>80.98</v>
      </c>
      <c r="I1864" s="1">
        <f t="shared" si="87"/>
        <v>1052.74</v>
      </c>
      <c r="J1864" t="str">
        <f t="shared" si="88"/>
        <v>High</v>
      </c>
      <c r="K1864" s="1"/>
      <c r="L1864" s="1">
        <v>0.03</v>
      </c>
      <c r="M1864" s="1">
        <v>7.18</v>
      </c>
      <c r="N1864" s="1" t="s">
        <v>33</v>
      </c>
      <c r="O1864" s="1" t="s">
        <v>34</v>
      </c>
      <c r="P1864" s="2">
        <v>41955</v>
      </c>
      <c r="Q1864" s="2" t="b">
        <f t="shared" si="89"/>
        <v>0</v>
      </c>
      <c r="V1864" s="2"/>
      <c r="W1864" s="2"/>
      <c r="X1864" s="2"/>
      <c r="Y1864" s="2"/>
      <c r="Z1864" s="2"/>
      <c r="AA1864" s="2"/>
      <c r="AB1864" s="2"/>
      <c r="AC1864" s="2"/>
      <c r="AD1864" s="2"/>
      <c r="AE1864" s="2"/>
      <c r="AF1864" s="2"/>
      <c r="AG1864" s="2"/>
      <c r="AH1864" s="2"/>
      <c r="AI1864" s="2"/>
    </row>
    <row r="1865" spans="1:35" ht="14.25" customHeight="1" x14ac:dyDescent="0.2">
      <c r="A1865" s="1">
        <v>53508</v>
      </c>
      <c r="B1865" s="1" t="s">
        <v>367</v>
      </c>
      <c r="C1865" s="1" t="s">
        <v>51</v>
      </c>
      <c r="D1865" s="2">
        <v>41953</v>
      </c>
      <c r="E1865" s="1" t="s">
        <v>31</v>
      </c>
      <c r="F1865" s="1" t="s">
        <v>433</v>
      </c>
      <c r="G1865" s="1">
        <v>25</v>
      </c>
      <c r="H1865" s="1">
        <v>13.99</v>
      </c>
      <c r="I1865" s="1">
        <f t="shared" si="87"/>
        <v>349.75</v>
      </c>
      <c r="J1865" t="str">
        <f t="shared" si="88"/>
        <v>Low</v>
      </c>
      <c r="K1865" s="1"/>
      <c r="L1865" s="1">
        <v>0.06</v>
      </c>
      <c r="M1865" s="1">
        <v>7.51</v>
      </c>
      <c r="N1865" s="1" t="s">
        <v>33</v>
      </c>
      <c r="O1865" s="1" t="s">
        <v>72</v>
      </c>
      <c r="P1865" s="2">
        <v>41955</v>
      </c>
      <c r="Q1865" s="2" t="b">
        <f t="shared" si="89"/>
        <v>0</v>
      </c>
      <c r="V1865" s="2"/>
      <c r="W1865" s="2"/>
      <c r="X1865" s="2"/>
      <c r="Y1865" s="2"/>
      <c r="Z1865" s="2"/>
      <c r="AA1865" s="2"/>
      <c r="AB1865" s="2"/>
      <c r="AC1865" s="2"/>
      <c r="AD1865" s="2"/>
      <c r="AE1865" s="2"/>
      <c r="AF1865" s="2"/>
      <c r="AG1865" s="2"/>
      <c r="AH1865" s="2"/>
      <c r="AI1865" s="2"/>
    </row>
    <row r="1866" spans="1:35" ht="14.25" customHeight="1" x14ac:dyDescent="0.2">
      <c r="A1866" s="1">
        <v>53508</v>
      </c>
      <c r="B1866" s="1" t="s">
        <v>367</v>
      </c>
      <c r="C1866" s="1" t="s">
        <v>21</v>
      </c>
      <c r="D1866" s="2">
        <v>41953</v>
      </c>
      <c r="E1866" s="1" t="s">
        <v>31</v>
      </c>
      <c r="F1866" s="1" t="s">
        <v>56</v>
      </c>
      <c r="G1866" s="1">
        <v>4</v>
      </c>
      <c r="H1866" s="1">
        <v>15.04</v>
      </c>
      <c r="I1866" s="1">
        <f t="shared" si="87"/>
        <v>60.16</v>
      </c>
      <c r="J1866" t="str">
        <f t="shared" si="88"/>
        <v>Low</v>
      </c>
      <c r="K1866" s="1"/>
      <c r="L1866" s="1">
        <v>0.06</v>
      </c>
      <c r="M1866" s="1">
        <v>1.97</v>
      </c>
      <c r="N1866" s="1" t="s">
        <v>33</v>
      </c>
      <c r="O1866" s="1" t="s">
        <v>55</v>
      </c>
      <c r="P1866" s="2">
        <v>41953</v>
      </c>
      <c r="Q1866" s="2" t="b">
        <f t="shared" si="89"/>
        <v>0</v>
      </c>
      <c r="V1866" s="2"/>
      <c r="W1866" s="2"/>
      <c r="X1866" s="2"/>
      <c r="Y1866" s="2"/>
      <c r="Z1866" s="2"/>
      <c r="AA1866" s="2"/>
      <c r="AB1866" s="2"/>
      <c r="AC1866" s="2"/>
      <c r="AD1866" s="2"/>
      <c r="AE1866" s="2"/>
      <c r="AF1866" s="2"/>
      <c r="AG1866" s="2"/>
      <c r="AH1866" s="2"/>
      <c r="AI1866" s="2"/>
    </row>
    <row r="1867" spans="1:35" ht="14.25" customHeight="1" x14ac:dyDescent="0.2">
      <c r="A1867" s="1">
        <v>41415</v>
      </c>
      <c r="B1867" s="1" t="s">
        <v>317</v>
      </c>
      <c r="C1867" s="1" t="s">
        <v>30</v>
      </c>
      <c r="D1867" s="2">
        <v>41953</v>
      </c>
      <c r="E1867" s="1" t="s">
        <v>43</v>
      </c>
      <c r="F1867" s="1" t="s">
        <v>99</v>
      </c>
      <c r="G1867" s="1">
        <v>10</v>
      </c>
      <c r="H1867" s="1">
        <v>7.64</v>
      </c>
      <c r="I1867" s="1">
        <f t="shared" si="87"/>
        <v>76.399999999999991</v>
      </c>
      <c r="J1867" t="str">
        <f t="shared" si="88"/>
        <v>Low</v>
      </c>
      <c r="K1867" s="1"/>
      <c r="L1867" s="1">
        <v>0.09</v>
      </c>
      <c r="M1867" s="1">
        <v>5.83</v>
      </c>
      <c r="N1867" s="1" t="s">
        <v>33</v>
      </c>
      <c r="O1867" s="1" t="s">
        <v>55</v>
      </c>
      <c r="P1867" s="2">
        <v>41958</v>
      </c>
      <c r="Q1867" s="2" t="b">
        <f t="shared" si="89"/>
        <v>0</v>
      </c>
      <c r="V1867" s="2"/>
      <c r="W1867" s="2"/>
      <c r="X1867" s="2"/>
      <c r="Y1867" s="2"/>
      <c r="Z1867" s="2"/>
      <c r="AA1867" s="2"/>
      <c r="AB1867" s="2"/>
      <c r="AC1867" s="2"/>
      <c r="AD1867" s="2"/>
      <c r="AE1867" s="2"/>
      <c r="AF1867" s="2"/>
      <c r="AG1867" s="2"/>
      <c r="AH1867" s="2"/>
      <c r="AI1867" s="2"/>
    </row>
    <row r="1868" spans="1:35" ht="14.25" customHeight="1" x14ac:dyDescent="0.2">
      <c r="A1868" s="1">
        <v>46848</v>
      </c>
      <c r="B1868" s="1" t="s">
        <v>1237</v>
      </c>
      <c r="C1868" s="1" t="s">
        <v>30</v>
      </c>
      <c r="D1868" s="2">
        <v>41953</v>
      </c>
      <c r="E1868" s="1" t="s">
        <v>101</v>
      </c>
      <c r="F1868" s="1" t="s">
        <v>1374</v>
      </c>
      <c r="G1868" s="1">
        <v>39</v>
      </c>
      <c r="H1868" s="1">
        <v>95.43</v>
      </c>
      <c r="I1868" s="1">
        <f t="shared" si="87"/>
        <v>3721.7700000000004</v>
      </c>
      <c r="J1868" t="str">
        <f t="shared" si="88"/>
        <v>High</v>
      </c>
      <c r="K1868" s="1"/>
      <c r="L1868" s="1">
        <v>0.04</v>
      </c>
      <c r="M1868" s="1">
        <v>19.989999999999998</v>
      </c>
      <c r="N1868" s="1" t="s">
        <v>33</v>
      </c>
      <c r="O1868" s="1" t="s">
        <v>34</v>
      </c>
      <c r="P1868" s="2">
        <v>41955</v>
      </c>
      <c r="Q1868" s="2" t="b">
        <f t="shared" si="89"/>
        <v>0</v>
      </c>
      <c r="V1868" s="2"/>
      <c r="W1868" s="2"/>
      <c r="X1868" s="2"/>
      <c r="Y1868" s="2"/>
      <c r="Z1868" s="2"/>
      <c r="AA1868" s="2"/>
      <c r="AB1868" s="2"/>
      <c r="AC1868" s="2"/>
      <c r="AD1868" s="2"/>
      <c r="AE1868" s="2"/>
      <c r="AF1868" s="2"/>
      <c r="AG1868" s="2"/>
      <c r="AH1868" s="2"/>
      <c r="AI1868" s="2"/>
    </row>
    <row r="1869" spans="1:35" ht="14.25" customHeight="1" x14ac:dyDescent="0.2">
      <c r="A1869" s="1">
        <v>37025</v>
      </c>
      <c r="B1869" s="1" t="s">
        <v>117</v>
      </c>
      <c r="C1869" s="1" t="s">
        <v>51</v>
      </c>
      <c r="D1869" s="2">
        <v>41953</v>
      </c>
      <c r="E1869" s="1" t="s">
        <v>31</v>
      </c>
      <c r="F1869" s="1" t="s">
        <v>1180</v>
      </c>
      <c r="G1869" s="1">
        <v>37</v>
      </c>
      <c r="H1869" s="1">
        <v>17.48</v>
      </c>
      <c r="I1869" s="1">
        <f t="shared" si="87"/>
        <v>646.76</v>
      </c>
      <c r="J1869" t="str">
        <f t="shared" si="88"/>
        <v>Low</v>
      </c>
      <c r="K1869" s="1"/>
      <c r="L1869" s="1">
        <v>0.03</v>
      </c>
      <c r="M1869" s="1">
        <v>1.99</v>
      </c>
      <c r="N1869" s="1" t="s">
        <v>33</v>
      </c>
      <c r="O1869" s="1" t="s">
        <v>84</v>
      </c>
      <c r="P1869" s="2">
        <v>41954</v>
      </c>
      <c r="Q1869" s="2" t="b">
        <f t="shared" si="89"/>
        <v>0</v>
      </c>
      <c r="V1869" s="2"/>
      <c r="W1869" s="2"/>
      <c r="X1869" s="2"/>
      <c r="Y1869" s="2"/>
      <c r="Z1869" s="2"/>
      <c r="AA1869" s="2"/>
      <c r="AB1869" s="2"/>
      <c r="AC1869" s="2"/>
      <c r="AD1869" s="2"/>
      <c r="AE1869" s="2"/>
      <c r="AF1869" s="2"/>
      <c r="AG1869" s="2"/>
      <c r="AH1869" s="2"/>
      <c r="AI1869" s="2"/>
    </row>
    <row r="1870" spans="1:35" ht="14.25" customHeight="1" x14ac:dyDescent="0.2">
      <c r="A1870" s="1">
        <v>56706</v>
      </c>
      <c r="B1870" s="1" t="s">
        <v>1549</v>
      </c>
      <c r="C1870" s="1" t="s">
        <v>30</v>
      </c>
      <c r="D1870" s="2">
        <v>41953</v>
      </c>
      <c r="E1870" s="1" t="s">
        <v>31</v>
      </c>
      <c r="F1870" s="1" t="s">
        <v>604</v>
      </c>
      <c r="G1870" s="1">
        <v>7</v>
      </c>
      <c r="H1870" s="1">
        <v>99.99</v>
      </c>
      <c r="I1870" s="1">
        <f t="shared" si="87"/>
        <v>699.93</v>
      </c>
      <c r="J1870" t="str">
        <f t="shared" si="88"/>
        <v>Low</v>
      </c>
      <c r="K1870" s="1"/>
      <c r="L1870" s="1">
        <v>0</v>
      </c>
      <c r="M1870" s="1">
        <v>19.989999999999998</v>
      </c>
      <c r="N1870" s="1" t="s">
        <v>33</v>
      </c>
      <c r="O1870" s="1" t="s">
        <v>34</v>
      </c>
      <c r="P1870" s="2">
        <v>41954</v>
      </c>
      <c r="Q1870" s="2" t="b">
        <f t="shared" si="89"/>
        <v>0</v>
      </c>
      <c r="V1870" s="2"/>
      <c r="W1870" s="2"/>
      <c r="X1870" s="2"/>
      <c r="Y1870" s="2"/>
      <c r="Z1870" s="2"/>
      <c r="AA1870" s="2"/>
      <c r="AB1870" s="2"/>
      <c r="AC1870" s="2"/>
      <c r="AD1870" s="2"/>
      <c r="AE1870" s="2"/>
      <c r="AF1870" s="2"/>
      <c r="AG1870" s="2"/>
      <c r="AH1870" s="2"/>
      <c r="AI1870" s="2"/>
    </row>
    <row r="1871" spans="1:35" ht="14.25" customHeight="1" x14ac:dyDescent="0.2">
      <c r="A1871" s="1">
        <v>21922</v>
      </c>
      <c r="B1871" s="1" t="s">
        <v>1550</v>
      </c>
      <c r="C1871" s="1" t="s">
        <v>30</v>
      </c>
      <c r="D1871" s="2">
        <v>41954</v>
      </c>
      <c r="E1871" s="1" t="s">
        <v>31</v>
      </c>
      <c r="F1871" s="1" t="s">
        <v>1265</v>
      </c>
      <c r="G1871" s="1">
        <v>17</v>
      </c>
      <c r="H1871" s="1">
        <v>500.98</v>
      </c>
      <c r="I1871" s="1">
        <f t="shared" si="87"/>
        <v>8516.66</v>
      </c>
      <c r="J1871" t="str">
        <f t="shared" si="88"/>
        <v>High</v>
      </c>
      <c r="K1871" s="1"/>
      <c r="L1871" s="1">
        <v>0.01</v>
      </c>
      <c r="M1871" s="1">
        <v>26</v>
      </c>
      <c r="N1871" s="1" t="s">
        <v>45</v>
      </c>
      <c r="O1871" s="1" t="s">
        <v>46</v>
      </c>
      <c r="P1871" s="2">
        <v>41955</v>
      </c>
      <c r="Q1871" s="2" t="b">
        <f t="shared" si="89"/>
        <v>0</v>
      </c>
      <c r="V1871" s="2"/>
      <c r="W1871" s="2"/>
      <c r="X1871" s="2"/>
      <c r="Y1871" s="2"/>
      <c r="Z1871" s="2"/>
      <c r="AA1871" s="2"/>
      <c r="AB1871" s="2"/>
      <c r="AC1871" s="2"/>
      <c r="AD1871" s="2"/>
      <c r="AE1871" s="2"/>
      <c r="AF1871" s="2"/>
      <c r="AG1871" s="2"/>
      <c r="AH1871" s="2"/>
      <c r="AI1871" s="2"/>
    </row>
    <row r="1872" spans="1:35" ht="14.25" customHeight="1" x14ac:dyDescent="0.2">
      <c r="A1872" s="1">
        <v>21922</v>
      </c>
      <c r="B1872" s="1" t="s">
        <v>1550</v>
      </c>
      <c r="C1872" s="1" t="s">
        <v>30</v>
      </c>
      <c r="D1872" s="2">
        <v>41954</v>
      </c>
      <c r="E1872" s="1" t="s">
        <v>31</v>
      </c>
      <c r="F1872" s="1" t="s">
        <v>813</v>
      </c>
      <c r="G1872" s="1">
        <v>11</v>
      </c>
      <c r="H1872" s="1">
        <v>9.77</v>
      </c>
      <c r="I1872" s="1">
        <f t="shared" si="87"/>
        <v>107.47</v>
      </c>
      <c r="J1872" t="str">
        <f t="shared" si="88"/>
        <v>Low</v>
      </c>
      <c r="K1872" s="1"/>
      <c r="L1872" s="1">
        <v>0.08</v>
      </c>
      <c r="M1872" s="1">
        <v>6.02</v>
      </c>
      <c r="N1872" s="1" t="s">
        <v>33</v>
      </c>
      <c r="O1872" s="1" t="s">
        <v>72</v>
      </c>
      <c r="P1872" s="2">
        <v>41955</v>
      </c>
      <c r="Q1872" s="2" t="b">
        <f t="shared" si="89"/>
        <v>0</v>
      </c>
      <c r="V1872" s="2"/>
      <c r="W1872" s="2"/>
      <c r="X1872" s="2"/>
      <c r="Y1872" s="2"/>
      <c r="Z1872" s="2"/>
      <c r="AA1872" s="2"/>
      <c r="AB1872" s="2"/>
      <c r="AC1872" s="2"/>
      <c r="AD1872" s="2"/>
      <c r="AE1872" s="2"/>
      <c r="AF1872" s="2"/>
      <c r="AG1872" s="2"/>
      <c r="AH1872" s="2"/>
      <c r="AI1872" s="2"/>
    </row>
    <row r="1873" spans="1:35" ht="14.25" customHeight="1" x14ac:dyDescent="0.2">
      <c r="A1873" s="1">
        <v>21922</v>
      </c>
      <c r="B1873" s="1" t="s">
        <v>1550</v>
      </c>
      <c r="C1873" s="1" t="s">
        <v>51</v>
      </c>
      <c r="D1873" s="2">
        <v>41954</v>
      </c>
      <c r="E1873" s="1" t="s">
        <v>31</v>
      </c>
      <c r="F1873" s="1" t="s">
        <v>1551</v>
      </c>
      <c r="G1873" s="1">
        <v>49</v>
      </c>
      <c r="H1873" s="1">
        <v>3.28</v>
      </c>
      <c r="I1873" s="1">
        <f t="shared" si="87"/>
        <v>160.72</v>
      </c>
      <c r="J1873" t="str">
        <f t="shared" si="88"/>
        <v>Low</v>
      </c>
      <c r="K1873" s="1"/>
      <c r="L1873" s="1">
        <v>0.09</v>
      </c>
      <c r="M1873" s="1">
        <v>0.98</v>
      </c>
      <c r="N1873" s="1" t="s">
        <v>33</v>
      </c>
      <c r="O1873" s="1" t="s">
        <v>55</v>
      </c>
      <c r="P1873" s="2">
        <v>41956</v>
      </c>
      <c r="Q1873" s="2" t="b">
        <f t="shared" si="89"/>
        <v>0</v>
      </c>
      <c r="V1873" s="2"/>
      <c r="W1873" s="2"/>
      <c r="X1873" s="2"/>
      <c r="Y1873" s="2"/>
      <c r="Z1873" s="2"/>
      <c r="AA1873" s="2"/>
      <c r="AB1873" s="2"/>
      <c r="AC1873" s="2"/>
      <c r="AD1873" s="2"/>
      <c r="AE1873" s="2"/>
      <c r="AF1873" s="2"/>
      <c r="AG1873" s="2"/>
      <c r="AH1873" s="2"/>
      <c r="AI1873" s="2"/>
    </row>
    <row r="1874" spans="1:35" ht="14.25" customHeight="1" x14ac:dyDescent="0.2">
      <c r="A1874" s="1">
        <v>10562</v>
      </c>
      <c r="B1874" s="1" t="s">
        <v>151</v>
      </c>
      <c r="C1874" s="1" t="s">
        <v>21</v>
      </c>
      <c r="D1874" s="2">
        <v>41954</v>
      </c>
      <c r="E1874" s="1" t="s">
        <v>22</v>
      </c>
      <c r="F1874" s="1" t="s">
        <v>23</v>
      </c>
      <c r="G1874" s="1">
        <v>10</v>
      </c>
      <c r="H1874" s="1">
        <v>95.99</v>
      </c>
      <c r="I1874" s="1">
        <f t="shared" si="87"/>
        <v>959.9</v>
      </c>
      <c r="J1874" t="str">
        <f t="shared" si="88"/>
        <v>Low</v>
      </c>
      <c r="K1874" s="1"/>
      <c r="L1874" s="1">
        <v>0.03</v>
      </c>
      <c r="M1874" s="1">
        <v>35</v>
      </c>
      <c r="N1874" s="1" t="s">
        <v>33</v>
      </c>
      <c r="O1874" s="1" t="s">
        <v>26</v>
      </c>
      <c r="P1874" s="2">
        <v>41955</v>
      </c>
      <c r="Q1874" s="2" t="b">
        <f t="shared" si="89"/>
        <v>0</v>
      </c>
      <c r="V1874" s="2"/>
      <c r="W1874" s="2"/>
      <c r="X1874" s="2"/>
      <c r="Y1874" s="2"/>
      <c r="Z1874" s="2"/>
      <c r="AA1874" s="2"/>
      <c r="AB1874" s="2"/>
      <c r="AC1874" s="2"/>
      <c r="AD1874" s="2"/>
      <c r="AE1874" s="2"/>
      <c r="AF1874" s="2"/>
      <c r="AG1874" s="2"/>
      <c r="AH1874" s="2"/>
      <c r="AI1874" s="2"/>
    </row>
    <row r="1875" spans="1:35" ht="14.25" customHeight="1" x14ac:dyDescent="0.2">
      <c r="A1875" s="1">
        <v>42144</v>
      </c>
      <c r="B1875" s="1" t="s">
        <v>1203</v>
      </c>
      <c r="C1875" s="1" t="s">
        <v>51</v>
      </c>
      <c r="D1875" s="2">
        <v>41955</v>
      </c>
      <c r="E1875" s="1" t="s">
        <v>101</v>
      </c>
      <c r="F1875" s="1" t="s">
        <v>1062</v>
      </c>
      <c r="G1875" s="1">
        <v>10</v>
      </c>
      <c r="H1875" s="1">
        <v>64.650000000000006</v>
      </c>
      <c r="I1875" s="1">
        <f t="shared" si="87"/>
        <v>646.5</v>
      </c>
      <c r="J1875" t="str">
        <f t="shared" si="88"/>
        <v>Low</v>
      </c>
      <c r="K1875" s="1"/>
      <c r="L1875" s="1">
        <v>0.01</v>
      </c>
      <c r="M1875" s="1">
        <v>35</v>
      </c>
      <c r="N1875" s="1" t="s">
        <v>25</v>
      </c>
      <c r="O1875" s="1" t="s">
        <v>26</v>
      </c>
      <c r="P1875" s="2">
        <v>41957</v>
      </c>
      <c r="Q1875" s="2" t="b">
        <f t="shared" si="89"/>
        <v>1</v>
      </c>
      <c r="V1875" s="2"/>
      <c r="W1875" s="2"/>
      <c r="X1875" s="2"/>
      <c r="Y1875" s="2"/>
      <c r="Z1875" s="2"/>
      <c r="AA1875" s="2"/>
      <c r="AB1875" s="2"/>
      <c r="AC1875" s="2"/>
      <c r="AD1875" s="2"/>
      <c r="AE1875" s="2"/>
      <c r="AF1875" s="2"/>
      <c r="AG1875" s="2"/>
      <c r="AH1875" s="2"/>
      <c r="AI1875" s="2"/>
    </row>
    <row r="1876" spans="1:35" ht="14.25" customHeight="1" x14ac:dyDescent="0.2">
      <c r="A1876" s="1">
        <v>51392</v>
      </c>
      <c r="B1876" s="1" t="s">
        <v>1552</v>
      </c>
      <c r="C1876" s="1" t="s">
        <v>21</v>
      </c>
      <c r="D1876" s="2">
        <v>41955</v>
      </c>
      <c r="E1876" s="1" t="s">
        <v>101</v>
      </c>
      <c r="F1876" s="1" t="s">
        <v>1553</v>
      </c>
      <c r="G1876" s="1">
        <v>10</v>
      </c>
      <c r="H1876" s="1">
        <v>26.31</v>
      </c>
      <c r="I1876" s="1">
        <f t="shared" si="87"/>
        <v>263.09999999999997</v>
      </c>
      <c r="J1876" t="str">
        <f t="shared" si="88"/>
        <v>Low</v>
      </c>
      <c r="K1876" s="1"/>
      <c r="L1876" s="1">
        <v>0.09</v>
      </c>
      <c r="M1876" s="1">
        <v>5.89</v>
      </c>
      <c r="N1876" s="1" t="s">
        <v>33</v>
      </c>
      <c r="O1876" s="1" t="s">
        <v>34</v>
      </c>
      <c r="P1876" s="2">
        <v>41956</v>
      </c>
      <c r="Q1876" s="2" t="b">
        <f t="shared" si="89"/>
        <v>0</v>
      </c>
      <c r="V1876" s="2"/>
      <c r="W1876" s="2"/>
      <c r="X1876" s="2"/>
      <c r="Y1876" s="2"/>
      <c r="Z1876" s="2"/>
      <c r="AA1876" s="2"/>
      <c r="AB1876" s="2"/>
      <c r="AC1876" s="2"/>
      <c r="AD1876" s="2"/>
      <c r="AE1876" s="2"/>
      <c r="AF1876" s="2"/>
      <c r="AG1876" s="2"/>
      <c r="AH1876" s="2"/>
      <c r="AI1876" s="2"/>
    </row>
    <row r="1877" spans="1:35" ht="14.25" customHeight="1" x14ac:dyDescent="0.2">
      <c r="A1877" s="1">
        <v>28583</v>
      </c>
      <c r="B1877" s="1" t="s">
        <v>889</v>
      </c>
      <c r="C1877" s="1" t="s">
        <v>30</v>
      </c>
      <c r="D1877" s="2">
        <v>41955</v>
      </c>
      <c r="E1877" s="1" t="s">
        <v>38</v>
      </c>
      <c r="F1877" s="1" t="s">
        <v>1554</v>
      </c>
      <c r="G1877" s="1">
        <v>25</v>
      </c>
      <c r="H1877" s="1">
        <v>223.98</v>
      </c>
      <c r="I1877" s="1">
        <f t="shared" si="87"/>
        <v>5599.5</v>
      </c>
      <c r="J1877" t="str">
        <f t="shared" si="88"/>
        <v>High</v>
      </c>
      <c r="K1877" s="1"/>
      <c r="L1877" s="1">
        <v>0.03</v>
      </c>
      <c r="M1877" s="1">
        <v>15.01</v>
      </c>
      <c r="N1877" s="1" t="s">
        <v>33</v>
      </c>
      <c r="O1877" s="1" t="s">
        <v>34</v>
      </c>
      <c r="P1877" s="2">
        <v>41956</v>
      </c>
      <c r="Q1877" s="2" t="b">
        <f t="shared" si="89"/>
        <v>0</v>
      </c>
      <c r="V1877" s="2"/>
      <c r="W1877" s="2"/>
      <c r="X1877" s="2"/>
      <c r="Y1877" s="2"/>
      <c r="Z1877" s="2"/>
      <c r="AA1877" s="2"/>
      <c r="AB1877" s="2"/>
      <c r="AC1877" s="2"/>
      <c r="AD1877" s="2"/>
      <c r="AE1877" s="2"/>
      <c r="AF1877" s="2"/>
      <c r="AG1877" s="2"/>
      <c r="AH1877" s="2"/>
      <c r="AI1877" s="2"/>
    </row>
    <row r="1878" spans="1:35" ht="14.25" customHeight="1" x14ac:dyDescent="0.2">
      <c r="A1878" s="1">
        <v>27463</v>
      </c>
      <c r="B1878" s="1" t="s">
        <v>678</v>
      </c>
      <c r="C1878" s="1" t="s">
        <v>51</v>
      </c>
      <c r="D1878" s="2">
        <v>41956</v>
      </c>
      <c r="E1878" s="1" t="s">
        <v>101</v>
      </c>
      <c r="F1878" s="1" t="s">
        <v>1136</v>
      </c>
      <c r="G1878" s="1">
        <v>31</v>
      </c>
      <c r="H1878" s="1">
        <v>25.38</v>
      </c>
      <c r="I1878" s="1">
        <f t="shared" si="87"/>
        <v>786.78</v>
      </c>
      <c r="J1878" t="str">
        <f t="shared" si="88"/>
        <v>Low</v>
      </c>
      <c r="K1878" s="1"/>
      <c r="L1878" s="1">
        <v>0</v>
      </c>
      <c r="M1878" s="1">
        <v>8.99</v>
      </c>
      <c r="N1878" s="1" t="s">
        <v>33</v>
      </c>
      <c r="O1878" s="1" t="s">
        <v>84</v>
      </c>
      <c r="P1878" s="2">
        <v>41958</v>
      </c>
      <c r="Q1878" s="2" t="b">
        <f t="shared" si="89"/>
        <v>0</v>
      </c>
      <c r="V1878" s="2"/>
      <c r="W1878" s="2"/>
      <c r="X1878" s="2"/>
      <c r="Y1878" s="2"/>
      <c r="Z1878" s="2"/>
      <c r="AA1878" s="2"/>
      <c r="AB1878" s="2"/>
      <c r="AC1878" s="2"/>
      <c r="AD1878" s="2"/>
      <c r="AE1878" s="2"/>
      <c r="AF1878" s="2"/>
      <c r="AG1878" s="2"/>
      <c r="AH1878" s="2"/>
      <c r="AI1878" s="2"/>
    </row>
    <row r="1879" spans="1:35" ht="14.25" customHeight="1" x14ac:dyDescent="0.2">
      <c r="A1879" s="1">
        <v>27463</v>
      </c>
      <c r="B1879" s="1" t="s">
        <v>678</v>
      </c>
      <c r="C1879" s="1" t="s">
        <v>30</v>
      </c>
      <c r="D1879" s="2">
        <v>41956</v>
      </c>
      <c r="E1879" s="1" t="s">
        <v>101</v>
      </c>
      <c r="F1879" s="1" t="s">
        <v>966</v>
      </c>
      <c r="G1879" s="1">
        <v>10</v>
      </c>
      <c r="H1879" s="1">
        <v>4.9800000000000004</v>
      </c>
      <c r="I1879" s="1">
        <f t="shared" si="87"/>
        <v>49.800000000000004</v>
      </c>
      <c r="J1879" t="str">
        <f t="shared" si="88"/>
        <v>Low</v>
      </c>
      <c r="K1879" s="1"/>
      <c r="L1879" s="1">
        <v>0.01</v>
      </c>
      <c r="M1879" s="1">
        <v>4.72</v>
      </c>
      <c r="N1879" s="1" t="s">
        <v>33</v>
      </c>
      <c r="O1879" s="1" t="s">
        <v>34</v>
      </c>
      <c r="P1879" s="2">
        <v>41957</v>
      </c>
      <c r="Q1879" s="2" t="b">
        <f t="shared" si="89"/>
        <v>0</v>
      </c>
      <c r="V1879" s="2"/>
      <c r="W1879" s="2"/>
      <c r="X1879" s="2"/>
      <c r="Y1879" s="2"/>
      <c r="Z1879" s="2"/>
      <c r="AA1879" s="2"/>
      <c r="AB1879" s="2"/>
      <c r="AC1879" s="2"/>
      <c r="AD1879" s="2"/>
      <c r="AE1879" s="2"/>
      <c r="AF1879" s="2"/>
      <c r="AG1879" s="2"/>
      <c r="AH1879" s="2"/>
      <c r="AI1879" s="2"/>
    </row>
    <row r="1880" spans="1:35" ht="14.25" customHeight="1" x14ac:dyDescent="0.2">
      <c r="A1880" s="1">
        <v>20263</v>
      </c>
      <c r="B1880" s="1" t="s">
        <v>1223</v>
      </c>
      <c r="C1880" s="1" t="s">
        <v>21</v>
      </c>
      <c r="D1880" s="2">
        <v>41957</v>
      </c>
      <c r="E1880" s="1" t="s">
        <v>101</v>
      </c>
      <c r="F1880" s="1" t="s">
        <v>1555</v>
      </c>
      <c r="G1880" s="1">
        <v>8</v>
      </c>
      <c r="H1880" s="1">
        <v>59.78</v>
      </c>
      <c r="I1880" s="1">
        <f t="shared" si="87"/>
        <v>478.24</v>
      </c>
      <c r="J1880" t="str">
        <f t="shared" si="88"/>
        <v>Low</v>
      </c>
      <c r="K1880" s="1"/>
      <c r="L1880" s="1">
        <v>0.05</v>
      </c>
      <c r="M1880" s="1">
        <v>10.29</v>
      </c>
      <c r="N1880" s="1" t="s">
        <v>33</v>
      </c>
      <c r="O1880" s="1" t="s">
        <v>34</v>
      </c>
      <c r="P1880" s="2">
        <v>41958</v>
      </c>
      <c r="Q1880" s="2" t="b">
        <f t="shared" si="89"/>
        <v>0</v>
      </c>
      <c r="V1880" s="2"/>
      <c r="W1880" s="2"/>
      <c r="X1880" s="2"/>
      <c r="Y1880" s="2"/>
      <c r="Z1880" s="2"/>
      <c r="AA1880" s="2"/>
      <c r="AB1880" s="2"/>
      <c r="AC1880" s="2"/>
      <c r="AD1880" s="2"/>
      <c r="AE1880" s="2"/>
      <c r="AF1880" s="2"/>
      <c r="AG1880" s="2"/>
      <c r="AH1880" s="2"/>
      <c r="AI1880" s="2"/>
    </row>
    <row r="1881" spans="1:35" ht="14.25" customHeight="1" x14ac:dyDescent="0.2">
      <c r="A1881" s="1">
        <v>20263</v>
      </c>
      <c r="B1881" s="1" t="s">
        <v>1223</v>
      </c>
      <c r="C1881" s="1" t="s">
        <v>30</v>
      </c>
      <c r="D1881" s="2">
        <v>41957</v>
      </c>
      <c r="E1881" s="1" t="s">
        <v>101</v>
      </c>
      <c r="F1881" s="1" t="s">
        <v>1556</v>
      </c>
      <c r="G1881" s="1">
        <v>33</v>
      </c>
      <c r="H1881" s="1">
        <v>20.99</v>
      </c>
      <c r="I1881" s="1">
        <f t="shared" si="87"/>
        <v>692.67</v>
      </c>
      <c r="J1881" t="str">
        <f t="shared" si="88"/>
        <v>Low</v>
      </c>
      <c r="K1881" s="1"/>
      <c r="L1881" s="1">
        <v>0.08</v>
      </c>
      <c r="M1881" s="1">
        <v>1.25</v>
      </c>
      <c r="N1881" s="1" t="s">
        <v>33</v>
      </c>
      <c r="O1881" s="1" t="s">
        <v>84</v>
      </c>
      <c r="P1881" s="2">
        <v>41959</v>
      </c>
      <c r="Q1881" s="2" t="b">
        <f t="shared" si="89"/>
        <v>0</v>
      </c>
      <c r="V1881" s="2"/>
      <c r="W1881" s="2"/>
      <c r="X1881" s="2"/>
      <c r="Y1881" s="2"/>
      <c r="Z1881" s="2"/>
      <c r="AA1881" s="2"/>
      <c r="AB1881" s="2"/>
      <c r="AC1881" s="2"/>
      <c r="AD1881" s="2"/>
      <c r="AE1881" s="2"/>
      <c r="AF1881" s="2"/>
      <c r="AG1881" s="2"/>
      <c r="AH1881" s="2"/>
      <c r="AI1881" s="2"/>
    </row>
    <row r="1882" spans="1:35" ht="14.25" customHeight="1" x14ac:dyDescent="0.2">
      <c r="A1882" s="1">
        <v>47943</v>
      </c>
      <c r="B1882" s="1" t="s">
        <v>1416</v>
      </c>
      <c r="C1882" s="1" t="s">
        <v>21</v>
      </c>
      <c r="D1882" s="2">
        <v>41957</v>
      </c>
      <c r="E1882" s="1" t="s">
        <v>101</v>
      </c>
      <c r="F1882" s="1" t="s">
        <v>1557</v>
      </c>
      <c r="G1882" s="1">
        <v>12</v>
      </c>
      <c r="H1882" s="1">
        <v>4.91</v>
      </c>
      <c r="I1882" s="1">
        <f t="shared" si="87"/>
        <v>58.92</v>
      </c>
      <c r="J1882" t="str">
        <f t="shared" si="88"/>
        <v>Low</v>
      </c>
      <c r="K1882" s="1"/>
      <c r="L1882" s="1">
        <v>0.04</v>
      </c>
      <c r="M1882" s="1">
        <v>0.5</v>
      </c>
      <c r="N1882" s="1" t="s">
        <v>33</v>
      </c>
      <c r="O1882" s="1" t="s">
        <v>34</v>
      </c>
      <c r="P1882" s="2">
        <v>41957</v>
      </c>
      <c r="Q1882" s="2" t="b">
        <f t="shared" si="89"/>
        <v>0</v>
      </c>
      <c r="V1882" s="2"/>
      <c r="W1882" s="2"/>
      <c r="X1882" s="2"/>
      <c r="Y1882" s="2"/>
      <c r="Z1882" s="2"/>
      <c r="AA1882" s="2"/>
      <c r="AB1882" s="2"/>
      <c r="AC1882" s="2"/>
      <c r="AD1882" s="2"/>
      <c r="AE1882" s="2"/>
      <c r="AF1882" s="2"/>
      <c r="AG1882" s="2"/>
      <c r="AH1882" s="2"/>
      <c r="AI1882" s="2"/>
    </row>
    <row r="1883" spans="1:35" ht="14.25" customHeight="1" x14ac:dyDescent="0.2">
      <c r="A1883" s="1">
        <v>47943</v>
      </c>
      <c r="B1883" s="1" t="s">
        <v>1416</v>
      </c>
      <c r="C1883" s="1" t="s">
        <v>21</v>
      </c>
      <c r="D1883" s="2">
        <v>41957</v>
      </c>
      <c r="E1883" s="1" t="s">
        <v>101</v>
      </c>
      <c r="F1883" s="1" t="s">
        <v>1558</v>
      </c>
      <c r="G1883" s="1">
        <v>48</v>
      </c>
      <c r="H1883" s="1">
        <v>15.94</v>
      </c>
      <c r="I1883" s="1">
        <f t="shared" si="87"/>
        <v>765.12</v>
      </c>
      <c r="J1883" t="str">
        <f t="shared" si="88"/>
        <v>Low</v>
      </c>
      <c r="K1883" s="1"/>
      <c r="L1883" s="1">
        <v>0.02</v>
      </c>
      <c r="M1883" s="1">
        <v>5.45</v>
      </c>
      <c r="N1883" s="1" t="s">
        <v>33</v>
      </c>
      <c r="O1883" s="1" t="s">
        <v>84</v>
      </c>
      <c r="P1883" s="2">
        <v>41958</v>
      </c>
      <c r="Q1883" s="2" t="b">
        <f t="shared" si="89"/>
        <v>0</v>
      </c>
      <c r="V1883" s="2"/>
      <c r="W1883" s="2"/>
      <c r="X1883" s="2"/>
      <c r="Y1883" s="2"/>
      <c r="Z1883" s="2"/>
      <c r="AA1883" s="2"/>
      <c r="AB1883" s="2"/>
      <c r="AC1883" s="2"/>
      <c r="AD1883" s="2"/>
      <c r="AE1883" s="2"/>
      <c r="AF1883" s="2"/>
      <c r="AG1883" s="2"/>
      <c r="AH1883" s="2"/>
      <c r="AI1883" s="2"/>
    </row>
    <row r="1884" spans="1:35" ht="14.25" customHeight="1" x14ac:dyDescent="0.2">
      <c r="A1884" s="1">
        <v>59396</v>
      </c>
      <c r="B1884" s="1" t="s">
        <v>1559</v>
      </c>
      <c r="C1884" s="1" t="s">
        <v>51</v>
      </c>
      <c r="D1884" s="2">
        <v>41957</v>
      </c>
      <c r="E1884" s="1" t="s">
        <v>38</v>
      </c>
      <c r="F1884" s="1" t="s">
        <v>682</v>
      </c>
      <c r="G1884" s="1">
        <v>41</v>
      </c>
      <c r="H1884" s="1">
        <v>152.47999999999999</v>
      </c>
      <c r="I1884" s="1">
        <f t="shared" si="87"/>
        <v>6251.6799999999994</v>
      </c>
      <c r="J1884" t="str">
        <f t="shared" si="88"/>
        <v>High</v>
      </c>
      <c r="K1884" s="1"/>
      <c r="L1884" s="1">
        <v>7.0000000000000007E-2</v>
      </c>
      <c r="M1884" s="1">
        <v>6.5</v>
      </c>
      <c r="N1884" s="1" t="s">
        <v>33</v>
      </c>
      <c r="O1884" s="1" t="s">
        <v>34</v>
      </c>
      <c r="P1884" s="2">
        <v>41959</v>
      </c>
      <c r="Q1884" s="2" t="b">
        <f t="shared" si="89"/>
        <v>0</v>
      </c>
      <c r="V1884" s="2"/>
      <c r="W1884" s="2"/>
      <c r="X1884" s="2"/>
      <c r="Y1884" s="2"/>
      <c r="Z1884" s="2"/>
      <c r="AA1884" s="2"/>
      <c r="AB1884" s="2"/>
      <c r="AC1884" s="2"/>
      <c r="AD1884" s="2"/>
      <c r="AE1884" s="2"/>
      <c r="AF1884" s="2"/>
      <c r="AG1884" s="2"/>
      <c r="AH1884" s="2"/>
      <c r="AI1884" s="2"/>
    </row>
    <row r="1885" spans="1:35" ht="14.25" customHeight="1" x14ac:dyDescent="0.2">
      <c r="A1885" s="1">
        <v>13091</v>
      </c>
      <c r="B1885" s="1" t="s">
        <v>988</v>
      </c>
      <c r="C1885" s="1" t="s">
        <v>51</v>
      </c>
      <c r="D1885" s="2">
        <v>41958</v>
      </c>
      <c r="E1885" s="1" t="s">
        <v>101</v>
      </c>
      <c r="F1885" s="1" t="s">
        <v>1167</v>
      </c>
      <c r="G1885" s="1">
        <v>12</v>
      </c>
      <c r="H1885" s="1">
        <v>6.48</v>
      </c>
      <c r="I1885" s="1">
        <f t="shared" si="87"/>
        <v>77.760000000000005</v>
      </c>
      <c r="J1885" t="str">
        <f t="shared" si="88"/>
        <v>Low</v>
      </c>
      <c r="K1885" s="1"/>
      <c r="L1885" s="1">
        <v>0.08</v>
      </c>
      <c r="M1885" s="1">
        <v>7.03</v>
      </c>
      <c r="N1885" s="1" t="s">
        <v>33</v>
      </c>
      <c r="O1885" s="1" t="s">
        <v>34</v>
      </c>
      <c r="P1885" s="2">
        <v>41959</v>
      </c>
      <c r="Q1885" s="2" t="b">
        <f t="shared" si="89"/>
        <v>0</v>
      </c>
      <c r="V1885" s="2"/>
      <c r="W1885" s="2"/>
      <c r="X1885" s="2"/>
      <c r="Y1885" s="2"/>
      <c r="Z1885" s="2"/>
      <c r="AA1885" s="2"/>
      <c r="AB1885" s="2"/>
      <c r="AC1885" s="2"/>
      <c r="AD1885" s="2"/>
      <c r="AE1885" s="2"/>
      <c r="AF1885" s="2"/>
      <c r="AG1885" s="2"/>
      <c r="AH1885" s="2"/>
      <c r="AI1885" s="2"/>
    </row>
    <row r="1886" spans="1:35" ht="14.25" customHeight="1" x14ac:dyDescent="0.2">
      <c r="A1886" s="1">
        <v>13091</v>
      </c>
      <c r="B1886" s="1" t="s">
        <v>988</v>
      </c>
      <c r="C1886" s="1" t="s">
        <v>21</v>
      </c>
      <c r="D1886" s="2">
        <v>41958</v>
      </c>
      <c r="E1886" s="1" t="s">
        <v>101</v>
      </c>
      <c r="F1886" s="1" t="s">
        <v>122</v>
      </c>
      <c r="G1886" s="1">
        <v>39</v>
      </c>
      <c r="H1886" s="1">
        <v>20.34</v>
      </c>
      <c r="I1886" s="1">
        <f t="shared" si="87"/>
        <v>793.26</v>
      </c>
      <c r="J1886" t="str">
        <f t="shared" si="88"/>
        <v>Low</v>
      </c>
      <c r="K1886" s="1"/>
      <c r="L1886" s="1">
        <v>0.01</v>
      </c>
      <c r="M1886" s="1">
        <v>35</v>
      </c>
      <c r="N1886" s="1" t="s">
        <v>33</v>
      </c>
      <c r="O1886" s="1" t="s">
        <v>26</v>
      </c>
      <c r="P1886" s="2">
        <v>41959</v>
      </c>
      <c r="Q1886" s="2" t="b">
        <f t="shared" si="89"/>
        <v>0</v>
      </c>
      <c r="V1886" s="2"/>
      <c r="W1886" s="2"/>
      <c r="X1886" s="2"/>
      <c r="Y1886" s="2"/>
      <c r="Z1886" s="2"/>
      <c r="AA1886" s="2"/>
      <c r="AB1886" s="2"/>
      <c r="AC1886" s="2"/>
      <c r="AD1886" s="2"/>
      <c r="AE1886" s="2"/>
      <c r="AF1886" s="2"/>
      <c r="AG1886" s="2"/>
      <c r="AH1886" s="2"/>
      <c r="AI1886" s="2"/>
    </row>
    <row r="1887" spans="1:35" ht="14.25" customHeight="1" x14ac:dyDescent="0.2">
      <c r="A1887" s="1">
        <v>11332</v>
      </c>
      <c r="B1887" s="1" t="s">
        <v>192</v>
      </c>
      <c r="C1887" s="1" t="s">
        <v>21</v>
      </c>
      <c r="D1887" s="2">
        <v>41959</v>
      </c>
      <c r="E1887" s="1" t="s">
        <v>43</v>
      </c>
      <c r="F1887" s="1" t="s">
        <v>538</v>
      </c>
      <c r="G1887" s="1">
        <v>6</v>
      </c>
      <c r="H1887" s="1">
        <v>35.99</v>
      </c>
      <c r="I1887" s="1">
        <f t="shared" si="87"/>
        <v>215.94</v>
      </c>
      <c r="J1887" t="str">
        <f t="shared" si="88"/>
        <v>Low</v>
      </c>
      <c r="K1887" s="1"/>
      <c r="L1887" s="1">
        <v>7.0000000000000007E-2</v>
      </c>
      <c r="M1887" s="1">
        <v>5.99</v>
      </c>
      <c r="N1887" s="1" t="s">
        <v>33</v>
      </c>
      <c r="O1887" s="1" t="s">
        <v>55</v>
      </c>
      <c r="P1887" s="2">
        <v>41963</v>
      </c>
      <c r="Q1887" s="2" t="b">
        <f t="shared" si="89"/>
        <v>0</v>
      </c>
      <c r="V1887" s="2"/>
      <c r="W1887" s="2"/>
      <c r="X1887" s="2"/>
      <c r="Y1887" s="2"/>
      <c r="Z1887" s="2"/>
      <c r="AA1887" s="2"/>
      <c r="AB1887" s="2"/>
      <c r="AC1887" s="2"/>
      <c r="AD1887" s="2"/>
      <c r="AE1887" s="2"/>
      <c r="AF1887" s="2"/>
      <c r="AG1887" s="2"/>
      <c r="AH1887" s="2"/>
      <c r="AI1887" s="2"/>
    </row>
    <row r="1888" spans="1:35" ht="14.25" customHeight="1" x14ac:dyDescent="0.2">
      <c r="A1888" s="1">
        <v>11332</v>
      </c>
      <c r="B1888" s="1" t="s">
        <v>192</v>
      </c>
      <c r="C1888" s="1" t="s">
        <v>51</v>
      </c>
      <c r="D1888" s="2">
        <v>41959</v>
      </c>
      <c r="E1888" s="1" t="s">
        <v>43</v>
      </c>
      <c r="F1888" s="1" t="s">
        <v>1301</v>
      </c>
      <c r="G1888" s="1">
        <v>23</v>
      </c>
      <c r="H1888" s="1">
        <v>65.989999999999995</v>
      </c>
      <c r="I1888" s="1">
        <f t="shared" si="87"/>
        <v>1517.77</v>
      </c>
      <c r="J1888" t="str">
        <f t="shared" si="88"/>
        <v>High</v>
      </c>
      <c r="K1888" s="1"/>
      <c r="L1888" s="1">
        <v>0.08</v>
      </c>
      <c r="M1888" s="1">
        <v>5.92</v>
      </c>
      <c r="N1888" s="1" t="s">
        <v>25</v>
      </c>
      <c r="O1888" s="1" t="s">
        <v>34</v>
      </c>
      <c r="P1888" s="2">
        <v>41966</v>
      </c>
      <c r="Q1888" s="2" t="b">
        <f t="shared" si="89"/>
        <v>0</v>
      </c>
      <c r="V1888" s="2"/>
      <c r="W1888" s="2"/>
      <c r="X1888" s="2"/>
      <c r="Y1888" s="2"/>
      <c r="Z1888" s="2"/>
      <c r="AA1888" s="2"/>
      <c r="AB1888" s="2"/>
      <c r="AC1888" s="2"/>
      <c r="AD1888" s="2"/>
      <c r="AE1888" s="2"/>
      <c r="AF1888" s="2"/>
      <c r="AG1888" s="2"/>
      <c r="AH1888" s="2"/>
      <c r="AI1888" s="2"/>
    </row>
    <row r="1889" spans="1:35" ht="14.25" customHeight="1" x14ac:dyDescent="0.2">
      <c r="A1889" s="1">
        <v>32710</v>
      </c>
      <c r="B1889" s="1" t="s">
        <v>248</v>
      </c>
      <c r="C1889" s="1" t="s">
        <v>21</v>
      </c>
      <c r="D1889" s="2">
        <v>41959</v>
      </c>
      <c r="E1889" s="1" t="s">
        <v>31</v>
      </c>
      <c r="F1889" s="1" t="s">
        <v>1560</v>
      </c>
      <c r="G1889" s="1">
        <v>43</v>
      </c>
      <c r="H1889" s="1">
        <v>12.44</v>
      </c>
      <c r="I1889" s="1">
        <f t="shared" si="87"/>
        <v>534.91999999999996</v>
      </c>
      <c r="J1889" t="str">
        <f t="shared" si="88"/>
        <v>Low</v>
      </c>
      <c r="K1889" s="1"/>
      <c r="L1889" s="1">
        <v>0.04</v>
      </c>
      <c r="M1889" s="1">
        <v>6.27</v>
      </c>
      <c r="N1889" s="1" t="s">
        <v>33</v>
      </c>
      <c r="O1889" s="1" t="s">
        <v>72</v>
      </c>
      <c r="P1889" s="2">
        <v>41960</v>
      </c>
      <c r="Q1889" s="2" t="b">
        <f t="shared" si="89"/>
        <v>0</v>
      </c>
      <c r="V1889" s="2"/>
      <c r="W1889" s="2"/>
      <c r="X1889" s="2"/>
      <c r="Y1889" s="2"/>
      <c r="Z1889" s="2"/>
      <c r="AA1889" s="2"/>
      <c r="AB1889" s="2"/>
      <c r="AC1889" s="2"/>
      <c r="AD1889" s="2"/>
      <c r="AE1889" s="2"/>
      <c r="AF1889" s="2"/>
      <c r="AG1889" s="2"/>
      <c r="AH1889" s="2"/>
      <c r="AI1889" s="2"/>
    </row>
    <row r="1890" spans="1:35" ht="14.25" customHeight="1" x14ac:dyDescent="0.2">
      <c r="A1890" s="1">
        <v>49504</v>
      </c>
      <c r="B1890" s="1" t="s">
        <v>1561</v>
      </c>
      <c r="C1890" s="1" t="s">
        <v>30</v>
      </c>
      <c r="D1890" s="2">
        <v>41959</v>
      </c>
      <c r="E1890" s="1" t="s">
        <v>22</v>
      </c>
      <c r="F1890" s="1" t="s">
        <v>1235</v>
      </c>
      <c r="G1890" s="1">
        <v>45</v>
      </c>
      <c r="H1890" s="1">
        <v>7.37</v>
      </c>
      <c r="I1890" s="1">
        <f t="shared" si="87"/>
        <v>331.65</v>
      </c>
      <c r="J1890" t="str">
        <f t="shared" si="88"/>
        <v>Low</v>
      </c>
      <c r="K1890" s="1"/>
      <c r="L1890" s="1">
        <v>0.1</v>
      </c>
      <c r="M1890" s="1">
        <v>5.53</v>
      </c>
      <c r="N1890" s="1" t="s">
        <v>33</v>
      </c>
      <c r="O1890" s="1" t="s">
        <v>84</v>
      </c>
      <c r="P1890" s="2">
        <v>41959</v>
      </c>
      <c r="Q1890" s="2" t="b">
        <f t="shared" si="89"/>
        <v>0</v>
      </c>
      <c r="V1890" s="2"/>
      <c r="W1890" s="2"/>
      <c r="X1890" s="2"/>
      <c r="Y1890" s="2"/>
      <c r="Z1890" s="2"/>
      <c r="AA1890" s="2"/>
      <c r="AB1890" s="2"/>
      <c r="AC1890" s="2"/>
      <c r="AD1890" s="2"/>
      <c r="AE1890" s="2"/>
      <c r="AF1890" s="2"/>
      <c r="AG1890" s="2"/>
      <c r="AH1890" s="2"/>
      <c r="AI1890" s="2"/>
    </row>
    <row r="1891" spans="1:35" ht="14.25" customHeight="1" x14ac:dyDescent="0.2">
      <c r="A1891" s="1">
        <v>4931</v>
      </c>
      <c r="B1891" s="1" t="s">
        <v>171</v>
      </c>
      <c r="C1891" s="1" t="s">
        <v>21</v>
      </c>
      <c r="D1891" s="2">
        <v>41959</v>
      </c>
      <c r="E1891" s="1" t="s">
        <v>38</v>
      </c>
      <c r="F1891" s="1" t="s">
        <v>1562</v>
      </c>
      <c r="G1891" s="1">
        <v>22</v>
      </c>
      <c r="H1891" s="1">
        <v>8.17</v>
      </c>
      <c r="I1891" s="1">
        <f t="shared" si="87"/>
        <v>179.74</v>
      </c>
      <c r="J1891" t="str">
        <f t="shared" si="88"/>
        <v>Low</v>
      </c>
      <c r="K1891" s="1"/>
      <c r="L1891" s="1">
        <v>0.1</v>
      </c>
      <c r="M1891" s="1">
        <v>1.69</v>
      </c>
      <c r="N1891" s="1" t="s">
        <v>33</v>
      </c>
      <c r="O1891" s="1" t="s">
        <v>55</v>
      </c>
      <c r="P1891" s="2">
        <v>41959</v>
      </c>
      <c r="Q1891" s="2" t="b">
        <f t="shared" si="89"/>
        <v>0</v>
      </c>
      <c r="V1891" s="2"/>
      <c r="W1891" s="2"/>
      <c r="X1891" s="2"/>
      <c r="Y1891" s="2"/>
      <c r="Z1891" s="2"/>
      <c r="AA1891" s="2"/>
      <c r="AB1891" s="2"/>
      <c r="AC1891" s="2"/>
      <c r="AD1891" s="2"/>
      <c r="AE1891" s="2"/>
      <c r="AF1891" s="2"/>
      <c r="AG1891" s="2"/>
      <c r="AH1891" s="2"/>
      <c r="AI1891" s="2"/>
    </row>
    <row r="1892" spans="1:35" ht="14.25" customHeight="1" x14ac:dyDescent="0.2">
      <c r="A1892" s="1">
        <v>4931</v>
      </c>
      <c r="B1892" s="1" t="s">
        <v>171</v>
      </c>
      <c r="C1892" s="1" t="s">
        <v>51</v>
      </c>
      <c r="D1892" s="2">
        <v>41959</v>
      </c>
      <c r="E1892" s="1" t="s">
        <v>38</v>
      </c>
      <c r="F1892" s="1" t="s">
        <v>59</v>
      </c>
      <c r="G1892" s="1">
        <v>45</v>
      </c>
      <c r="H1892" s="1">
        <v>110.99</v>
      </c>
      <c r="I1892" s="1">
        <f t="shared" si="87"/>
        <v>4994.55</v>
      </c>
      <c r="J1892" t="str">
        <f t="shared" si="88"/>
        <v>High</v>
      </c>
      <c r="K1892" s="1"/>
      <c r="L1892" s="1">
        <v>0.03</v>
      </c>
      <c r="M1892" s="1">
        <v>2.5</v>
      </c>
      <c r="N1892" s="1" t="s">
        <v>33</v>
      </c>
      <c r="O1892" s="1" t="s">
        <v>34</v>
      </c>
      <c r="P1892" s="2">
        <v>41961</v>
      </c>
      <c r="Q1892" s="2" t="b">
        <f t="shared" si="89"/>
        <v>0</v>
      </c>
      <c r="V1892" s="2"/>
      <c r="W1892" s="2"/>
      <c r="X1892" s="2"/>
      <c r="Y1892" s="2"/>
      <c r="Z1892" s="2"/>
      <c r="AA1892" s="2"/>
      <c r="AB1892" s="2"/>
      <c r="AC1892" s="2"/>
      <c r="AD1892" s="2"/>
      <c r="AE1892" s="2"/>
      <c r="AF1892" s="2"/>
      <c r="AG1892" s="2"/>
      <c r="AH1892" s="2"/>
      <c r="AI1892" s="2"/>
    </row>
    <row r="1893" spans="1:35" ht="14.25" customHeight="1" x14ac:dyDescent="0.2">
      <c r="A1893" s="1">
        <v>55554</v>
      </c>
      <c r="B1893" s="1" t="s">
        <v>918</v>
      </c>
      <c r="C1893" s="1" t="s">
        <v>21</v>
      </c>
      <c r="D1893" s="2">
        <v>41959</v>
      </c>
      <c r="E1893" s="1" t="s">
        <v>38</v>
      </c>
      <c r="F1893" s="1" t="s">
        <v>207</v>
      </c>
      <c r="G1893" s="1">
        <v>6</v>
      </c>
      <c r="H1893" s="1">
        <v>18.97</v>
      </c>
      <c r="I1893" s="1">
        <f t="shared" si="87"/>
        <v>113.82</v>
      </c>
      <c r="J1893" t="str">
        <f t="shared" si="88"/>
        <v>Low</v>
      </c>
      <c r="K1893" s="1"/>
      <c r="L1893" s="1">
        <v>0.04</v>
      </c>
      <c r="M1893" s="1">
        <v>9.5399999999999991</v>
      </c>
      <c r="N1893" s="1" t="s">
        <v>33</v>
      </c>
      <c r="O1893" s="1" t="s">
        <v>34</v>
      </c>
      <c r="P1893" s="2">
        <v>41960</v>
      </c>
      <c r="Q1893" s="2" t="b">
        <f t="shared" si="89"/>
        <v>0</v>
      </c>
      <c r="V1893" s="2"/>
      <c r="W1893" s="2"/>
      <c r="X1893" s="2"/>
      <c r="Y1893" s="2"/>
      <c r="Z1893" s="2"/>
      <c r="AA1893" s="2"/>
      <c r="AB1893" s="2"/>
      <c r="AC1893" s="2"/>
      <c r="AD1893" s="2"/>
      <c r="AE1893" s="2"/>
      <c r="AF1893" s="2"/>
      <c r="AG1893" s="2"/>
      <c r="AH1893" s="2"/>
      <c r="AI1893" s="2"/>
    </row>
    <row r="1894" spans="1:35" ht="14.25" customHeight="1" x14ac:dyDescent="0.2">
      <c r="A1894" s="1">
        <v>55554</v>
      </c>
      <c r="B1894" s="1" t="s">
        <v>918</v>
      </c>
      <c r="C1894" s="1" t="s">
        <v>51</v>
      </c>
      <c r="D1894" s="2">
        <v>41959</v>
      </c>
      <c r="E1894" s="1" t="s">
        <v>38</v>
      </c>
      <c r="F1894" s="1" t="s">
        <v>274</v>
      </c>
      <c r="G1894" s="1">
        <v>49</v>
      </c>
      <c r="H1894" s="1">
        <v>2.88</v>
      </c>
      <c r="I1894" s="1">
        <f t="shared" si="87"/>
        <v>141.12</v>
      </c>
      <c r="J1894" t="str">
        <f t="shared" si="88"/>
        <v>Low</v>
      </c>
      <c r="K1894" s="1"/>
      <c r="L1894" s="1">
        <v>0.02</v>
      </c>
      <c r="M1894" s="1">
        <v>0.7</v>
      </c>
      <c r="N1894" s="1" t="s">
        <v>33</v>
      </c>
      <c r="O1894" s="1" t="s">
        <v>55</v>
      </c>
      <c r="P1894" s="2">
        <v>41962</v>
      </c>
      <c r="Q1894" s="2" t="b">
        <f t="shared" si="89"/>
        <v>0</v>
      </c>
      <c r="V1894" s="2"/>
      <c r="W1894" s="2"/>
      <c r="X1894" s="2"/>
      <c r="Y1894" s="2"/>
      <c r="Z1894" s="2"/>
      <c r="AA1894" s="2"/>
      <c r="AB1894" s="2"/>
      <c r="AC1894" s="2"/>
      <c r="AD1894" s="2"/>
      <c r="AE1894" s="2"/>
      <c r="AF1894" s="2"/>
      <c r="AG1894" s="2"/>
      <c r="AH1894" s="2"/>
      <c r="AI1894" s="2"/>
    </row>
    <row r="1895" spans="1:35" ht="14.25" customHeight="1" x14ac:dyDescent="0.2">
      <c r="A1895" s="1">
        <v>55554</v>
      </c>
      <c r="B1895" s="1" t="s">
        <v>918</v>
      </c>
      <c r="C1895" s="1" t="s">
        <v>21</v>
      </c>
      <c r="D1895" s="2">
        <v>41959</v>
      </c>
      <c r="E1895" s="1" t="s">
        <v>38</v>
      </c>
      <c r="F1895" s="1" t="s">
        <v>819</v>
      </c>
      <c r="G1895" s="1">
        <v>9</v>
      </c>
      <c r="H1895" s="1">
        <v>10.98</v>
      </c>
      <c r="I1895" s="1">
        <f t="shared" si="87"/>
        <v>98.820000000000007</v>
      </c>
      <c r="J1895" t="str">
        <f t="shared" si="88"/>
        <v>Low</v>
      </c>
      <c r="K1895" s="1"/>
      <c r="L1895" s="1">
        <v>0.09</v>
      </c>
      <c r="M1895" s="1">
        <v>3.37</v>
      </c>
      <c r="N1895" s="1" t="s">
        <v>33</v>
      </c>
      <c r="O1895" s="1" t="s">
        <v>84</v>
      </c>
      <c r="P1895" s="2">
        <v>41960</v>
      </c>
      <c r="Q1895" s="2" t="b">
        <f t="shared" si="89"/>
        <v>0</v>
      </c>
      <c r="V1895" s="2"/>
      <c r="W1895" s="2"/>
      <c r="X1895" s="2"/>
      <c r="Y1895" s="2"/>
      <c r="Z1895" s="2"/>
      <c r="AA1895" s="2"/>
      <c r="AB1895" s="2"/>
      <c r="AC1895" s="2"/>
      <c r="AD1895" s="2"/>
      <c r="AE1895" s="2"/>
      <c r="AF1895" s="2"/>
      <c r="AG1895" s="2"/>
      <c r="AH1895" s="2"/>
      <c r="AI1895" s="2"/>
    </row>
    <row r="1896" spans="1:35" ht="14.25" customHeight="1" x14ac:dyDescent="0.2">
      <c r="A1896" s="1">
        <v>55490</v>
      </c>
      <c r="B1896" s="1" t="s">
        <v>927</v>
      </c>
      <c r="C1896" s="1" t="s">
        <v>51</v>
      </c>
      <c r="D1896" s="2">
        <v>41959</v>
      </c>
      <c r="E1896" s="1" t="s">
        <v>101</v>
      </c>
      <c r="F1896" s="1" t="s">
        <v>1158</v>
      </c>
      <c r="G1896" s="1">
        <v>3</v>
      </c>
      <c r="H1896" s="1">
        <v>70.89</v>
      </c>
      <c r="I1896" s="1">
        <f t="shared" si="87"/>
        <v>212.67000000000002</v>
      </c>
      <c r="J1896" t="str">
        <f t="shared" si="88"/>
        <v>Low</v>
      </c>
      <c r="K1896" s="1"/>
      <c r="L1896" s="1">
        <v>0.04</v>
      </c>
      <c r="M1896" s="1">
        <v>89.3</v>
      </c>
      <c r="N1896" s="1" t="s">
        <v>45</v>
      </c>
      <c r="O1896" s="1" t="s">
        <v>63</v>
      </c>
      <c r="P1896" s="2">
        <v>41960</v>
      </c>
      <c r="Q1896" s="2" t="b">
        <f t="shared" si="89"/>
        <v>0</v>
      </c>
      <c r="V1896" s="2"/>
      <c r="W1896" s="2"/>
      <c r="X1896" s="2"/>
      <c r="Y1896" s="2"/>
      <c r="Z1896" s="2"/>
      <c r="AA1896" s="2"/>
      <c r="AB1896" s="2"/>
      <c r="AC1896" s="2"/>
      <c r="AD1896" s="2"/>
      <c r="AE1896" s="2"/>
      <c r="AF1896" s="2"/>
      <c r="AG1896" s="2"/>
      <c r="AH1896" s="2"/>
      <c r="AI1896" s="2"/>
    </row>
    <row r="1897" spans="1:35" ht="14.25" customHeight="1" x14ac:dyDescent="0.2">
      <c r="A1897" s="1">
        <v>9126</v>
      </c>
      <c r="B1897" s="1" t="s">
        <v>229</v>
      </c>
      <c r="C1897" s="1" t="s">
        <v>21</v>
      </c>
      <c r="D1897" s="2">
        <v>41960</v>
      </c>
      <c r="E1897" s="1" t="s">
        <v>101</v>
      </c>
      <c r="F1897" s="1" t="s">
        <v>1563</v>
      </c>
      <c r="G1897" s="1">
        <v>47</v>
      </c>
      <c r="H1897" s="1">
        <v>62.05</v>
      </c>
      <c r="I1897" s="1">
        <f t="shared" si="87"/>
        <v>2916.35</v>
      </c>
      <c r="J1897" t="str">
        <f t="shared" si="88"/>
        <v>High</v>
      </c>
      <c r="K1897" s="1"/>
      <c r="L1897" s="1">
        <v>0.04</v>
      </c>
      <c r="M1897" s="1">
        <v>3.99</v>
      </c>
      <c r="N1897" s="1" t="s">
        <v>33</v>
      </c>
      <c r="O1897" s="1" t="s">
        <v>34</v>
      </c>
      <c r="P1897" s="2">
        <v>41961</v>
      </c>
      <c r="Q1897" s="2" t="b">
        <f t="shared" si="89"/>
        <v>0</v>
      </c>
      <c r="V1897" s="2"/>
      <c r="W1897" s="2"/>
      <c r="X1897" s="2"/>
      <c r="Y1897" s="2"/>
      <c r="Z1897" s="2"/>
      <c r="AA1897" s="2"/>
      <c r="AB1897" s="2"/>
      <c r="AC1897" s="2"/>
      <c r="AD1897" s="2"/>
      <c r="AE1897" s="2"/>
      <c r="AF1897" s="2"/>
      <c r="AG1897" s="2"/>
      <c r="AH1897" s="2"/>
      <c r="AI1897" s="2"/>
    </row>
    <row r="1898" spans="1:35" ht="14.25" customHeight="1" x14ac:dyDescent="0.2">
      <c r="A1898" s="1">
        <v>7744</v>
      </c>
      <c r="B1898" s="1" t="s">
        <v>1564</v>
      </c>
      <c r="C1898" s="1" t="s">
        <v>21</v>
      </c>
      <c r="D1898" s="2">
        <v>41960</v>
      </c>
      <c r="E1898" s="1" t="s">
        <v>43</v>
      </c>
      <c r="F1898" s="1" t="s">
        <v>992</v>
      </c>
      <c r="G1898" s="1">
        <v>26</v>
      </c>
      <c r="H1898" s="1">
        <v>172.99</v>
      </c>
      <c r="I1898" s="1">
        <f t="shared" si="87"/>
        <v>4497.74</v>
      </c>
      <c r="J1898" t="str">
        <f t="shared" si="88"/>
        <v>High</v>
      </c>
      <c r="K1898" s="1"/>
      <c r="L1898" s="1">
        <v>7.0000000000000007E-2</v>
      </c>
      <c r="M1898" s="1">
        <v>19.989999999999998</v>
      </c>
      <c r="N1898" s="1" t="s">
        <v>33</v>
      </c>
      <c r="O1898" s="1" t="s">
        <v>34</v>
      </c>
      <c r="P1898" s="2">
        <v>41960</v>
      </c>
      <c r="Q1898" s="2" t="b">
        <f t="shared" si="89"/>
        <v>0</v>
      </c>
      <c r="V1898" s="2"/>
      <c r="W1898" s="2"/>
      <c r="X1898" s="2"/>
      <c r="Y1898" s="2"/>
      <c r="Z1898" s="2"/>
      <c r="AA1898" s="2"/>
      <c r="AB1898" s="2"/>
      <c r="AC1898" s="2"/>
      <c r="AD1898" s="2"/>
      <c r="AE1898" s="2"/>
      <c r="AF1898" s="2"/>
      <c r="AG1898" s="2"/>
      <c r="AH1898" s="2"/>
      <c r="AI1898" s="2"/>
    </row>
    <row r="1899" spans="1:35" ht="14.25" customHeight="1" x14ac:dyDescent="0.2">
      <c r="A1899" s="1">
        <v>7744</v>
      </c>
      <c r="B1899" s="1" t="s">
        <v>1564</v>
      </c>
      <c r="C1899" s="1" t="s">
        <v>21</v>
      </c>
      <c r="D1899" s="2">
        <v>41960</v>
      </c>
      <c r="E1899" s="1" t="s">
        <v>43</v>
      </c>
      <c r="F1899" s="1" t="s">
        <v>598</v>
      </c>
      <c r="G1899" s="1">
        <v>1</v>
      </c>
      <c r="H1899" s="1">
        <v>7.64</v>
      </c>
      <c r="I1899" s="1">
        <f t="shared" si="87"/>
        <v>7.64</v>
      </c>
      <c r="J1899" t="str">
        <f t="shared" si="88"/>
        <v>Low</v>
      </c>
      <c r="K1899" s="1"/>
      <c r="L1899" s="1">
        <v>0.09</v>
      </c>
      <c r="M1899" s="1">
        <v>1.39</v>
      </c>
      <c r="N1899" s="1" t="s">
        <v>33</v>
      </c>
      <c r="O1899" s="1" t="s">
        <v>34</v>
      </c>
      <c r="P1899" s="2">
        <v>41969</v>
      </c>
      <c r="Q1899" s="2" t="b">
        <f t="shared" si="89"/>
        <v>0</v>
      </c>
      <c r="V1899" s="2"/>
      <c r="W1899" s="2"/>
      <c r="X1899" s="2"/>
      <c r="Y1899" s="2"/>
      <c r="Z1899" s="2"/>
      <c r="AA1899" s="2"/>
      <c r="AB1899" s="2"/>
      <c r="AC1899" s="2"/>
      <c r="AD1899" s="2"/>
      <c r="AE1899" s="2"/>
      <c r="AF1899" s="2"/>
      <c r="AG1899" s="2"/>
      <c r="AH1899" s="2"/>
      <c r="AI1899" s="2"/>
    </row>
    <row r="1900" spans="1:35" ht="14.25" customHeight="1" x14ac:dyDescent="0.2">
      <c r="A1900" s="1">
        <v>21445</v>
      </c>
      <c r="B1900" s="1" t="s">
        <v>204</v>
      </c>
      <c r="C1900" s="1" t="s">
        <v>51</v>
      </c>
      <c r="D1900" s="2">
        <v>41960</v>
      </c>
      <c r="E1900" s="1" t="s">
        <v>43</v>
      </c>
      <c r="F1900" s="1" t="s">
        <v>502</v>
      </c>
      <c r="G1900" s="1">
        <v>14</v>
      </c>
      <c r="H1900" s="1">
        <v>4.0599999999999996</v>
      </c>
      <c r="I1900" s="1">
        <f t="shared" si="87"/>
        <v>56.839999999999996</v>
      </c>
      <c r="J1900" t="str">
        <f t="shared" si="88"/>
        <v>Low</v>
      </c>
      <c r="K1900" s="1"/>
      <c r="L1900" s="1">
        <v>0.02</v>
      </c>
      <c r="M1900" s="1">
        <v>6.89</v>
      </c>
      <c r="N1900" s="1" t="s">
        <v>25</v>
      </c>
      <c r="O1900" s="1" t="s">
        <v>34</v>
      </c>
      <c r="P1900" s="2">
        <v>41964</v>
      </c>
      <c r="Q1900" s="2" t="b">
        <f t="shared" si="89"/>
        <v>0</v>
      </c>
      <c r="V1900" s="2"/>
      <c r="W1900" s="2"/>
      <c r="X1900" s="2"/>
      <c r="Y1900" s="2"/>
      <c r="Z1900" s="2"/>
      <c r="AA1900" s="2"/>
      <c r="AB1900" s="2"/>
      <c r="AC1900" s="2"/>
      <c r="AD1900" s="2"/>
      <c r="AE1900" s="2"/>
      <c r="AF1900" s="2"/>
      <c r="AG1900" s="2"/>
      <c r="AH1900" s="2"/>
      <c r="AI1900" s="2"/>
    </row>
    <row r="1901" spans="1:35" ht="14.25" customHeight="1" x14ac:dyDescent="0.2">
      <c r="A1901" s="1">
        <v>21445</v>
      </c>
      <c r="B1901" s="1" t="s">
        <v>204</v>
      </c>
      <c r="C1901" s="1" t="s">
        <v>21</v>
      </c>
      <c r="D1901" s="2">
        <v>41960</v>
      </c>
      <c r="E1901" s="1" t="s">
        <v>43</v>
      </c>
      <c r="F1901" s="1" t="s">
        <v>1565</v>
      </c>
      <c r="G1901" s="1">
        <v>43</v>
      </c>
      <c r="H1901" s="1">
        <v>9.49</v>
      </c>
      <c r="I1901" s="1">
        <f t="shared" si="87"/>
        <v>408.07</v>
      </c>
      <c r="J1901" t="str">
        <f t="shared" si="88"/>
        <v>Low</v>
      </c>
      <c r="K1901" s="1"/>
      <c r="L1901" s="1">
        <v>7.0000000000000007E-2</v>
      </c>
      <c r="M1901" s="1">
        <v>5.76</v>
      </c>
      <c r="N1901" s="1" t="s">
        <v>33</v>
      </c>
      <c r="O1901" s="1" t="s">
        <v>72</v>
      </c>
      <c r="P1901" s="2">
        <v>41964</v>
      </c>
      <c r="Q1901" s="2" t="b">
        <f t="shared" si="89"/>
        <v>0</v>
      </c>
      <c r="V1901" s="2"/>
      <c r="W1901" s="2"/>
      <c r="X1901" s="2"/>
      <c r="Y1901" s="2"/>
      <c r="Z1901" s="2"/>
      <c r="AA1901" s="2"/>
      <c r="AB1901" s="2"/>
      <c r="AC1901" s="2"/>
      <c r="AD1901" s="2"/>
      <c r="AE1901" s="2"/>
      <c r="AF1901" s="2"/>
      <c r="AG1901" s="2"/>
      <c r="AH1901" s="2"/>
      <c r="AI1901" s="2"/>
    </row>
    <row r="1902" spans="1:35" ht="14.25" customHeight="1" x14ac:dyDescent="0.2">
      <c r="A1902" s="1">
        <v>22407</v>
      </c>
      <c r="B1902" s="1" t="s">
        <v>1402</v>
      </c>
      <c r="C1902" s="1" t="s">
        <v>30</v>
      </c>
      <c r="D1902" s="2">
        <v>41960</v>
      </c>
      <c r="E1902" s="1" t="s">
        <v>22</v>
      </c>
      <c r="F1902" s="1" t="s">
        <v>1566</v>
      </c>
      <c r="G1902" s="1">
        <v>20</v>
      </c>
      <c r="H1902" s="1">
        <v>34.54</v>
      </c>
      <c r="I1902" s="1">
        <f t="shared" si="87"/>
        <v>690.8</v>
      </c>
      <c r="J1902" t="str">
        <f t="shared" si="88"/>
        <v>Low</v>
      </c>
      <c r="K1902" s="1"/>
      <c r="L1902" s="1">
        <v>7.0000000000000007E-2</v>
      </c>
      <c r="M1902" s="1">
        <v>14.72</v>
      </c>
      <c r="N1902" s="1" t="s">
        <v>33</v>
      </c>
      <c r="O1902" s="1" t="s">
        <v>34</v>
      </c>
      <c r="P1902" s="2">
        <v>41961</v>
      </c>
      <c r="Q1902" s="2" t="b">
        <f t="shared" si="89"/>
        <v>0</v>
      </c>
      <c r="V1902" s="2"/>
      <c r="W1902" s="2"/>
      <c r="X1902" s="2"/>
      <c r="Y1902" s="2"/>
      <c r="Z1902" s="2"/>
      <c r="AA1902" s="2"/>
      <c r="AB1902" s="2"/>
      <c r="AC1902" s="2"/>
      <c r="AD1902" s="2"/>
      <c r="AE1902" s="2"/>
      <c r="AF1902" s="2"/>
      <c r="AG1902" s="2"/>
      <c r="AH1902" s="2"/>
      <c r="AI1902" s="2"/>
    </row>
    <row r="1903" spans="1:35" ht="14.25" customHeight="1" x14ac:dyDescent="0.2">
      <c r="A1903" s="1">
        <v>22407</v>
      </c>
      <c r="B1903" s="1" t="s">
        <v>1402</v>
      </c>
      <c r="C1903" s="1" t="s">
        <v>51</v>
      </c>
      <c r="D1903" s="2">
        <v>41960</v>
      </c>
      <c r="E1903" s="1" t="s">
        <v>22</v>
      </c>
      <c r="F1903" s="1" t="s">
        <v>1567</v>
      </c>
      <c r="G1903" s="1">
        <v>10</v>
      </c>
      <c r="H1903" s="1">
        <v>12.28</v>
      </c>
      <c r="I1903" s="1">
        <f t="shared" si="87"/>
        <v>122.8</v>
      </c>
      <c r="J1903" t="str">
        <f t="shared" si="88"/>
        <v>Low</v>
      </c>
      <c r="K1903" s="1"/>
      <c r="L1903" s="1">
        <v>0.02</v>
      </c>
      <c r="M1903" s="1">
        <v>6.47</v>
      </c>
      <c r="N1903" s="1" t="s">
        <v>33</v>
      </c>
      <c r="O1903" s="1" t="s">
        <v>34</v>
      </c>
      <c r="P1903" s="2">
        <v>41960</v>
      </c>
      <c r="Q1903" s="2" t="b">
        <f t="shared" si="89"/>
        <v>0</v>
      </c>
      <c r="V1903" s="2"/>
      <c r="W1903" s="2"/>
      <c r="X1903" s="2"/>
      <c r="Y1903" s="2"/>
      <c r="Z1903" s="2"/>
      <c r="AA1903" s="2"/>
      <c r="AB1903" s="2"/>
      <c r="AC1903" s="2"/>
      <c r="AD1903" s="2"/>
      <c r="AE1903" s="2"/>
      <c r="AF1903" s="2"/>
      <c r="AG1903" s="2"/>
      <c r="AH1903" s="2"/>
      <c r="AI1903" s="2"/>
    </row>
    <row r="1904" spans="1:35" ht="14.25" customHeight="1" x14ac:dyDescent="0.2">
      <c r="A1904" s="1">
        <v>22407</v>
      </c>
      <c r="B1904" s="1" t="s">
        <v>1402</v>
      </c>
      <c r="C1904" s="1" t="s">
        <v>21</v>
      </c>
      <c r="D1904" s="2">
        <v>41960</v>
      </c>
      <c r="E1904" s="1" t="s">
        <v>22</v>
      </c>
      <c r="F1904" s="1" t="s">
        <v>1568</v>
      </c>
      <c r="G1904" s="1">
        <v>15</v>
      </c>
      <c r="H1904" s="1">
        <v>34.58</v>
      </c>
      <c r="I1904" s="1">
        <f t="shared" si="87"/>
        <v>518.69999999999993</v>
      </c>
      <c r="J1904" t="str">
        <f t="shared" si="88"/>
        <v>Low</v>
      </c>
      <c r="K1904" s="1"/>
      <c r="L1904" s="1">
        <v>0.06</v>
      </c>
      <c r="M1904" s="1">
        <v>8.99</v>
      </c>
      <c r="N1904" s="1" t="s">
        <v>25</v>
      </c>
      <c r="O1904" s="1" t="s">
        <v>84</v>
      </c>
      <c r="P1904" s="2">
        <v>41962</v>
      </c>
      <c r="Q1904" s="2" t="b">
        <f t="shared" si="89"/>
        <v>0</v>
      </c>
      <c r="V1904" s="2"/>
      <c r="W1904" s="2"/>
      <c r="X1904" s="2"/>
      <c r="Y1904" s="2"/>
      <c r="Z1904" s="2"/>
      <c r="AA1904" s="2"/>
      <c r="AB1904" s="2"/>
      <c r="AC1904" s="2"/>
      <c r="AD1904" s="2"/>
      <c r="AE1904" s="2"/>
      <c r="AF1904" s="2"/>
      <c r="AG1904" s="2"/>
      <c r="AH1904" s="2"/>
      <c r="AI1904" s="2"/>
    </row>
    <row r="1905" spans="1:35" ht="14.25" customHeight="1" x14ac:dyDescent="0.2">
      <c r="A1905" s="1">
        <v>14336</v>
      </c>
      <c r="B1905" s="1" t="s">
        <v>549</v>
      </c>
      <c r="C1905" s="1" t="s">
        <v>51</v>
      </c>
      <c r="D1905" s="2">
        <v>41961</v>
      </c>
      <c r="E1905" s="1" t="s">
        <v>31</v>
      </c>
      <c r="F1905" s="1" t="s">
        <v>1569</v>
      </c>
      <c r="G1905" s="1">
        <v>4</v>
      </c>
      <c r="H1905" s="1">
        <v>39.99</v>
      </c>
      <c r="I1905" s="1">
        <f t="shared" si="87"/>
        <v>159.96</v>
      </c>
      <c r="J1905" t="str">
        <f t="shared" si="88"/>
        <v>Low</v>
      </c>
      <c r="K1905" s="1"/>
      <c r="L1905" s="1">
        <v>0.05</v>
      </c>
      <c r="M1905" s="1">
        <v>10.25</v>
      </c>
      <c r="N1905" s="1" t="s">
        <v>25</v>
      </c>
      <c r="O1905" s="1" t="s">
        <v>34</v>
      </c>
      <c r="P1905" s="2">
        <v>41962</v>
      </c>
      <c r="Q1905" s="2" t="b">
        <f t="shared" si="89"/>
        <v>0</v>
      </c>
      <c r="V1905" s="2"/>
      <c r="W1905" s="2"/>
      <c r="X1905" s="2"/>
      <c r="Y1905" s="2"/>
      <c r="Z1905" s="2"/>
      <c r="AA1905" s="2"/>
      <c r="AB1905" s="2"/>
      <c r="AC1905" s="2"/>
      <c r="AD1905" s="2"/>
      <c r="AE1905" s="2"/>
      <c r="AF1905" s="2"/>
      <c r="AG1905" s="2"/>
      <c r="AH1905" s="2"/>
      <c r="AI1905" s="2"/>
    </row>
    <row r="1906" spans="1:35" ht="14.25" customHeight="1" x14ac:dyDescent="0.2">
      <c r="A1906" s="1">
        <v>56608</v>
      </c>
      <c r="B1906" s="1" t="s">
        <v>1570</v>
      </c>
      <c r="C1906" s="1" t="s">
        <v>21</v>
      </c>
      <c r="D1906" s="2">
        <v>41961</v>
      </c>
      <c r="E1906" s="1" t="s">
        <v>38</v>
      </c>
      <c r="F1906" s="1" t="s">
        <v>1571</v>
      </c>
      <c r="G1906" s="1">
        <v>23</v>
      </c>
      <c r="H1906" s="1">
        <v>1.89</v>
      </c>
      <c r="I1906" s="1">
        <f t="shared" si="87"/>
        <v>43.47</v>
      </c>
      <c r="J1906" t="str">
        <f t="shared" si="88"/>
        <v>Low</v>
      </c>
      <c r="K1906" s="1"/>
      <c r="L1906" s="1">
        <v>0.1</v>
      </c>
      <c r="M1906" s="1">
        <v>0.76</v>
      </c>
      <c r="N1906" s="1" t="s">
        <v>33</v>
      </c>
      <c r="O1906" s="1" t="s">
        <v>55</v>
      </c>
      <c r="P1906" s="2">
        <v>41963</v>
      </c>
      <c r="Q1906" s="2" t="b">
        <f t="shared" si="89"/>
        <v>0</v>
      </c>
      <c r="V1906" s="2"/>
      <c r="W1906" s="2"/>
      <c r="X1906" s="2"/>
      <c r="Y1906" s="2"/>
      <c r="Z1906" s="2"/>
      <c r="AA1906" s="2"/>
      <c r="AB1906" s="2"/>
      <c r="AC1906" s="2"/>
      <c r="AD1906" s="2"/>
      <c r="AE1906" s="2"/>
      <c r="AF1906" s="2"/>
      <c r="AG1906" s="2"/>
      <c r="AH1906" s="2"/>
      <c r="AI1906" s="2"/>
    </row>
    <row r="1907" spans="1:35" ht="14.25" customHeight="1" x14ac:dyDescent="0.2">
      <c r="A1907" s="1">
        <v>17282</v>
      </c>
      <c r="B1907" s="1" t="s">
        <v>560</v>
      </c>
      <c r="C1907" s="1" t="s">
        <v>21</v>
      </c>
      <c r="D1907" s="2">
        <v>41961</v>
      </c>
      <c r="E1907" s="1" t="s">
        <v>43</v>
      </c>
      <c r="F1907" s="1" t="s">
        <v>1174</v>
      </c>
      <c r="G1907" s="1">
        <v>37</v>
      </c>
      <c r="H1907" s="1">
        <v>29.17</v>
      </c>
      <c r="I1907" s="1">
        <f t="shared" si="87"/>
        <v>1079.29</v>
      </c>
      <c r="J1907" t="str">
        <f t="shared" si="88"/>
        <v>High</v>
      </c>
      <c r="K1907" s="1"/>
      <c r="L1907" s="1">
        <v>0.09</v>
      </c>
      <c r="M1907" s="1">
        <v>6.27</v>
      </c>
      <c r="N1907" s="1" t="s">
        <v>33</v>
      </c>
      <c r="O1907" s="1" t="s">
        <v>34</v>
      </c>
      <c r="P1907" s="2">
        <v>41963</v>
      </c>
      <c r="Q1907" s="2" t="b">
        <f t="shared" si="89"/>
        <v>0</v>
      </c>
      <c r="V1907" s="2"/>
      <c r="W1907" s="2"/>
      <c r="X1907" s="2"/>
      <c r="Y1907" s="2"/>
      <c r="Z1907" s="2"/>
      <c r="AA1907" s="2"/>
      <c r="AB1907" s="2"/>
      <c r="AC1907" s="2"/>
      <c r="AD1907" s="2"/>
      <c r="AE1907" s="2"/>
      <c r="AF1907" s="2"/>
      <c r="AG1907" s="2"/>
      <c r="AH1907" s="2"/>
      <c r="AI1907" s="2"/>
    </row>
    <row r="1908" spans="1:35" ht="14.25" customHeight="1" x14ac:dyDescent="0.2">
      <c r="A1908" s="1">
        <v>15139</v>
      </c>
      <c r="B1908" s="1" t="s">
        <v>573</v>
      </c>
      <c r="C1908" s="1" t="s">
        <v>51</v>
      </c>
      <c r="D1908" s="2">
        <v>41962</v>
      </c>
      <c r="E1908" s="1" t="s">
        <v>31</v>
      </c>
      <c r="F1908" s="1" t="s">
        <v>523</v>
      </c>
      <c r="G1908" s="1">
        <v>17</v>
      </c>
      <c r="H1908" s="1">
        <v>300.98</v>
      </c>
      <c r="I1908" s="1">
        <f t="shared" si="87"/>
        <v>5116.66</v>
      </c>
      <c r="J1908" t="str">
        <f t="shared" si="88"/>
        <v>High</v>
      </c>
      <c r="K1908" s="1"/>
      <c r="L1908" s="1">
        <v>7.0000000000000007E-2</v>
      </c>
      <c r="M1908" s="1">
        <v>64.73</v>
      </c>
      <c r="N1908" s="1" t="s">
        <v>45</v>
      </c>
      <c r="O1908" s="1" t="s">
        <v>46</v>
      </c>
      <c r="P1908" s="2">
        <v>41964</v>
      </c>
      <c r="Q1908" s="2" t="b">
        <f t="shared" si="89"/>
        <v>0</v>
      </c>
      <c r="V1908" s="2"/>
      <c r="W1908" s="2"/>
      <c r="X1908" s="2"/>
      <c r="Y1908" s="2"/>
      <c r="Z1908" s="2"/>
      <c r="AA1908" s="2"/>
      <c r="AB1908" s="2"/>
      <c r="AC1908" s="2"/>
      <c r="AD1908" s="2"/>
      <c r="AE1908" s="2"/>
      <c r="AF1908" s="2"/>
      <c r="AG1908" s="2"/>
      <c r="AH1908" s="2"/>
      <c r="AI1908" s="2"/>
    </row>
    <row r="1909" spans="1:35" ht="14.25" customHeight="1" x14ac:dyDescent="0.2">
      <c r="A1909" s="1">
        <v>15139</v>
      </c>
      <c r="B1909" s="1" t="s">
        <v>573</v>
      </c>
      <c r="C1909" s="1" t="s">
        <v>21</v>
      </c>
      <c r="D1909" s="2">
        <v>41962</v>
      </c>
      <c r="E1909" s="1" t="s">
        <v>31</v>
      </c>
      <c r="F1909" s="1" t="s">
        <v>1074</v>
      </c>
      <c r="G1909" s="1">
        <v>33</v>
      </c>
      <c r="H1909" s="1">
        <v>20.98</v>
      </c>
      <c r="I1909" s="1">
        <f t="shared" si="87"/>
        <v>692.34</v>
      </c>
      <c r="J1909" t="str">
        <f t="shared" si="88"/>
        <v>Low</v>
      </c>
      <c r="K1909" s="1"/>
      <c r="L1909" s="1">
        <v>0.01</v>
      </c>
      <c r="M1909" s="1">
        <v>45</v>
      </c>
      <c r="N1909" s="1" t="s">
        <v>45</v>
      </c>
      <c r="O1909" s="1" t="s">
        <v>46</v>
      </c>
      <c r="P1909" s="2">
        <v>41962</v>
      </c>
      <c r="Q1909" s="2" t="b">
        <f t="shared" si="89"/>
        <v>0</v>
      </c>
      <c r="V1909" s="2"/>
      <c r="W1909" s="2"/>
      <c r="X1909" s="2"/>
      <c r="Y1909" s="2"/>
      <c r="Z1909" s="2"/>
      <c r="AA1909" s="2"/>
      <c r="AB1909" s="2"/>
      <c r="AC1909" s="2"/>
      <c r="AD1909" s="2"/>
      <c r="AE1909" s="2"/>
      <c r="AF1909" s="2"/>
      <c r="AG1909" s="2"/>
      <c r="AH1909" s="2"/>
      <c r="AI1909" s="2"/>
    </row>
    <row r="1910" spans="1:35" ht="14.25" customHeight="1" x14ac:dyDescent="0.2">
      <c r="A1910" s="1">
        <v>5920</v>
      </c>
      <c r="B1910" s="1" t="s">
        <v>1090</v>
      </c>
      <c r="C1910" s="1" t="s">
        <v>30</v>
      </c>
      <c r="D1910" s="2">
        <v>41962</v>
      </c>
      <c r="E1910" s="1" t="s">
        <v>31</v>
      </c>
      <c r="F1910" s="1" t="s">
        <v>52</v>
      </c>
      <c r="G1910" s="1">
        <v>4</v>
      </c>
      <c r="H1910" s="1">
        <v>155.06</v>
      </c>
      <c r="I1910" s="1">
        <f t="shared" si="87"/>
        <v>620.24</v>
      </c>
      <c r="J1910" t="str">
        <f t="shared" si="88"/>
        <v>Low</v>
      </c>
      <c r="K1910" s="1"/>
      <c r="L1910" s="1">
        <v>7.0000000000000007E-2</v>
      </c>
      <c r="M1910" s="1">
        <v>7.07</v>
      </c>
      <c r="N1910" s="1" t="s">
        <v>33</v>
      </c>
      <c r="O1910" s="1" t="s">
        <v>34</v>
      </c>
      <c r="P1910" s="2">
        <v>41962</v>
      </c>
      <c r="Q1910" s="2" t="b">
        <f t="shared" si="89"/>
        <v>0</v>
      </c>
      <c r="V1910" s="2"/>
      <c r="W1910" s="2"/>
      <c r="X1910" s="2"/>
      <c r="Y1910" s="2"/>
      <c r="Z1910" s="2"/>
      <c r="AA1910" s="2"/>
      <c r="AB1910" s="2"/>
      <c r="AC1910" s="2"/>
      <c r="AD1910" s="2"/>
      <c r="AE1910" s="2"/>
      <c r="AF1910" s="2"/>
      <c r="AG1910" s="2"/>
      <c r="AH1910" s="2"/>
      <c r="AI1910" s="2"/>
    </row>
    <row r="1911" spans="1:35" ht="14.25" customHeight="1" x14ac:dyDescent="0.2">
      <c r="A1911" s="1">
        <v>40965</v>
      </c>
      <c r="B1911" s="1" t="s">
        <v>1417</v>
      </c>
      <c r="C1911" s="1" t="s">
        <v>30</v>
      </c>
      <c r="D1911" s="2">
        <v>41963</v>
      </c>
      <c r="E1911" s="1" t="s">
        <v>101</v>
      </c>
      <c r="F1911" s="1" t="s">
        <v>550</v>
      </c>
      <c r="G1911" s="1">
        <v>29</v>
      </c>
      <c r="H1911" s="1">
        <v>30.98</v>
      </c>
      <c r="I1911" s="1">
        <f t="shared" si="87"/>
        <v>898.42</v>
      </c>
      <c r="J1911" t="str">
        <f t="shared" si="88"/>
        <v>Low</v>
      </c>
      <c r="K1911" s="1"/>
      <c r="L1911" s="1">
        <v>0.08</v>
      </c>
      <c r="M1911" s="1">
        <v>8.74</v>
      </c>
      <c r="N1911" s="1" t="s">
        <v>33</v>
      </c>
      <c r="O1911" s="1" t="s">
        <v>34</v>
      </c>
      <c r="P1911" s="2">
        <v>41964</v>
      </c>
      <c r="Q1911" s="2" t="b">
        <f t="shared" si="89"/>
        <v>0</v>
      </c>
      <c r="V1911" s="2"/>
      <c r="W1911" s="2"/>
      <c r="X1911" s="2"/>
      <c r="Y1911" s="2"/>
      <c r="Z1911" s="2"/>
      <c r="AA1911" s="2"/>
      <c r="AB1911" s="2"/>
      <c r="AC1911" s="2"/>
      <c r="AD1911" s="2"/>
      <c r="AE1911" s="2"/>
      <c r="AF1911" s="2"/>
      <c r="AG1911" s="2"/>
      <c r="AH1911" s="2"/>
      <c r="AI1911" s="2"/>
    </row>
    <row r="1912" spans="1:35" ht="14.25" customHeight="1" x14ac:dyDescent="0.2">
      <c r="A1912" s="1">
        <v>48198</v>
      </c>
      <c r="B1912" s="1" t="s">
        <v>644</v>
      </c>
      <c r="C1912" s="1" t="s">
        <v>21</v>
      </c>
      <c r="D1912" s="2">
        <v>41963</v>
      </c>
      <c r="E1912" s="1" t="s">
        <v>38</v>
      </c>
      <c r="F1912" s="1" t="s">
        <v>512</v>
      </c>
      <c r="G1912" s="1">
        <v>7</v>
      </c>
      <c r="H1912" s="1">
        <v>442.14</v>
      </c>
      <c r="I1912" s="1">
        <f t="shared" si="87"/>
        <v>3094.98</v>
      </c>
      <c r="J1912" t="str">
        <f t="shared" si="88"/>
        <v>High</v>
      </c>
      <c r="K1912" s="1"/>
      <c r="L1912" s="1">
        <v>0.1</v>
      </c>
      <c r="M1912" s="1">
        <v>14.7</v>
      </c>
      <c r="N1912" s="1" t="s">
        <v>45</v>
      </c>
      <c r="O1912" s="1" t="s">
        <v>46</v>
      </c>
      <c r="P1912" s="2">
        <v>41964</v>
      </c>
      <c r="Q1912" s="2" t="b">
        <f t="shared" si="89"/>
        <v>0</v>
      </c>
      <c r="V1912" s="2"/>
      <c r="W1912" s="2"/>
      <c r="X1912" s="2"/>
      <c r="Y1912" s="2"/>
      <c r="Z1912" s="2"/>
      <c r="AA1912" s="2"/>
      <c r="AB1912" s="2"/>
      <c r="AC1912" s="2"/>
      <c r="AD1912" s="2"/>
      <c r="AE1912" s="2"/>
      <c r="AF1912" s="2"/>
      <c r="AG1912" s="2"/>
      <c r="AH1912" s="2"/>
      <c r="AI1912" s="2"/>
    </row>
    <row r="1913" spans="1:35" ht="14.25" customHeight="1" x14ac:dyDescent="0.2">
      <c r="A1913" s="1">
        <v>48198</v>
      </c>
      <c r="B1913" s="1" t="s">
        <v>644</v>
      </c>
      <c r="C1913" s="1" t="s">
        <v>51</v>
      </c>
      <c r="D1913" s="2">
        <v>41963</v>
      </c>
      <c r="E1913" s="1" t="s">
        <v>38</v>
      </c>
      <c r="F1913" s="1" t="s">
        <v>278</v>
      </c>
      <c r="G1913" s="1">
        <v>45</v>
      </c>
      <c r="H1913" s="1">
        <v>60.22</v>
      </c>
      <c r="I1913" s="1">
        <f t="shared" si="87"/>
        <v>2709.9</v>
      </c>
      <c r="J1913" t="str">
        <f t="shared" si="88"/>
        <v>High</v>
      </c>
      <c r="K1913" s="1"/>
      <c r="L1913" s="1">
        <v>0.01</v>
      </c>
      <c r="M1913" s="1">
        <v>3.5</v>
      </c>
      <c r="N1913" s="1" t="s">
        <v>33</v>
      </c>
      <c r="O1913" s="1" t="s">
        <v>34</v>
      </c>
      <c r="P1913" s="2">
        <v>41965</v>
      </c>
      <c r="Q1913" s="2" t="b">
        <f t="shared" si="89"/>
        <v>0</v>
      </c>
      <c r="V1913" s="2"/>
      <c r="W1913" s="2"/>
      <c r="X1913" s="2"/>
      <c r="Y1913" s="2"/>
      <c r="Z1913" s="2"/>
      <c r="AA1913" s="2"/>
      <c r="AB1913" s="2"/>
      <c r="AC1913" s="2"/>
      <c r="AD1913" s="2"/>
      <c r="AE1913" s="2"/>
      <c r="AF1913" s="2"/>
      <c r="AG1913" s="2"/>
      <c r="AH1913" s="2"/>
      <c r="AI1913" s="2"/>
    </row>
    <row r="1914" spans="1:35" ht="14.25" customHeight="1" x14ac:dyDescent="0.2">
      <c r="A1914" s="1">
        <v>57409</v>
      </c>
      <c r="B1914" s="1" t="s">
        <v>1237</v>
      </c>
      <c r="C1914" s="1" t="s">
        <v>21</v>
      </c>
      <c r="D1914" s="2">
        <v>41963</v>
      </c>
      <c r="E1914" s="1" t="s">
        <v>22</v>
      </c>
      <c r="F1914" s="1" t="s">
        <v>878</v>
      </c>
      <c r="G1914" s="1">
        <v>1</v>
      </c>
      <c r="H1914" s="1">
        <v>100.98</v>
      </c>
      <c r="I1914" s="1">
        <f t="shared" si="87"/>
        <v>100.98</v>
      </c>
      <c r="J1914" t="str">
        <f t="shared" si="88"/>
        <v>Low</v>
      </c>
      <c r="K1914" s="1"/>
      <c r="L1914" s="1">
        <v>0.1</v>
      </c>
      <c r="M1914" s="1">
        <v>7.18</v>
      </c>
      <c r="N1914" s="1" t="s">
        <v>33</v>
      </c>
      <c r="O1914" s="1" t="s">
        <v>34</v>
      </c>
      <c r="P1914" s="2">
        <v>41964</v>
      </c>
      <c r="Q1914" s="2" t="b">
        <f t="shared" si="89"/>
        <v>0</v>
      </c>
      <c r="V1914" s="2"/>
      <c r="W1914" s="2"/>
      <c r="X1914" s="2"/>
      <c r="Y1914" s="2"/>
      <c r="Z1914" s="2"/>
      <c r="AA1914" s="2"/>
      <c r="AB1914" s="2"/>
      <c r="AC1914" s="2"/>
      <c r="AD1914" s="2"/>
      <c r="AE1914" s="2"/>
      <c r="AF1914" s="2"/>
      <c r="AG1914" s="2"/>
      <c r="AH1914" s="2"/>
      <c r="AI1914" s="2"/>
    </row>
    <row r="1915" spans="1:35" ht="14.25" customHeight="1" x14ac:dyDescent="0.2">
      <c r="A1915" s="1">
        <v>57409</v>
      </c>
      <c r="B1915" s="1" t="s">
        <v>1237</v>
      </c>
      <c r="C1915" s="1" t="s">
        <v>30</v>
      </c>
      <c r="D1915" s="2">
        <v>41963</v>
      </c>
      <c r="E1915" s="1" t="s">
        <v>22</v>
      </c>
      <c r="F1915" s="1" t="s">
        <v>1222</v>
      </c>
      <c r="G1915" s="1">
        <v>34</v>
      </c>
      <c r="H1915" s="1">
        <v>205.99</v>
      </c>
      <c r="I1915" s="1">
        <f t="shared" si="87"/>
        <v>7003.66</v>
      </c>
      <c r="J1915" t="str">
        <f t="shared" si="88"/>
        <v>High</v>
      </c>
      <c r="K1915" s="1"/>
      <c r="L1915" s="1">
        <v>0.03</v>
      </c>
      <c r="M1915" s="1">
        <v>3</v>
      </c>
      <c r="N1915" s="1" t="s">
        <v>33</v>
      </c>
      <c r="O1915" s="1" t="s">
        <v>34</v>
      </c>
      <c r="P1915" s="2">
        <v>41964</v>
      </c>
      <c r="Q1915" s="2" t="b">
        <f t="shared" si="89"/>
        <v>0</v>
      </c>
      <c r="V1915" s="2"/>
      <c r="W1915" s="2"/>
      <c r="X1915" s="2"/>
      <c r="Y1915" s="2"/>
      <c r="Z1915" s="2"/>
      <c r="AA1915" s="2"/>
      <c r="AB1915" s="2"/>
      <c r="AC1915" s="2"/>
      <c r="AD1915" s="2"/>
      <c r="AE1915" s="2"/>
      <c r="AF1915" s="2"/>
      <c r="AG1915" s="2"/>
      <c r="AH1915" s="2"/>
      <c r="AI1915" s="2"/>
    </row>
    <row r="1916" spans="1:35" ht="14.25" customHeight="1" x14ac:dyDescent="0.2">
      <c r="A1916" s="1">
        <v>40965</v>
      </c>
      <c r="B1916" s="1" t="s">
        <v>1417</v>
      </c>
      <c r="C1916" s="1" t="s">
        <v>30</v>
      </c>
      <c r="D1916" s="2">
        <v>41963</v>
      </c>
      <c r="E1916" s="1" t="s">
        <v>101</v>
      </c>
      <c r="F1916" s="1" t="s">
        <v>1572</v>
      </c>
      <c r="G1916" s="1">
        <v>48</v>
      </c>
      <c r="H1916" s="1">
        <v>159.31</v>
      </c>
      <c r="I1916" s="1">
        <f t="shared" si="87"/>
        <v>7646.88</v>
      </c>
      <c r="J1916" t="str">
        <f t="shared" si="88"/>
        <v>High</v>
      </c>
      <c r="K1916" s="1"/>
      <c r="L1916" s="1">
        <v>0.09</v>
      </c>
      <c r="M1916" s="1">
        <v>60</v>
      </c>
      <c r="N1916" s="1" t="s">
        <v>45</v>
      </c>
      <c r="O1916" s="1" t="s">
        <v>46</v>
      </c>
      <c r="P1916" s="2">
        <v>41965</v>
      </c>
      <c r="Q1916" s="2" t="b">
        <f t="shared" si="89"/>
        <v>0</v>
      </c>
      <c r="V1916" s="2"/>
      <c r="W1916" s="2"/>
      <c r="X1916" s="2"/>
      <c r="Y1916" s="2"/>
      <c r="Z1916" s="2"/>
      <c r="AA1916" s="2"/>
      <c r="AB1916" s="2"/>
      <c r="AC1916" s="2"/>
      <c r="AD1916" s="2"/>
      <c r="AE1916" s="2"/>
      <c r="AF1916" s="2"/>
      <c r="AG1916" s="2"/>
      <c r="AH1916" s="2"/>
      <c r="AI1916" s="2"/>
    </row>
    <row r="1917" spans="1:35" ht="14.25" customHeight="1" x14ac:dyDescent="0.2">
      <c r="A1917" s="1">
        <v>40965</v>
      </c>
      <c r="B1917" s="1" t="s">
        <v>1417</v>
      </c>
      <c r="C1917" s="1" t="s">
        <v>30</v>
      </c>
      <c r="D1917" s="2">
        <v>41963</v>
      </c>
      <c r="E1917" s="1" t="s">
        <v>101</v>
      </c>
      <c r="F1917" s="1" t="s">
        <v>752</v>
      </c>
      <c r="G1917" s="1">
        <v>39</v>
      </c>
      <c r="H1917" s="1">
        <v>55.99</v>
      </c>
      <c r="I1917" s="1">
        <f t="shared" si="87"/>
        <v>2183.61</v>
      </c>
      <c r="J1917" t="str">
        <f t="shared" si="88"/>
        <v>High</v>
      </c>
      <c r="K1917" s="1"/>
      <c r="L1917" s="1">
        <v>0.06</v>
      </c>
      <c r="M1917" s="1">
        <v>5</v>
      </c>
      <c r="N1917" s="1" t="s">
        <v>33</v>
      </c>
      <c r="O1917" s="1" t="s">
        <v>84</v>
      </c>
      <c r="P1917" s="2">
        <v>41965</v>
      </c>
      <c r="Q1917" s="2" t="b">
        <f t="shared" si="89"/>
        <v>0</v>
      </c>
      <c r="V1917" s="2"/>
      <c r="W1917" s="2"/>
      <c r="X1917" s="2"/>
      <c r="Y1917" s="2"/>
      <c r="Z1917" s="2"/>
      <c r="AA1917" s="2"/>
      <c r="AB1917" s="2"/>
      <c r="AC1917" s="2"/>
      <c r="AD1917" s="2"/>
      <c r="AE1917" s="2"/>
      <c r="AF1917" s="2"/>
      <c r="AG1917" s="2"/>
      <c r="AH1917" s="2"/>
      <c r="AI1917" s="2"/>
    </row>
    <row r="1918" spans="1:35" ht="14.25" customHeight="1" x14ac:dyDescent="0.2">
      <c r="A1918" s="1">
        <v>25926</v>
      </c>
      <c r="B1918" s="1" t="s">
        <v>173</v>
      </c>
      <c r="C1918" s="1" t="s">
        <v>30</v>
      </c>
      <c r="D1918" s="2">
        <v>41963</v>
      </c>
      <c r="E1918" s="1" t="s">
        <v>31</v>
      </c>
      <c r="F1918" s="1" t="s">
        <v>362</v>
      </c>
      <c r="G1918" s="1">
        <v>20</v>
      </c>
      <c r="H1918" s="1">
        <v>218.75</v>
      </c>
      <c r="I1918" s="1">
        <f t="shared" si="87"/>
        <v>4375</v>
      </c>
      <c r="J1918" t="str">
        <f t="shared" si="88"/>
        <v>High</v>
      </c>
      <c r="K1918" s="1"/>
      <c r="L1918" s="1">
        <v>0.1</v>
      </c>
      <c r="M1918" s="1">
        <v>69.64</v>
      </c>
      <c r="N1918" s="1" t="s">
        <v>45</v>
      </c>
      <c r="O1918" s="1" t="s">
        <v>63</v>
      </c>
      <c r="P1918" s="2">
        <v>41964</v>
      </c>
      <c r="Q1918" s="2" t="b">
        <f t="shared" si="89"/>
        <v>0</v>
      </c>
      <c r="V1918" s="2"/>
      <c r="W1918" s="2"/>
      <c r="X1918" s="2"/>
      <c r="Y1918" s="2"/>
      <c r="Z1918" s="2"/>
      <c r="AA1918" s="2"/>
      <c r="AB1918" s="2"/>
      <c r="AC1918" s="2"/>
      <c r="AD1918" s="2"/>
      <c r="AE1918" s="2"/>
      <c r="AF1918" s="2"/>
      <c r="AG1918" s="2"/>
      <c r="AH1918" s="2"/>
      <c r="AI1918" s="2"/>
    </row>
    <row r="1919" spans="1:35" ht="14.25" customHeight="1" x14ac:dyDescent="0.2">
      <c r="A1919" s="1">
        <v>25926</v>
      </c>
      <c r="B1919" s="1" t="s">
        <v>173</v>
      </c>
      <c r="C1919" s="1" t="s">
        <v>51</v>
      </c>
      <c r="D1919" s="2">
        <v>41963</v>
      </c>
      <c r="E1919" s="1" t="s">
        <v>31</v>
      </c>
      <c r="F1919" s="1" t="s">
        <v>452</v>
      </c>
      <c r="G1919" s="1">
        <v>23</v>
      </c>
      <c r="H1919" s="1">
        <v>14.27</v>
      </c>
      <c r="I1919" s="1">
        <f t="shared" si="87"/>
        <v>328.21</v>
      </c>
      <c r="J1919" t="str">
        <f t="shared" si="88"/>
        <v>Low</v>
      </c>
      <c r="K1919" s="1"/>
      <c r="L1919" s="1">
        <v>0.05</v>
      </c>
      <c r="M1919" s="1">
        <v>7.27</v>
      </c>
      <c r="N1919" s="1" t="s">
        <v>33</v>
      </c>
      <c r="O1919" s="1" t="s">
        <v>34</v>
      </c>
      <c r="P1919" s="2">
        <v>41965</v>
      </c>
      <c r="Q1919" s="2" t="b">
        <f t="shared" si="89"/>
        <v>0</v>
      </c>
      <c r="V1919" s="2"/>
      <c r="W1919" s="2"/>
      <c r="X1919" s="2"/>
      <c r="Y1919" s="2"/>
      <c r="Z1919" s="2"/>
      <c r="AA1919" s="2"/>
      <c r="AB1919" s="2"/>
      <c r="AC1919" s="2"/>
      <c r="AD1919" s="2"/>
      <c r="AE1919" s="2"/>
      <c r="AF1919" s="2"/>
      <c r="AG1919" s="2"/>
      <c r="AH1919" s="2"/>
      <c r="AI1919" s="2"/>
    </row>
    <row r="1920" spans="1:35" ht="14.25" customHeight="1" x14ac:dyDescent="0.2">
      <c r="A1920" s="1">
        <v>3042</v>
      </c>
      <c r="B1920" s="1" t="s">
        <v>885</v>
      </c>
      <c r="C1920" s="1" t="s">
        <v>30</v>
      </c>
      <c r="D1920" s="2">
        <v>41963</v>
      </c>
      <c r="E1920" s="1" t="s">
        <v>101</v>
      </c>
      <c r="F1920" s="1" t="s">
        <v>69</v>
      </c>
      <c r="G1920" s="1">
        <v>26</v>
      </c>
      <c r="H1920" s="1">
        <v>4.26</v>
      </c>
      <c r="I1920" s="1">
        <f t="shared" si="87"/>
        <v>110.75999999999999</v>
      </c>
      <c r="J1920" t="str">
        <f t="shared" si="88"/>
        <v>Low</v>
      </c>
      <c r="K1920" s="1"/>
      <c r="L1920" s="1">
        <v>0.1</v>
      </c>
      <c r="M1920" s="1">
        <v>1.2</v>
      </c>
      <c r="N1920" s="1" t="s">
        <v>33</v>
      </c>
      <c r="O1920" s="1" t="s">
        <v>55</v>
      </c>
      <c r="P1920" s="2">
        <v>41964</v>
      </c>
      <c r="Q1920" s="2" t="b">
        <f t="shared" si="89"/>
        <v>0</v>
      </c>
      <c r="V1920" s="2"/>
      <c r="W1920" s="2"/>
      <c r="X1920" s="2"/>
      <c r="Y1920" s="2"/>
      <c r="Z1920" s="2"/>
      <c r="AA1920" s="2"/>
      <c r="AB1920" s="2"/>
      <c r="AC1920" s="2"/>
      <c r="AD1920" s="2"/>
      <c r="AE1920" s="2"/>
      <c r="AF1920" s="2"/>
      <c r="AG1920" s="2"/>
      <c r="AH1920" s="2"/>
      <c r="AI1920" s="2"/>
    </row>
    <row r="1921" spans="1:35" ht="14.25" customHeight="1" x14ac:dyDescent="0.2">
      <c r="A1921" s="1">
        <v>12706</v>
      </c>
      <c r="B1921" s="1" t="s">
        <v>733</v>
      </c>
      <c r="C1921" s="1" t="s">
        <v>21</v>
      </c>
      <c r="D1921" s="2">
        <v>41963</v>
      </c>
      <c r="E1921" s="1" t="s">
        <v>38</v>
      </c>
      <c r="F1921" s="1" t="s">
        <v>1465</v>
      </c>
      <c r="G1921" s="1">
        <v>46</v>
      </c>
      <c r="H1921" s="1">
        <v>58.14</v>
      </c>
      <c r="I1921" s="1">
        <f t="shared" si="87"/>
        <v>2674.44</v>
      </c>
      <c r="J1921" t="str">
        <f t="shared" si="88"/>
        <v>High</v>
      </c>
      <c r="K1921" s="1"/>
      <c r="L1921" s="1">
        <v>0.09</v>
      </c>
      <c r="M1921" s="1">
        <v>36.61</v>
      </c>
      <c r="N1921" s="1" t="s">
        <v>45</v>
      </c>
      <c r="O1921" s="1" t="s">
        <v>63</v>
      </c>
      <c r="P1921" s="2">
        <v>41964</v>
      </c>
      <c r="Q1921" s="2" t="b">
        <f t="shared" si="89"/>
        <v>0</v>
      </c>
      <c r="V1921" s="2"/>
      <c r="W1921" s="2"/>
      <c r="X1921" s="2"/>
      <c r="Y1921" s="2"/>
      <c r="Z1921" s="2"/>
      <c r="AA1921" s="2"/>
      <c r="AB1921" s="2"/>
      <c r="AC1921" s="2"/>
      <c r="AD1921" s="2"/>
      <c r="AE1921" s="2"/>
      <c r="AF1921" s="2"/>
      <c r="AG1921" s="2"/>
      <c r="AH1921" s="2"/>
      <c r="AI1921" s="2"/>
    </row>
    <row r="1922" spans="1:35" ht="14.25" customHeight="1" x14ac:dyDescent="0.2">
      <c r="A1922" s="1">
        <v>33189</v>
      </c>
      <c r="B1922" s="1" t="s">
        <v>1573</v>
      </c>
      <c r="C1922" s="1" t="s">
        <v>30</v>
      </c>
      <c r="D1922" s="2">
        <v>41963</v>
      </c>
      <c r="E1922" s="1" t="s">
        <v>43</v>
      </c>
      <c r="F1922" s="1" t="s">
        <v>940</v>
      </c>
      <c r="G1922" s="1">
        <v>3</v>
      </c>
      <c r="H1922" s="1">
        <v>27.48</v>
      </c>
      <c r="I1922" s="1">
        <f t="shared" ref="I1922:I1985" si="90">G1922*H1922</f>
        <v>82.44</v>
      </c>
      <c r="J1922" t="str">
        <f t="shared" ref="J1922:J1985" si="91">IF(I1922&lt;1000,"Low","High")</f>
        <v>Low</v>
      </c>
      <c r="K1922" s="1"/>
      <c r="L1922" s="1">
        <v>0.02</v>
      </c>
      <c r="M1922" s="1">
        <v>4</v>
      </c>
      <c r="N1922" s="1" t="s">
        <v>33</v>
      </c>
      <c r="O1922" s="1" t="s">
        <v>34</v>
      </c>
      <c r="P1922" s="2">
        <v>41970</v>
      </c>
      <c r="Q1922" s="2" t="b">
        <f t="shared" ref="Q1922:Q1985" si="92">AND(N1922="Express Air",O1922="Large Box")</f>
        <v>0</v>
      </c>
      <c r="V1922" s="2"/>
      <c r="W1922" s="2"/>
      <c r="X1922" s="2"/>
      <c r="Y1922" s="2"/>
      <c r="Z1922" s="2"/>
      <c r="AA1922" s="2"/>
      <c r="AB1922" s="2"/>
      <c r="AC1922" s="2"/>
      <c r="AD1922" s="2"/>
      <c r="AE1922" s="2"/>
      <c r="AF1922" s="2"/>
      <c r="AG1922" s="2"/>
      <c r="AH1922" s="2"/>
      <c r="AI1922" s="2"/>
    </row>
    <row r="1923" spans="1:35" ht="14.25" customHeight="1" x14ac:dyDescent="0.2">
      <c r="A1923" s="1">
        <v>33189</v>
      </c>
      <c r="B1923" s="1" t="s">
        <v>1573</v>
      </c>
      <c r="C1923" s="1" t="s">
        <v>21</v>
      </c>
      <c r="D1923" s="2">
        <v>41963</v>
      </c>
      <c r="E1923" s="1" t="s">
        <v>43</v>
      </c>
      <c r="F1923" s="1" t="s">
        <v>1182</v>
      </c>
      <c r="G1923" s="1">
        <v>5</v>
      </c>
      <c r="H1923" s="1">
        <v>10.06</v>
      </c>
      <c r="I1923" s="1">
        <f t="shared" si="90"/>
        <v>50.300000000000004</v>
      </c>
      <c r="J1923" t="str">
        <f t="shared" si="91"/>
        <v>Low</v>
      </c>
      <c r="K1923" s="1"/>
      <c r="L1923" s="1">
        <v>0.08</v>
      </c>
      <c r="M1923" s="1">
        <v>2.06</v>
      </c>
      <c r="N1923" s="1" t="s">
        <v>33</v>
      </c>
      <c r="O1923" s="1" t="s">
        <v>55</v>
      </c>
      <c r="P1923" s="2">
        <v>41967</v>
      </c>
      <c r="Q1923" s="2" t="b">
        <f t="shared" si="92"/>
        <v>0</v>
      </c>
      <c r="V1923" s="2"/>
      <c r="W1923" s="2"/>
      <c r="X1923" s="2"/>
      <c r="Y1923" s="2"/>
      <c r="Z1923" s="2"/>
      <c r="AA1923" s="2"/>
      <c r="AB1923" s="2"/>
      <c r="AC1923" s="2"/>
      <c r="AD1923" s="2"/>
      <c r="AE1923" s="2"/>
      <c r="AF1923" s="2"/>
      <c r="AG1923" s="2"/>
      <c r="AH1923" s="2"/>
      <c r="AI1923" s="2"/>
    </row>
    <row r="1924" spans="1:35" ht="14.25" customHeight="1" x14ac:dyDescent="0.2">
      <c r="A1924" s="1">
        <v>646</v>
      </c>
      <c r="B1924" s="1" t="s">
        <v>996</v>
      </c>
      <c r="C1924" s="1" t="s">
        <v>21</v>
      </c>
      <c r="D1924" s="2">
        <v>41964</v>
      </c>
      <c r="E1924" s="1" t="s">
        <v>31</v>
      </c>
      <c r="F1924" s="1" t="s">
        <v>1574</v>
      </c>
      <c r="G1924" s="1">
        <v>18</v>
      </c>
      <c r="H1924" s="1">
        <v>9.31</v>
      </c>
      <c r="I1924" s="1">
        <f t="shared" si="90"/>
        <v>167.58</v>
      </c>
      <c r="J1924" t="str">
        <f t="shared" si="91"/>
        <v>Low</v>
      </c>
      <c r="K1924" s="1"/>
      <c r="L1924" s="1">
        <v>0.01</v>
      </c>
      <c r="M1924" s="1">
        <v>3.98</v>
      </c>
      <c r="N1924" s="1" t="s">
        <v>33</v>
      </c>
      <c r="O1924" s="1" t="s">
        <v>84</v>
      </c>
      <c r="P1924" s="2">
        <v>41965</v>
      </c>
      <c r="Q1924" s="2" t="b">
        <f t="shared" si="92"/>
        <v>0</v>
      </c>
      <c r="V1924" s="2"/>
      <c r="W1924" s="2"/>
      <c r="X1924" s="2"/>
      <c r="Y1924" s="2"/>
      <c r="Z1924" s="2"/>
      <c r="AA1924" s="2"/>
      <c r="AB1924" s="2"/>
      <c r="AC1924" s="2"/>
      <c r="AD1924" s="2"/>
      <c r="AE1924" s="2"/>
      <c r="AF1924" s="2"/>
      <c r="AG1924" s="2"/>
      <c r="AH1924" s="2"/>
      <c r="AI1924" s="2"/>
    </row>
    <row r="1925" spans="1:35" ht="14.25" customHeight="1" x14ac:dyDescent="0.2">
      <c r="A1925" s="1">
        <v>23971</v>
      </c>
      <c r="B1925" s="1" t="s">
        <v>275</v>
      </c>
      <c r="C1925" s="1" t="s">
        <v>51</v>
      </c>
      <c r="D1925" s="2">
        <v>41964</v>
      </c>
      <c r="E1925" s="1" t="s">
        <v>38</v>
      </c>
      <c r="F1925" s="1" t="s">
        <v>722</v>
      </c>
      <c r="G1925" s="1">
        <v>5</v>
      </c>
      <c r="H1925" s="1">
        <v>11.97</v>
      </c>
      <c r="I1925" s="1">
        <f t="shared" si="90"/>
        <v>59.85</v>
      </c>
      <c r="J1925" t="str">
        <f t="shared" si="91"/>
        <v>Low</v>
      </c>
      <c r="K1925" s="1"/>
      <c r="L1925" s="1">
        <v>0</v>
      </c>
      <c r="M1925" s="1">
        <v>4.9800000000000004</v>
      </c>
      <c r="N1925" s="1" t="s">
        <v>33</v>
      </c>
      <c r="O1925" s="1" t="s">
        <v>34</v>
      </c>
      <c r="P1925" s="2">
        <v>41967</v>
      </c>
      <c r="Q1925" s="2" t="b">
        <f t="shared" si="92"/>
        <v>0</v>
      </c>
      <c r="V1925" s="2"/>
      <c r="W1925" s="2"/>
      <c r="X1925" s="2"/>
      <c r="Y1925" s="2"/>
      <c r="Z1925" s="2"/>
      <c r="AA1925" s="2"/>
      <c r="AB1925" s="2"/>
      <c r="AC1925" s="2"/>
      <c r="AD1925" s="2"/>
      <c r="AE1925" s="2"/>
      <c r="AF1925" s="2"/>
      <c r="AG1925" s="2"/>
      <c r="AH1925" s="2"/>
      <c r="AI1925" s="2"/>
    </row>
    <row r="1926" spans="1:35" ht="14.25" customHeight="1" x14ac:dyDescent="0.2">
      <c r="A1926" s="1">
        <v>24614</v>
      </c>
      <c r="B1926" s="1" t="s">
        <v>431</v>
      </c>
      <c r="C1926" s="1" t="s">
        <v>21</v>
      </c>
      <c r="D1926" s="2">
        <v>41964</v>
      </c>
      <c r="E1926" s="1" t="s">
        <v>43</v>
      </c>
      <c r="F1926" s="1" t="s">
        <v>1451</v>
      </c>
      <c r="G1926" s="1">
        <v>33</v>
      </c>
      <c r="H1926" s="1">
        <v>50.98</v>
      </c>
      <c r="I1926" s="1">
        <f t="shared" si="90"/>
        <v>1682.34</v>
      </c>
      <c r="J1926" t="str">
        <f t="shared" si="91"/>
        <v>High</v>
      </c>
      <c r="K1926" s="1"/>
      <c r="L1926" s="1">
        <v>0.09</v>
      </c>
      <c r="M1926" s="1">
        <v>6.5</v>
      </c>
      <c r="N1926" s="1" t="s">
        <v>33</v>
      </c>
      <c r="O1926" s="1" t="s">
        <v>34</v>
      </c>
      <c r="P1926" s="2">
        <v>41971</v>
      </c>
      <c r="Q1926" s="2" t="b">
        <f t="shared" si="92"/>
        <v>0</v>
      </c>
      <c r="V1926" s="2"/>
      <c r="W1926" s="2"/>
      <c r="X1926" s="2"/>
      <c r="Y1926" s="2"/>
      <c r="Z1926" s="2"/>
      <c r="AA1926" s="2"/>
      <c r="AB1926" s="2"/>
      <c r="AC1926" s="2"/>
      <c r="AD1926" s="2"/>
      <c r="AE1926" s="2"/>
      <c r="AF1926" s="2"/>
      <c r="AG1926" s="2"/>
      <c r="AH1926" s="2"/>
      <c r="AI1926" s="2"/>
    </row>
    <row r="1927" spans="1:35" ht="14.25" customHeight="1" x14ac:dyDescent="0.2">
      <c r="A1927" s="1">
        <v>10309</v>
      </c>
      <c r="B1927" s="1" t="s">
        <v>1519</v>
      </c>
      <c r="C1927" s="1" t="s">
        <v>51</v>
      </c>
      <c r="D1927" s="2">
        <v>41964</v>
      </c>
      <c r="E1927" s="1" t="s">
        <v>43</v>
      </c>
      <c r="F1927" s="1" t="s">
        <v>830</v>
      </c>
      <c r="G1927" s="1">
        <v>23</v>
      </c>
      <c r="H1927" s="1">
        <v>20.98</v>
      </c>
      <c r="I1927" s="1">
        <f t="shared" si="90"/>
        <v>482.54</v>
      </c>
      <c r="J1927" t="str">
        <f t="shared" si="91"/>
        <v>Low</v>
      </c>
      <c r="K1927" s="1"/>
      <c r="L1927" s="1">
        <v>0.03</v>
      </c>
      <c r="M1927" s="1">
        <v>1.49</v>
      </c>
      <c r="N1927" s="1" t="s">
        <v>33</v>
      </c>
      <c r="O1927" s="1" t="s">
        <v>34</v>
      </c>
      <c r="P1927" s="2">
        <v>41964</v>
      </c>
      <c r="Q1927" s="2" t="b">
        <f t="shared" si="92"/>
        <v>0</v>
      </c>
      <c r="V1927" s="2"/>
      <c r="W1927" s="2"/>
      <c r="X1927" s="2"/>
      <c r="Y1927" s="2"/>
      <c r="Z1927" s="2"/>
      <c r="AA1927" s="2"/>
      <c r="AB1927" s="2"/>
      <c r="AC1927" s="2"/>
      <c r="AD1927" s="2"/>
      <c r="AE1927" s="2"/>
      <c r="AF1927" s="2"/>
      <c r="AG1927" s="2"/>
      <c r="AH1927" s="2"/>
      <c r="AI1927" s="2"/>
    </row>
    <row r="1928" spans="1:35" ht="14.25" customHeight="1" x14ac:dyDescent="0.2">
      <c r="A1928" s="1">
        <v>3585</v>
      </c>
      <c r="B1928" s="1" t="s">
        <v>507</v>
      </c>
      <c r="C1928" s="1" t="s">
        <v>51</v>
      </c>
      <c r="D1928" s="2">
        <v>41965</v>
      </c>
      <c r="E1928" s="1" t="s">
        <v>31</v>
      </c>
      <c r="F1928" s="1" t="s">
        <v>1182</v>
      </c>
      <c r="G1928" s="1">
        <v>27</v>
      </c>
      <c r="H1928" s="1">
        <v>10.06</v>
      </c>
      <c r="I1928" s="1">
        <f t="shared" si="90"/>
        <v>271.62</v>
      </c>
      <c r="J1928" t="str">
        <f t="shared" si="91"/>
        <v>Low</v>
      </c>
      <c r="K1928" s="1"/>
      <c r="L1928" s="1">
        <v>7.0000000000000007E-2</v>
      </c>
      <c r="M1928" s="1">
        <v>2.06</v>
      </c>
      <c r="N1928" s="1" t="s">
        <v>33</v>
      </c>
      <c r="O1928" s="1" t="s">
        <v>55</v>
      </c>
      <c r="P1928" s="2">
        <v>41965</v>
      </c>
      <c r="Q1928" s="2" t="b">
        <f t="shared" si="92"/>
        <v>0</v>
      </c>
      <c r="V1928" s="2"/>
      <c r="W1928" s="2"/>
      <c r="X1928" s="2"/>
      <c r="Y1928" s="2"/>
      <c r="Z1928" s="2"/>
      <c r="AA1928" s="2"/>
      <c r="AB1928" s="2"/>
      <c r="AC1928" s="2"/>
      <c r="AD1928" s="2"/>
      <c r="AE1928" s="2"/>
      <c r="AF1928" s="2"/>
      <c r="AG1928" s="2"/>
      <c r="AH1928" s="2"/>
      <c r="AI1928" s="2"/>
    </row>
    <row r="1929" spans="1:35" ht="14.25" customHeight="1" x14ac:dyDescent="0.2">
      <c r="A1929" s="1">
        <v>3585</v>
      </c>
      <c r="B1929" s="1" t="s">
        <v>507</v>
      </c>
      <c r="C1929" s="1" t="s">
        <v>21</v>
      </c>
      <c r="D1929" s="2">
        <v>41965</v>
      </c>
      <c r="E1929" s="1" t="s">
        <v>31</v>
      </c>
      <c r="F1929" s="1" t="s">
        <v>245</v>
      </c>
      <c r="G1929" s="1">
        <v>34</v>
      </c>
      <c r="H1929" s="1">
        <v>1.68</v>
      </c>
      <c r="I1929" s="1">
        <f t="shared" si="90"/>
        <v>57.12</v>
      </c>
      <c r="J1929" t="str">
        <f t="shared" si="91"/>
        <v>Low</v>
      </c>
      <c r="K1929" s="1"/>
      <c r="L1929" s="1">
        <v>7.0000000000000007E-2</v>
      </c>
      <c r="M1929" s="1">
        <v>1.57</v>
      </c>
      <c r="N1929" s="1" t="s">
        <v>33</v>
      </c>
      <c r="O1929" s="1" t="s">
        <v>55</v>
      </c>
      <c r="P1929" s="2">
        <v>41966</v>
      </c>
      <c r="Q1929" s="2" t="b">
        <f t="shared" si="92"/>
        <v>0</v>
      </c>
      <c r="V1929" s="2"/>
      <c r="W1929" s="2"/>
      <c r="X1929" s="2"/>
      <c r="Y1929" s="2"/>
      <c r="Z1929" s="2"/>
      <c r="AA1929" s="2"/>
      <c r="AB1929" s="2"/>
      <c r="AC1929" s="2"/>
      <c r="AD1929" s="2"/>
      <c r="AE1929" s="2"/>
      <c r="AF1929" s="2"/>
      <c r="AG1929" s="2"/>
      <c r="AH1929" s="2"/>
      <c r="AI1929" s="2"/>
    </row>
    <row r="1930" spans="1:35" ht="14.25" customHeight="1" x14ac:dyDescent="0.2">
      <c r="A1930" s="1">
        <v>11584</v>
      </c>
      <c r="B1930" s="1" t="s">
        <v>1575</v>
      </c>
      <c r="C1930" s="1" t="s">
        <v>51</v>
      </c>
      <c r="D1930" s="2">
        <v>41965</v>
      </c>
      <c r="E1930" s="1" t="s">
        <v>101</v>
      </c>
      <c r="F1930" s="1" t="s">
        <v>767</v>
      </c>
      <c r="G1930" s="1">
        <v>48</v>
      </c>
      <c r="H1930" s="1">
        <v>35.99</v>
      </c>
      <c r="I1930" s="1">
        <f t="shared" si="90"/>
        <v>1727.52</v>
      </c>
      <c r="J1930" t="str">
        <f t="shared" si="91"/>
        <v>High</v>
      </c>
      <c r="K1930" s="1"/>
      <c r="L1930" s="1">
        <v>0.01</v>
      </c>
      <c r="M1930" s="1">
        <v>0.99</v>
      </c>
      <c r="N1930" s="1" t="s">
        <v>33</v>
      </c>
      <c r="O1930" s="1" t="s">
        <v>84</v>
      </c>
      <c r="P1930" s="2">
        <v>41966</v>
      </c>
      <c r="Q1930" s="2" t="b">
        <f t="shared" si="92"/>
        <v>0</v>
      </c>
      <c r="V1930" s="2"/>
      <c r="W1930" s="2"/>
      <c r="X1930" s="2"/>
      <c r="Y1930" s="2"/>
      <c r="Z1930" s="2"/>
      <c r="AA1930" s="2"/>
      <c r="AB1930" s="2"/>
      <c r="AC1930" s="2"/>
      <c r="AD1930" s="2"/>
      <c r="AE1930" s="2"/>
      <c r="AF1930" s="2"/>
      <c r="AG1930" s="2"/>
      <c r="AH1930" s="2"/>
      <c r="AI1930" s="2"/>
    </row>
    <row r="1931" spans="1:35" ht="14.25" customHeight="1" x14ac:dyDescent="0.2">
      <c r="A1931" s="1">
        <v>55045</v>
      </c>
      <c r="B1931" s="1" t="s">
        <v>141</v>
      </c>
      <c r="C1931" s="1" t="s">
        <v>30</v>
      </c>
      <c r="D1931" s="2">
        <v>41965</v>
      </c>
      <c r="E1931" s="1" t="s">
        <v>31</v>
      </c>
      <c r="F1931" s="1" t="s">
        <v>333</v>
      </c>
      <c r="G1931" s="1">
        <v>20</v>
      </c>
      <c r="H1931" s="1">
        <v>32.479999999999997</v>
      </c>
      <c r="I1931" s="1">
        <f t="shared" si="90"/>
        <v>649.59999999999991</v>
      </c>
      <c r="J1931" t="str">
        <f t="shared" si="91"/>
        <v>Low</v>
      </c>
      <c r="K1931" s="1"/>
      <c r="L1931" s="1">
        <v>0.09</v>
      </c>
      <c r="M1931" s="1">
        <v>35</v>
      </c>
      <c r="N1931" s="1" t="s">
        <v>33</v>
      </c>
      <c r="O1931" s="1" t="s">
        <v>26</v>
      </c>
      <c r="P1931" s="2">
        <v>41965</v>
      </c>
      <c r="Q1931" s="2" t="b">
        <f t="shared" si="92"/>
        <v>0</v>
      </c>
      <c r="V1931" s="2"/>
      <c r="W1931" s="2"/>
      <c r="X1931" s="2"/>
      <c r="Y1931" s="2"/>
      <c r="Z1931" s="2"/>
      <c r="AA1931" s="2"/>
      <c r="AB1931" s="2"/>
      <c r="AC1931" s="2"/>
      <c r="AD1931" s="2"/>
      <c r="AE1931" s="2"/>
      <c r="AF1931" s="2"/>
      <c r="AG1931" s="2"/>
      <c r="AH1931" s="2"/>
      <c r="AI1931" s="2"/>
    </row>
    <row r="1932" spans="1:35" ht="14.25" customHeight="1" x14ac:dyDescent="0.2">
      <c r="A1932" s="1">
        <v>48295</v>
      </c>
      <c r="B1932" s="1" t="s">
        <v>1223</v>
      </c>
      <c r="C1932" s="1" t="s">
        <v>51</v>
      </c>
      <c r="D1932" s="2">
        <v>41966</v>
      </c>
      <c r="E1932" s="1" t="s">
        <v>101</v>
      </c>
      <c r="F1932" s="1" t="s">
        <v>1576</v>
      </c>
      <c r="G1932" s="1">
        <v>48</v>
      </c>
      <c r="H1932" s="1">
        <v>204.1</v>
      </c>
      <c r="I1932" s="1">
        <f t="shared" si="90"/>
        <v>9796.7999999999993</v>
      </c>
      <c r="J1932" t="str">
        <f t="shared" si="91"/>
        <v>High</v>
      </c>
      <c r="K1932" s="1"/>
      <c r="L1932" s="1">
        <v>0.05</v>
      </c>
      <c r="M1932" s="1">
        <v>13.99</v>
      </c>
      <c r="N1932" s="1" t="s">
        <v>33</v>
      </c>
      <c r="O1932" s="1" t="s">
        <v>72</v>
      </c>
      <c r="P1932" s="2">
        <v>41968</v>
      </c>
      <c r="Q1932" s="2" t="b">
        <f t="shared" si="92"/>
        <v>0</v>
      </c>
      <c r="V1932" s="2"/>
      <c r="W1932" s="2"/>
      <c r="X1932" s="2"/>
      <c r="Y1932" s="2"/>
      <c r="Z1932" s="2"/>
      <c r="AA1932" s="2"/>
      <c r="AB1932" s="2"/>
      <c r="AC1932" s="2"/>
      <c r="AD1932" s="2"/>
      <c r="AE1932" s="2"/>
      <c r="AF1932" s="2"/>
      <c r="AG1932" s="2"/>
      <c r="AH1932" s="2"/>
      <c r="AI1932" s="2"/>
    </row>
    <row r="1933" spans="1:35" ht="14.25" customHeight="1" x14ac:dyDescent="0.2">
      <c r="A1933" s="1">
        <v>22885</v>
      </c>
      <c r="B1933" s="1" t="s">
        <v>1183</v>
      </c>
      <c r="C1933" s="1" t="s">
        <v>30</v>
      </c>
      <c r="D1933" s="2">
        <v>41966</v>
      </c>
      <c r="E1933" s="1" t="s">
        <v>101</v>
      </c>
      <c r="F1933" s="1" t="s">
        <v>777</v>
      </c>
      <c r="G1933" s="1">
        <v>4</v>
      </c>
      <c r="H1933" s="1">
        <v>12.88</v>
      </c>
      <c r="I1933" s="1">
        <f t="shared" si="90"/>
        <v>51.52</v>
      </c>
      <c r="J1933" t="str">
        <f t="shared" si="91"/>
        <v>Low</v>
      </c>
      <c r="K1933" s="1"/>
      <c r="L1933" s="1">
        <v>0.05</v>
      </c>
      <c r="M1933" s="1">
        <v>4.59</v>
      </c>
      <c r="N1933" s="1" t="s">
        <v>33</v>
      </c>
      <c r="O1933" s="1" t="s">
        <v>55</v>
      </c>
      <c r="P1933" s="2">
        <v>41968</v>
      </c>
      <c r="Q1933" s="2" t="b">
        <f t="shared" si="92"/>
        <v>0</v>
      </c>
      <c r="V1933" s="2"/>
      <c r="W1933" s="2"/>
      <c r="X1933" s="2"/>
      <c r="Y1933" s="2"/>
      <c r="Z1933" s="2"/>
      <c r="AA1933" s="2"/>
      <c r="AB1933" s="2"/>
      <c r="AC1933" s="2"/>
      <c r="AD1933" s="2"/>
      <c r="AE1933" s="2"/>
      <c r="AF1933" s="2"/>
      <c r="AG1933" s="2"/>
      <c r="AH1933" s="2"/>
      <c r="AI1933" s="2"/>
    </row>
    <row r="1934" spans="1:35" ht="14.25" customHeight="1" x14ac:dyDescent="0.2">
      <c r="A1934" s="1">
        <v>34689</v>
      </c>
      <c r="B1934" s="1" t="s">
        <v>825</v>
      </c>
      <c r="C1934" s="1" t="s">
        <v>30</v>
      </c>
      <c r="D1934" s="2">
        <v>41966</v>
      </c>
      <c r="E1934" s="1" t="s">
        <v>43</v>
      </c>
      <c r="F1934" s="1" t="s">
        <v>1577</v>
      </c>
      <c r="G1934" s="1">
        <v>36</v>
      </c>
      <c r="H1934" s="1">
        <v>16.91</v>
      </c>
      <c r="I1934" s="1">
        <f t="shared" si="90"/>
        <v>608.76</v>
      </c>
      <c r="J1934" t="str">
        <f t="shared" si="91"/>
        <v>Low</v>
      </c>
      <c r="K1934" s="1"/>
      <c r="L1934" s="1">
        <v>7.0000000000000007E-2</v>
      </c>
      <c r="M1934" s="1">
        <v>6.25</v>
      </c>
      <c r="N1934" s="1" t="s">
        <v>33</v>
      </c>
      <c r="O1934" s="1" t="s">
        <v>34</v>
      </c>
      <c r="P1934" s="2">
        <v>41973</v>
      </c>
      <c r="Q1934" s="2" t="b">
        <f t="shared" si="92"/>
        <v>0</v>
      </c>
      <c r="V1934" s="2"/>
      <c r="W1934" s="2"/>
      <c r="X1934" s="2"/>
      <c r="Y1934" s="2"/>
      <c r="Z1934" s="2"/>
      <c r="AA1934" s="2"/>
      <c r="AB1934" s="2"/>
      <c r="AC1934" s="2"/>
      <c r="AD1934" s="2"/>
      <c r="AE1934" s="2"/>
      <c r="AF1934" s="2"/>
      <c r="AG1934" s="2"/>
      <c r="AH1934" s="2"/>
      <c r="AI1934" s="2"/>
    </row>
    <row r="1935" spans="1:35" ht="14.25" customHeight="1" x14ac:dyDescent="0.2">
      <c r="A1935" s="1">
        <v>46052</v>
      </c>
      <c r="B1935" s="1" t="s">
        <v>372</v>
      </c>
      <c r="C1935" s="1" t="s">
        <v>30</v>
      </c>
      <c r="D1935" s="2">
        <v>41966</v>
      </c>
      <c r="E1935" s="1" t="s">
        <v>101</v>
      </c>
      <c r="F1935" s="1" t="s">
        <v>1169</v>
      </c>
      <c r="G1935" s="1">
        <v>37</v>
      </c>
      <c r="H1935" s="1">
        <v>63.94</v>
      </c>
      <c r="I1935" s="1">
        <f t="shared" si="90"/>
        <v>2365.7799999999997</v>
      </c>
      <c r="J1935" t="str">
        <f t="shared" si="91"/>
        <v>High</v>
      </c>
      <c r="K1935" s="1"/>
      <c r="L1935" s="1">
        <v>0.05</v>
      </c>
      <c r="M1935" s="1">
        <v>14.48</v>
      </c>
      <c r="N1935" s="1" t="s">
        <v>33</v>
      </c>
      <c r="O1935" s="1" t="s">
        <v>34</v>
      </c>
      <c r="P1935" s="2">
        <v>41968</v>
      </c>
      <c r="Q1935" s="2" t="b">
        <f t="shared" si="92"/>
        <v>0</v>
      </c>
      <c r="V1935" s="2"/>
      <c r="W1935" s="2"/>
      <c r="X1935" s="2"/>
      <c r="Y1935" s="2"/>
      <c r="Z1935" s="2"/>
      <c r="AA1935" s="2"/>
      <c r="AB1935" s="2"/>
      <c r="AC1935" s="2"/>
      <c r="AD1935" s="2"/>
      <c r="AE1935" s="2"/>
      <c r="AF1935" s="2"/>
      <c r="AG1935" s="2"/>
      <c r="AH1935" s="2"/>
      <c r="AI1935" s="2"/>
    </row>
    <row r="1936" spans="1:35" ht="14.25" customHeight="1" x14ac:dyDescent="0.2">
      <c r="A1936" s="1">
        <v>46052</v>
      </c>
      <c r="B1936" s="1" t="s">
        <v>372</v>
      </c>
      <c r="C1936" s="1" t="s">
        <v>51</v>
      </c>
      <c r="D1936" s="2">
        <v>41966</v>
      </c>
      <c r="E1936" s="1" t="s">
        <v>101</v>
      </c>
      <c r="F1936" s="1" t="s">
        <v>1578</v>
      </c>
      <c r="G1936" s="1">
        <v>39</v>
      </c>
      <c r="H1936" s="1">
        <v>17.78</v>
      </c>
      <c r="I1936" s="1">
        <f t="shared" si="90"/>
        <v>693.42000000000007</v>
      </c>
      <c r="J1936" t="str">
        <f t="shared" si="91"/>
        <v>Low</v>
      </c>
      <c r="K1936" s="1"/>
      <c r="L1936" s="1">
        <v>0</v>
      </c>
      <c r="M1936" s="1">
        <v>5.03</v>
      </c>
      <c r="N1936" s="1" t="s">
        <v>25</v>
      </c>
      <c r="O1936" s="1" t="s">
        <v>34</v>
      </c>
      <c r="P1936" s="2">
        <v>41968</v>
      </c>
      <c r="Q1936" s="2" t="b">
        <f t="shared" si="92"/>
        <v>0</v>
      </c>
      <c r="V1936" s="2"/>
      <c r="W1936" s="2"/>
      <c r="X1936" s="2"/>
      <c r="Y1936" s="2"/>
      <c r="Z1936" s="2"/>
      <c r="AA1936" s="2"/>
      <c r="AB1936" s="2"/>
      <c r="AC1936" s="2"/>
      <c r="AD1936" s="2"/>
      <c r="AE1936" s="2"/>
      <c r="AF1936" s="2"/>
      <c r="AG1936" s="2"/>
      <c r="AH1936" s="2"/>
      <c r="AI1936" s="2"/>
    </row>
    <row r="1937" spans="1:35" ht="14.25" customHeight="1" x14ac:dyDescent="0.2">
      <c r="A1937" s="1">
        <v>3492</v>
      </c>
      <c r="B1937" s="1" t="s">
        <v>832</v>
      </c>
      <c r="C1937" s="1" t="s">
        <v>51</v>
      </c>
      <c r="D1937" s="2">
        <v>41966</v>
      </c>
      <c r="E1937" s="1" t="s">
        <v>43</v>
      </c>
      <c r="F1937" s="1" t="s">
        <v>1466</v>
      </c>
      <c r="G1937" s="1">
        <v>35</v>
      </c>
      <c r="H1937" s="1">
        <v>67.28</v>
      </c>
      <c r="I1937" s="1">
        <f t="shared" si="90"/>
        <v>2354.8000000000002</v>
      </c>
      <c r="J1937" t="str">
        <f t="shared" si="91"/>
        <v>High</v>
      </c>
      <c r="K1937" s="1"/>
      <c r="L1937" s="1">
        <v>0.04</v>
      </c>
      <c r="M1937" s="1">
        <v>19.989999999999998</v>
      </c>
      <c r="N1937" s="1" t="s">
        <v>33</v>
      </c>
      <c r="O1937" s="1" t="s">
        <v>34</v>
      </c>
      <c r="P1937" s="2">
        <v>41971</v>
      </c>
      <c r="Q1937" s="2" t="b">
        <f t="shared" si="92"/>
        <v>0</v>
      </c>
      <c r="V1937" s="2"/>
      <c r="W1937" s="2"/>
      <c r="X1937" s="2"/>
      <c r="Y1937" s="2"/>
      <c r="Z1937" s="2"/>
      <c r="AA1937" s="2"/>
      <c r="AB1937" s="2"/>
      <c r="AC1937" s="2"/>
      <c r="AD1937" s="2"/>
      <c r="AE1937" s="2"/>
      <c r="AF1937" s="2"/>
      <c r="AG1937" s="2"/>
      <c r="AH1937" s="2"/>
      <c r="AI1937" s="2"/>
    </row>
    <row r="1938" spans="1:35" ht="14.25" customHeight="1" x14ac:dyDescent="0.2">
      <c r="A1938" s="1">
        <v>3492</v>
      </c>
      <c r="B1938" s="1" t="s">
        <v>832</v>
      </c>
      <c r="C1938" s="1" t="s">
        <v>51</v>
      </c>
      <c r="D1938" s="2">
        <v>41966</v>
      </c>
      <c r="E1938" s="1" t="s">
        <v>43</v>
      </c>
      <c r="F1938" s="1" t="s">
        <v>547</v>
      </c>
      <c r="G1938" s="1">
        <v>49</v>
      </c>
      <c r="H1938" s="1">
        <v>130.97999999999999</v>
      </c>
      <c r="I1938" s="1">
        <f t="shared" si="90"/>
        <v>6418.0199999999995</v>
      </c>
      <c r="J1938" t="str">
        <f t="shared" si="91"/>
        <v>High</v>
      </c>
      <c r="K1938" s="1"/>
      <c r="L1938" s="1">
        <v>0.1</v>
      </c>
      <c r="M1938" s="1">
        <v>54.74</v>
      </c>
      <c r="N1938" s="1" t="s">
        <v>45</v>
      </c>
      <c r="O1938" s="1" t="s">
        <v>63</v>
      </c>
      <c r="P1938" s="2">
        <v>41966</v>
      </c>
      <c r="Q1938" s="2" t="b">
        <f t="shared" si="92"/>
        <v>0</v>
      </c>
      <c r="V1938" s="2"/>
      <c r="W1938" s="2"/>
      <c r="X1938" s="2"/>
      <c r="Y1938" s="2"/>
      <c r="Z1938" s="2"/>
      <c r="AA1938" s="2"/>
      <c r="AB1938" s="2"/>
      <c r="AC1938" s="2"/>
      <c r="AD1938" s="2"/>
      <c r="AE1938" s="2"/>
      <c r="AF1938" s="2"/>
      <c r="AG1938" s="2"/>
      <c r="AH1938" s="2"/>
      <c r="AI1938" s="2"/>
    </row>
    <row r="1939" spans="1:35" ht="14.25" customHeight="1" x14ac:dyDescent="0.2">
      <c r="A1939" s="1">
        <v>3492</v>
      </c>
      <c r="B1939" s="1" t="s">
        <v>832</v>
      </c>
      <c r="C1939" s="1" t="s">
        <v>30</v>
      </c>
      <c r="D1939" s="2">
        <v>41966</v>
      </c>
      <c r="E1939" s="1" t="s">
        <v>43</v>
      </c>
      <c r="F1939" s="1" t="s">
        <v>808</v>
      </c>
      <c r="G1939" s="1">
        <v>33</v>
      </c>
      <c r="H1939" s="1">
        <v>2.78</v>
      </c>
      <c r="I1939" s="1">
        <f t="shared" si="90"/>
        <v>91.74</v>
      </c>
      <c r="J1939" t="str">
        <f t="shared" si="91"/>
        <v>Low</v>
      </c>
      <c r="K1939" s="1"/>
      <c r="L1939" s="1">
        <v>0.04</v>
      </c>
      <c r="M1939" s="1">
        <v>1.25</v>
      </c>
      <c r="N1939" s="1" t="s">
        <v>33</v>
      </c>
      <c r="O1939" s="1" t="s">
        <v>55</v>
      </c>
      <c r="P1939" s="2">
        <v>41966</v>
      </c>
      <c r="Q1939" s="2" t="b">
        <f t="shared" si="92"/>
        <v>0</v>
      </c>
      <c r="V1939" s="2"/>
      <c r="W1939" s="2"/>
      <c r="X1939" s="2"/>
      <c r="Y1939" s="2"/>
      <c r="Z1939" s="2"/>
      <c r="AA1939" s="2"/>
      <c r="AB1939" s="2"/>
      <c r="AC1939" s="2"/>
      <c r="AD1939" s="2"/>
      <c r="AE1939" s="2"/>
      <c r="AF1939" s="2"/>
      <c r="AG1939" s="2"/>
      <c r="AH1939" s="2"/>
      <c r="AI1939" s="2"/>
    </row>
    <row r="1940" spans="1:35" ht="14.25" customHeight="1" x14ac:dyDescent="0.2">
      <c r="A1940" s="1">
        <v>6211</v>
      </c>
      <c r="B1940" s="1" t="s">
        <v>1579</v>
      </c>
      <c r="C1940" s="1" t="s">
        <v>51</v>
      </c>
      <c r="D1940" s="2">
        <v>41966</v>
      </c>
      <c r="E1940" s="1" t="s">
        <v>38</v>
      </c>
      <c r="F1940" s="1" t="s">
        <v>385</v>
      </c>
      <c r="G1940" s="1">
        <v>28</v>
      </c>
      <c r="H1940" s="1">
        <v>2.16</v>
      </c>
      <c r="I1940" s="1">
        <f t="shared" si="90"/>
        <v>60.480000000000004</v>
      </c>
      <c r="J1940" t="str">
        <f t="shared" si="91"/>
        <v>Low</v>
      </c>
      <c r="K1940" s="1"/>
      <c r="L1940" s="1">
        <v>0.01</v>
      </c>
      <c r="M1940" s="1">
        <v>6.05</v>
      </c>
      <c r="N1940" s="1" t="s">
        <v>33</v>
      </c>
      <c r="O1940" s="1" t="s">
        <v>34</v>
      </c>
      <c r="P1940" s="2">
        <v>41968</v>
      </c>
      <c r="Q1940" s="2" t="b">
        <f t="shared" si="92"/>
        <v>0</v>
      </c>
      <c r="V1940" s="2"/>
      <c r="W1940" s="2"/>
      <c r="X1940" s="2"/>
      <c r="Y1940" s="2"/>
      <c r="Z1940" s="2"/>
      <c r="AA1940" s="2"/>
      <c r="AB1940" s="2"/>
      <c r="AC1940" s="2"/>
      <c r="AD1940" s="2"/>
      <c r="AE1940" s="2"/>
      <c r="AF1940" s="2"/>
      <c r="AG1940" s="2"/>
      <c r="AH1940" s="2"/>
      <c r="AI1940" s="2"/>
    </row>
    <row r="1941" spans="1:35" ht="14.25" customHeight="1" x14ac:dyDescent="0.2">
      <c r="A1941" s="1">
        <v>6211</v>
      </c>
      <c r="B1941" s="1" t="s">
        <v>1579</v>
      </c>
      <c r="C1941" s="1" t="s">
        <v>21</v>
      </c>
      <c r="D1941" s="2">
        <v>41966</v>
      </c>
      <c r="E1941" s="1" t="s">
        <v>38</v>
      </c>
      <c r="F1941" s="1" t="s">
        <v>643</v>
      </c>
      <c r="G1941" s="1">
        <v>3</v>
      </c>
      <c r="H1941" s="1">
        <v>21.38</v>
      </c>
      <c r="I1941" s="1">
        <f t="shared" si="90"/>
        <v>64.14</v>
      </c>
      <c r="J1941" t="str">
        <f t="shared" si="91"/>
        <v>Low</v>
      </c>
      <c r="K1941" s="1"/>
      <c r="L1941" s="1">
        <v>7.0000000000000007E-2</v>
      </c>
      <c r="M1941" s="1">
        <v>8.99</v>
      </c>
      <c r="N1941" s="1" t="s">
        <v>33</v>
      </c>
      <c r="O1941" s="1" t="s">
        <v>84</v>
      </c>
      <c r="P1941" s="2">
        <v>41968</v>
      </c>
      <c r="Q1941" s="2" t="b">
        <f t="shared" si="92"/>
        <v>0</v>
      </c>
      <c r="V1941" s="2"/>
      <c r="W1941" s="2"/>
      <c r="X1941" s="2"/>
      <c r="Y1941" s="2"/>
      <c r="Z1941" s="2"/>
      <c r="AA1941" s="2"/>
      <c r="AB1941" s="2"/>
      <c r="AC1941" s="2"/>
      <c r="AD1941" s="2"/>
      <c r="AE1941" s="2"/>
      <c r="AF1941" s="2"/>
      <c r="AG1941" s="2"/>
      <c r="AH1941" s="2"/>
      <c r="AI1941" s="2"/>
    </row>
    <row r="1942" spans="1:35" ht="14.25" customHeight="1" x14ac:dyDescent="0.2">
      <c r="A1942" s="1">
        <v>19521</v>
      </c>
      <c r="B1942" s="1" t="s">
        <v>446</v>
      </c>
      <c r="C1942" s="1" t="s">
        <v>30</v>
      </c>
      <c r="D1942" s="2">
        <v>41966</v>
      </c>
      <c r="E1942" s="1" t="s">
        <v>22</v>
      </c>
      <c r="F1942" s="1" t="s">
        <v>1580</v>
      </c>
      <c r="G1942" s="1">
        <v>9</v>
      </c>
      <c r="H1942" s="1">
        <v>35.479999999999997</v>
      </c>
      <c r="I1942" s="1">
        <f t="shared" si="90"/>
        <v>319.32</v>
      </c>
      <c r="J1942" t="str">
        <f t="shared" si="91"/>
        <v>Low</v>
      </c>
      <c r="K1942" s="1"/>
      <c r="L1942" s="1">
        <v>0.02</v>
      </c>
      <c r="M1942" s="1">
        <v>35</v>
      </c>
      <c r="N1942" s="1" t="s">
        <v>33</v>
      </c>
      <c r="O1942" s="1" t="s">
        <v>26</v>
      </c>
      <c r="P1942" s="2">
        <v>41967</v>
      </c>
      <c r="Q1942" s="2" t="b">
        <f t="shared" si="92"/>
        <v>0</v>
      </c>
      <c r="V1942" s="2"/>
      <c r="W1942" s="2"/>
      <c r="X1942" s="2"/>
      <c r="Y1942" s="2"/>
      <c r="Z1942" s="2"/>
      <c r="AA1942" s="2"/>
      <c r="AB1942" s="2"/>
      <c r="AC1942" s="2"/>
      <c r="AD1942" s="2"/>
      <c r="AE1942" s="2"/>
      <c r="AF1942" s="2"/>
      <c r="AG1942" s="2"/>
      <c r="AH1942" s="2"/>
      <c r="AI1942" s="2"/>
    </row>
    <row r="1943" spans="1:35" ht="14.25" customHeight="1" x14ac:dyDescent="0.2">
      <c r="A1943" s="1">
        <v>40835</v>
      </c>
      <c r="B1943" s="1" t="s">
        <v>1581</v>
      </c>
      <c r="C1943" s="1" t="s">
        <v>30</v>
      </c>
      <c r="D1943" s="2">
        <v>41967</v>
      </c>
      <c r="E1943" s="1" t="s">
        <v>31</v>
      </c>
      <c r="F1943" s="1" t="s">
        <v>1160</v>
      </c>
      <c r="G1943" s="1">
        <v>26</v>
      </c>
      <c r="H1943" s="1">
        <v>15.01</v>
      </c>
      <c r="I1943" s="1">
        <f t="shared" si="90"/>
        <v>390.26</v>
      </c>
      <c r="J1943" t="str">
        <f t="shared" si="91"/>
        <v>Low</v>
      </c>
      <c r="K1943" s="1"/>
      <c r="L1943" s="1">
        <v>0.06</v>
      </c>
      <c r="M1943" s="1">
        <v>8.4</v>
      </c>
      <c r="N1943" s="1" t="s">
        <v>33</v>
      </c>
      <c r="O1943" s="1" t="s">
        <v>34</v>
      </c>
      <c r="P1943" s="2">
        <v>41969</v>
      </c>
      <c r="Q1943" s="2" t="b">
        <f t="shared" si="92"/>
        <v>0</v>
      </c>
      <c r="V1943" s="2"/>
      <c r="W1943" s="2"/>
      <c r="X1943" s="2"/>
      <c r="Y1943" s="2"/>
      <c r="Z1943" s="2"/>
      <c r="AA1943" s="2"/>
      <c r="AB1943" s="2"/>
      <c r="AC1943" s="2"/>
      <c r="AD1943" s="2"/>
      <c r="AE1943" s="2"/>
      <c r="AF1943" s="2"/>
      <c r="AG1943" s="2"/>
      <c r="AH1943" s="2"/>
      <c r="AI1943" s="2"/>
    </row>
    <row r="1944" spans="1:35" ht="14.25" customHeight="1" x14ac:dyDescent="0.2">
      <c r="A1944" s="1">
        <v>40835</v>
      </c>
      <c r="B1944" s="1" t="s">
        <v>1581</v>
      </c>
      <c r="C1944" s="1" t="s">
        <v>51</v>
      </c>
      <c r="D1944" s="2">
        <v>41967</v>
      </c>
      <c r="E1944" s="1" t="s">
        <v>31</v>
      </c>
      <c r="F1944" s="1" t="s">
        <v>789</v>
      </c>
      <c r="G1944" s="1">
        <v>14</v>
      </c>
      <c r="H1944" s="1">
        <v>40.479999999999997</v>
      </c>
      <c r="I1944" s="1">
        <f t="shared" si="90"/>
        <v>566.71999999999991</v>
      </c>
      <c r="J1944" t="str">
        <f t="shared" si="91"/>
        <v>Low</v>
      </c>
      <c r="K1944" s="1"/>
      <c r="L1944" s="1">
        <v>0.09</v>
      </c>
      <c r="M1944" s="1">
        <v>19.989999999999998</v>
      </c>
      <c r="N1944" s="1" t="s">
        <v>33</v>
      </c>
      <c r="O1944" s="1" t="s">
        <v>34</v>
      </c>
      <c r="P1944" s="2">
        <v>41969</v>
      </c>
      <c r="Q1944" s="2" t="b">
        <f t="shared" si="92"/>
        <v>0</v>
      </c>
      <c r="V1944" s="2"/>
      <c r="W1944" s="2"/>
      <c r="X1944" s="2"/>
      <c r="Y1944" s="2"/>
      <c r="Z1944" s="2"/>
      <c r="AA1944" s="2"/>
      <c r="AB1944" s="2"/>
      <c r="AC1944" s="2"/>
      <c r="AD1944" s="2"/>
      <c r="AE1944" s="2"/>
      <c r="AF1944" s="2"/>
      <c r="AG1944" s="2"/>
      <c r="AH1944" s="2"/>
      <c r="AI1944" s="2"/>
    </row>
    <row r="1945" spans="1:35" ht="14.25" customHeight="1" x14ac:dyDescent="0.2">
      <c r="A1945" s="1">
        <v>40835</v>
      </c>
      <c r="B1945" s="1" t="s">
        <v>1581</v>
      </c>
      <c r="C1945" s="1" t="s">
        <v>21</v>
      </c>
      <c r="D1945" s="2">
        <v>41967</v>
      </c>
      <c r="E1945" s="1" t="s">
        <v>31</v>
      </c>
      <c r="F1945" s="1" t="s">
        <v>1537</v>
      </c>
      <c r="G1945" s="1">
        <v>1</v>
      </c>
      <c r="H1945" s="1">
        <v>12.28</v>
      </c>
      <c r="I1945" s="1">
        <f t="shared" si="90"/>
        <v>12.28</v>
      </c>
      <c r="J1945" t="str">
        <f t="shared" si="91"/>
        <v>Low</v>
      </c>
      <c r="K1945" s="1"/>
      <c r="L1945" s="1">
        <v>0.05</v>
      </c>
      <c r="M1945" s="1">
        <v>6.13</v>
      </c>
      <c r="N1945" s="1" t="s">
        <v>33</v>
      </c>
      <c r="O1945" s="1" t="s">
        <v>34</v>
      </c>
      <c r="P1945" s="2">
        <v>41968</v>
      </c>
      <c r="Q1945" s="2" t="b">
        <f t="shared" si="92"/>
        <v>0</v>
      </c>
      <c r="V1945" s="2"/>
      <c r="W1945" s="2"/>
      <c r="X1945" s="2"/>
      <c r="Y1945" s="2"/>
      <c r="Z1945" s="2"/>
      <c r="AA1945" s="2"/>
      <c r="AB1945" s="2"/>
      <c r="AC1945" s="2"/>
      <c r="AD1945" s="2"/>
      <c r="AE1945" s="2"/>
      <c r="AF1945" s="2"/>
      <c r="AG1945" s="2"/>
      <c r="AH1945" s="2"/>
      <c r="AI1945" s="2"/>
    </row>
    <row r="1946" spans="1:35" ht="14.25" customHeight="1" x14ac:dyDescent="0.2">
      <c r="A1946" s="1">
        <v>10183</v>
      </c>
      <c r="B1946" s="1" t="s">
        <v>92</v>
      </c>
      <c r="C1946" s="1" t="s">
        <v>51</v>
      </c>
      <c r="D1946" s="2">
        <v>41967</v>
      </c>
      <c r="E1946" s="1" t="s">
        <v>38</v>
      </c>
      <c r="F1946" s="1" t="s">
        <v>332</v>
      </c>
      <c r="G1946" s="1">
        <v>48</v>
      </c>
      <c r="H1946" s="1">
        <v>25.98</v>
      </c>
      <c r="I1946" s="1">
        <f t="shared" si="90"/>
        <v>1247.04</v>
      </c>
      <c r="J1946" t="str">
        <f t="shared" si="91"/>
        <v>High</v>
      </c>
      <c r="K1946" s="1"/>
      <c r="L1946" s="1">
        <v>0.06</v>
      </c>
      <c r="M1946" s="1">
        <v>14.36</v>
      </c>
      <c r="N1946" s="1" t="s">
        <v>45</v>
      </c>
      <c r="O1946" s="1" t="s">
        <v>46</v>
      </c>
      <c r="P1946" s="2">
        <v>41968</v>
      </c>
      <c r="Q1946" s="2" t="b">
        <f t="shared" si="92"/>
        <v>0</v>
      </c>
      <c r="V1946" s="2"/>
      <c r="W1946" s="2"/>
      <c r="X1946" s="2"/>
      <c r="Y1946" s="2"/>
      <c r="Z1946" s="2"/>
      <c r="AA1946" s="2"/>
      <c r="AB1946" s="2"/>
      <c r="AC1946" s="2"/>
      <c r="AD1946" s="2"/>
      <c r="AE1946" s="2"/>
      <c r="AF1946" s="2"/>
      <c r="AG1946" s="2"/>
      <c r="AH1946" s="2"/>
      <c r="AI1946" s="2"/>
    </row>
    <row r="1947" spans="1:35" ht="14.25" customHeight="1" x14ac:dyDescent="0.2">
      <c r="A1947" s="1">
        <v>19943</v>
      </c>
      <c r="B1947" s="1" t="s">
        <v>153</v>
      </c>
      <c r="C1947" s="1" t="s">
        <v>51</v>
      </c>
      <c r="D1947" s="2">
        <v>41967</v>
      </c>
      <c r="E1947" s="1" t="s">
        <v>38</v>
      </c>
      <c r="F1947" s="1" t="s">
        <v>1317</v>
      </c>
      <c r="G1947" s="1">
        <v>16</v>
      </c>
      <c r="H1947" s="1">
        <v>124.49</v>
      </c>
      <c r="I1947" s="1">
        <f t="shared" si="90"/>
        <v>1991.84</v>
      </c>
      <c r="J1947" t="str">
        <f t="shared" si="91"/>
        <v>High</v>
      </c>
      <c r="K1947" s="1"/>
      <c r="L1947" s="1">
        <v>7.0000000000000007E-2</v>
      </c>
      <c r="M1947" s="1">
        <v>51.94</v>
      </c>
      <c r="N1947" s="1" t="s">
        <v>45</v>
      </c>
      <c r="O1947" s="1" t="s">
        <v>63</v>
      </c>
      <c r="P1947" s="2">
        <v>41968</v>
      </c>
      <c r="Q1947" s="2" t="b">
        <f t="shared" si="92"/>
        <v>0</v>
      </c>
      <c r="V1947" s="2"/>
      <c r="W1947" s="2"/>
      <c r="X1947" s="2"/>
      <c r="Y1947" s="2"/>
      <c r="Z1947" s="2"/>
      <c r="AA1947" s="2"/>
      <c r="AB1947" s="2"/>
      <c r="AC1947" s="2"/>
      <c r="AD1947" s="2"/>
      <c r="AE1947" s="2"/>
      <c r="AF1947" s="2"/>
      <c r="AG1947" s="2"/>
      <c r="AH1947" s="2"/>
      <c r="AI1947" s="2"/>
    </row>
    <row r="1948" spans="1:35" ht="14.25" customHeight="1" x14ac:dyDescent="0.2">
      <c r="A1948" s="1">
        <v>11909</v>
      </c>
      <c r="B1948" s="1" t="s">
        <v>541</v>
      </c>
      <c r="C1948" s="1" t="s">
        <v>51</v>
      </c>
      <c r="D1948" s="2">
        <v>41967</v>
      </c>
      <c r="E1948" s="1" t="s">
        <v>22</v>
      </c>
      <c r="F1948" s="1" t="s">
        <v>989</v>
      </c>
      <c r="G1948" s="1">
        <v>11</v>
      </c>
      <c r="H1948" s="1">
        <v>20.99</v>
      </c>
      <c r="I1948" s="1">
        <f t="shared" si="90"/>
        <v>230.89</v>
      </c>
      <c r="J1948" t="str">
        <f t="shared" si="91"/>
        <v>Low</v>
      </c>
      <c r="K1948" s="1"/>
      <c r="L1948" s="1">
        <v>0.03</v>
      </c>
      <c r="M1948" s="1">
        <v>0.99</v>
      </c>
      <c r="N1948" s="1" t="s">
        <v>33</v>
      </c>
      <c r="O1948" s="1" t="s">
        <v>55</v>
      </c>
      <c r="P1948" s="2">
        <v>41969</v>
      </c>
      <c r="Q1948" s="2" t="b">
        <f t="shared" si="92"/>
        <v>0</v>
      </c>
      <c r="V1948" s="2"/>
      <c r="W1948" s="2"/>
      <c r="X1948" s="2"/>
      <c r="Y1948" s="2"/>
      <c r="Z1948" s="2"/>
      <c r="AA1948" s="2"/>
      <c r="AB1948" s="2"/>
      <c r="AC1948" s="2"/>
      <c r="AD1948" s="2"/>
      <c r="AE1948" s="2"/>
      <c r="AF1948" s="2"/>
      <c r="AG1948" s="2"/>
      <c r="AH1948" s="2"/>
      <c r="AI1948" s="2"/>
    </row>
    <row r="1949" spans="1:35" ht="14.25" customHeight="1" x14ac:dyDescent="0.2">
      <c r="A1949" s="1">
        <v>998</v>
      </c>
      <c r="B1949" s="1" t="s">
        <v>1267</v>
      </c>
      <c r="C1949" s="1" t="s">
        <v>30</v>
      </c>
      <c r="D1949" s="2">
        <v>41968</v>
      </c>
      <c r="E1949" s="1" t="s">
        <v>22</v>
      </c>
      <c r="F1949" s="1" t="s">
        <v>260</v>
      </c>
      <c r="G1949" s="1">
        <v>16</v>
      </c>
      <c r="H1949" s="1">
        <v>15.74</v>
      </c>
      <c r="I1949" s="1">
        <f t="shared" si="90"/>
        <v>251.84</v>
      </c>
      <c r="J1949" t="str">
        <f t="shared" si="91"/>
        <v>Low</v>
      </c>
      <c r="K1949" s="1"/>
      <c r="L1949" s="1">
        <v>7.0000000000000007E-2</v>
      </c>
      <c r="M1949" s="1">
        <v>1.39</v>
      </c>
      <c r="N1949" s="1" t="s">
        <v>33</v>
      </c>
      <c r="O1949" s="1" t="s">
        <v>34</v>
      </c>
      <c r="P1949" s="2">
        <v>41969</v>
      </c>
      <c r="Q1949" s="2" t="b">
        <f t="shared" si="92"/>
        <v>0</v>
      </c>
      <c r="V1949" s="2"/>
      <c r="W1949" s="2"/>
      <c r="X1949" s="2"/>
      <c r="Y1949" s="2"/>
      <c r="Z1949" s="2"/>
      <c r="AA1949" s="2"/>
      <c r="AB1949" s="2"/>
      <c r="AC1949" s="2"/>
      <c r="AD1949" s="2"/>
      <c r="AE1949" s="2"/>
      <c r="AF1949" s="2"/>
      <c r="AG1949" s="2"/>
      <c r="AH1949" s="2"/>
      <c r="AI1949" s="2"/>
    </row>
    <row r="1950" spans="1:35" ht="14.25" customHeight="1" x14ac:dyDescent="0.2">
      <c r="A1950" s="1">
        <v>55875</v>
      </c>
      <c r="B1950" s="1" t="s">
        <v>829</v>
      </c>
      <c r="C1950" s="1" t="s">
        <v>21</v>
      </c>
      <c r="D1950" s="2">
        <v>41968</v>
      </c>
      <c r="E1950" s="1" t="s">
        <v>38</v>
      </c>
      <c r="F1950" s="1" t="s">
        <v>640</v>
      </c>
      <c r="G1950" s="1">
        <v>50</v>
      </c>
      <c r="H1950" s="1">
        <v>7.59</v>
      </c>
      <c r="I1950" s="1">
        <f t="shared" si="90"/>
        <v>379.5</v>
      </c>
      <c r="J1950" t="str">
        <f t="shared" si="91"/>
        <v>Low</v>
      </c>
      <c r="K1950" s="1"/>
      <c r="L1950" s="1">
        <v>0</v>
      </c>
      <c r="M1950" s="1">
        <v>4</v>
      </c>
      <c r="N1950" s="1" t="s">
        <v>33</v>
      </c>
      <c r="O1950" s="1" t="s">
        <v>55</v>
      </c>
      <c r="P1950" s="2">
        <v>41971</v>
      </c>
      <c r="Q1950" s="2" t="b">
        <f t="shared" si="92"/>
        <v>0</v>
      </c>
      <c r="V1950" s="2"/>
      <c r="W1950" s="2"/>
      <c r="X1950" s="2"/>
      <c r="Y1950" s="2"/>
      <c r="Z1950" s="2"/>
      <c r="AA1950" s="2"/>
      <c r="AB1950" s="2"/>
      <c r="AC1950" s="2"/>
      <c r="AD1950" s="2"/>
      <c r="AE1950" s="2"/>
      <c r="AF1950" s="2"/>
      <c r="AG1950" s="2"/>
      <c r="AH1950" s="2"/>
      <c r="AI1950" s="2"/>
    </row>
    <row r="1951" spans="1:35" ht="14.25" customHeight="1" x14ac:dyDescent="0.2">
      <c r="A1951" s="1">
        <v>55875</v>
      </c>
      <c r="B1951" s="1" t="s">
        <v>829</v>
      </c>
      <c r="C1951" s="1" t="s">
        <v>51</v>
      </c>
      <c r="D1951" s="2">
        <v>41968</v>
      </c>
      <c r="E1951" s="1" t="s">
        <v>38</v>
      </c>
      <c r="F1951" s="1" t="s">
        <v>32</v>
      </c>
      <c r="G1951" s="1">
        <v>31</v>
      </c>
      <c r="H1951" s="1">
        <v>5.98</v>
      </c>
      <c r="I1951" s="1">
        <f t="shared" si="90"/>
        <v>185.38000000000002</v>
      </c>
      <c r="J1951" t="str">
        <f t="shared" si="91"/>
        <v>Low</v>
      </c>
      <c r="K1951" s="1"/>
      <c r="L1951" s="1">
        <v>0.09</v>
      </c>
      <c r="M1951" s="1">
        <v>4.6900000000000004</v>
      </c>
      <c r="N1951" s="1" t="s">
        <v>33</v>
      </c>
      <c r="O1951" s="1" t="s">
        <v>34</v>
      </c>
      <c r="P1951" s="2">
        <v>41968</v>
      </c>
      <c r="Q1951" s="2" t="b">
        <f t="shared" si="92"/>
        <v>0</v>
      </c>
      <c r="V1951" s="2"/>
      <c r="W1951" s="2"/>
      <c r="X1951" s="2"/>
      <c r="Y1951" s="2"/>
      <c r="Z1951" s="2"/>
      <c r="AA1951" s="2"/>
      <c r="AB1951" s="2"/>
      <c r="AC1951" s="2"/>
      <c r="AD1951" s="2"/>
      <c r="AE1951" s="2"/>
      <c r="AF1951" s="2"/>
      <c r="AG1951" s="2"/>
      <c r="AH1951" s="2"/>
      <c r="AI1951" s="2"/>
    </row>
    <row r="1952" spans="1:35" ht="14.25" customHeight="1" x14ac:dyDescent="0.2">
      <c r="A1952" s="1">
        <v>17668</v>
      </c>
      <c r="B1952" s="1" t="s">
        <v>1277</v>
      </c>
      <c r="C1952" s="1" t="s">
        <v>21</v>
      </c>
      <c r="D1952" s="2">
        <v>41968</v>
      </c>
      <c r="E1952" s="1" t="s">
        <v>101</v>
      </c>
      <c r="F1952" s="1" t="s">
        <v>1180</v>
      </c>
      <c r="G1952" s="1">
        <v>49</v>
      </c>
      <c r="H1952" s="1">
        <v>17.48</v>
      </c>
      <c r="I1952" s="1">
        <f t="shared" si="90"/>
        <v>856.52</v>
      </c>
      <c r="J1952" t="str">
        <f t="shared" si="91"/>
        <v>Low</v>
      </c>
      <c r="K1952" s="1"/>
      <c r="L1952" s="1">
        <v>0.04</v>
      </c>
      <c r="M1952" s="1">
        <v>1.99</v>
      </c>
      <c r="N1952" s="1" t="s">
        <v>33</v>
      </c>
      <c r="O1952" s="1" t="s">
        <v>84</v>
      </c>
      <c r="P1952" s="2">
        <v>41970</v>
      </c>
      <c r="Q1952" s="2" t="b">
        <f t="shared" si="92"/>
        <v>0</v>
      </c>
      <c r="V1952" s="2"/>
      <c r="W1952" s="2"/>
      <c r="X1952" s="2"/>
      <c r="Y1952" s="2"/>
      <c r="Z1952" s="2"/>
      <c r="AA1952" s="2"/>
      <c r="AB1952" s="2"/>
      <c r="AC1952" s="2"/>
      <c r="AD1952" s="2"/>
      <c r="AE1952" s="2"/>
      <c r="AF1952" s="2"/>
      <c r="AG1952" s="2"/>
      <c r="AH1952" s="2"/>
      <c r="AI1952" s="2"/>
    </row>
    <row r="1953" spans="1:35" ht="14.25" customHeight="1" x14ac:dyDescent="0.2">
      <c r="A1953" s="1">
        <v>17668</v>
      </c>
      <c r="B1953" s="1" t="s">
        <v>1277</v>
      </c>
      <c r="C1953" s="1" t="s">
        <v>30</v>
      </c>
      <c r="D1953" s="2">
        <v>41968</v>
      </c>
      <c r="E1953" s="1" t="s">
        <v>101</v>
      </c>
      <c r="F1953" s="1" t="s">
        <v>1582</v>
      </c>
      <c r="G1953" s="1">
        <v>24</v>
      </c>
      <c r="H1953" s="1">
        <v>300.98</v>
      </c>
      <c r="I1953" s="1">
        <f t="shared" si="90"/>
        <v>7223.52</v>
      </c>
      <c r="J1953" t="str">
        <f t="shared" si="91"/>
        <v>High</v>
      </c>
      <c r="K1953" s="1"/>
      <c r="L1953" s="1">
        <v>0.05</v>
      </c>
      <c r="M1953" s="1">
        <v>13.99</v>
      </c>
      <c r="N1953" s="1" t="s">
        <v>33</v>
      </c>
      <c r="O1953" s="1" t="s">
        <v>72</v>
      </c>
      <c r="P1953" s="2">
        <v>41969</v>
      </c>
      <c r="Q1953" s="2" t="b">
        <f t="shared" si="92"/>
        <v>0</v>
      </c>
      <c r="V1953" s="2"/>
      <c r="W1953" s="2"/>
      <c r="X1953" s="2"/>
      <c r="Y1953" s="2"/>
      <c r="Z1953" s="2"/>
      <c r="AA1953" s="2"/>
      <c r="AB1953" s="2"/>
      <c r="AC1953" s="2"/>
      <c r="AD1953" s="2"/>
      <c r="AE1953" s="2"/>
      <c r="AF1953" s="2"/>
      <c r="AG1953" s="2"/>
      <c r="AH1953" s="2"/>
      <c r="AI1953" s="2"/>
    </row>
    <row r="1954" spans="1:35" ht="14.25" customHeight="1" x14ac:dyDescent="0.2">
      <c r="A1954" s="1">
        <v>17668</v>
      </c>
      <c r="B1954" s="1" t="s">
        <v>1277</v>
      </c>
      <c r="C1954" s="1" t="s">
        <v>21</v>
      </c>
      <c r="D1954" s="2">
        <v>41968</v>
      </c>
      <c r="E1954" s="1" t="s">
        <v>101</v>
      </c>
      <c r="F1954" s="1" t="s">
        <v>1583</v>
      </c>
      <c r="G1954" s="1">
        <v>13</v>
      </c>
      <c r="H1954" s="1">
        <v>205.99</v>
      </c>
      <c r="I1954" s="1">
        <f t="shared" si="90"/>
        <v>2677.87</v>
      </c>
      <c r="J1954" t="str">
        <f t="shared" si="91"/>
        <v>High</v>
      </c>
      <c r="K1954" s="1"/>
      <c r="L1954" s="1">
        <v>0.04</v>
      </c>
      <c r="M1954" s="1">
        <v>5</v>
      </c>
      <c r="N1954" s="1" t="s">
        <v>25</v>
      </c>
      <c r="O1954" s="1" t="s">
        <v>34</v>
      </c>
      <c r="P1954" s="2">
        <v>41969</v>
      </c>
      <c r="Q1954" s="2" t="b">
        <f t="shared" si="92"/>
        <v>0</v>
      </c>
      <c r="V1954" s="2"/>
      <c r="W1954" s="2"/>
      <c r="X1954" s="2"/>
      <c r="Y1954" s="2"/>
      <c r="Z1954" s="2"/>
      <c r="AA1954" s="2"/>
      <c r="AB1954" s="2"/>
      <c r="AC1954" s="2"/>
      <c r="AD1954" s="2"/>
      <c r="AE1954" s="2"/>
      <c r="AF1954" s="2"/>
      <c r="AG1954" s="2"/>
      <c r="AH1954" s="2"/>
      <c r="AI1954" s="2"/>
    </row>
    <row r="1955" spans="1:35" ht="14.25" customHeight="1" x14ac:dyDescent="0.2">
      <c r="A1955" s="1">
        <v>32195</v>
      </c>
      <c r="B1955" s="1" t="s">
        <v>198</v>
      </c>
      <c r="C1955" s="1" t="s">
        <v>51</v>
      </c>
      <c r="D1955" s="2">
        <v>41968</v>
      </c>
      <c r="E1955" s="1" t="s">
        <v>101</v>
      </c>
      <c r="F1955" s="1" t="s">
        <v>265</v>
      </c>
      <c r="G1955" s="1">
        <v>7</v>
      </c>
      <c r="H1955" s="1">
        <v>11.58</v>
      </c>
      <c r="I1955" s="1">
        <f t="shared" si="90"/>
        <v>81.06</v>
      </c>
      <c r="J1955" t="str">
        <f t="shared" si="91"/>
        <v>Low</v>
      </c>
      <c r="K1955" s="1"/>
      <c r="L1955" s="1">
        <v>0.05</v>
      </c>
      <c r="M1955" s="1">
        <v>6.97</v>
      </c>
      <c r="N1955" s="1" t="s">
        <v>33</v>
      </c>
      <c r="O1955" s="1" t="s">
        <v>34</v>
      </c>
      <c r="P1955" s="2">
        <v>41971</v>
      </c>
      <c r="Q1955" s="2" t="b">
        <f t="shared" si="92"/>
        <v>0</v>
      </c>
      <c r="V1955" s="2"/>
      <c r="W1955" s="2"/>
      <c r="X1955" s="2"/>
      <c r="Y1955" s="2"/>
      <c r="Z1955" s="2"/>
      <c r="AA1955" s="2"/>
      <c r="AB1955" s="2"/>
      <c r="AC1955" s="2"/>
      <c r="AD1955" s="2"/>
      <c r="AE1955" s="2"/>
      <c r="AF1955" s="2"/>
      <c r="AG1955" s="2"/>
      <c r="AH1955" s="2"/>
      <c r="AI1955" s="2"/>
    </row>
    <row r="1956" spans="1:35" ht="14.25" customHeight="1" x14ac:dyDescent="0.2">
      <c r="A1956" s="1">
        <v>48710</v>
      </c>
      <c r="B1956" s="1" t="s">
        <v>275</v>
      </c>
      <c r="C1956" s="1" t="s">
        <v>30</v>
      </c>
      <c r="D1956" s="2">
        <v>41968</v>
      </c>
      <c r="E1956" s="1" t="s">
        <v>101</v>
      </c>
      <c r="F1956" s="1" t="s">
        <v>365</v>
      </c>
      <c r="G1956" s="1">
        <v>4</v>
      </c>
      <c r="H1956" s="1">
        <v>6.98</v>
      </c>
      <c r="I1956" s="1">
        <f t="shared" si="90"/>
        <v>27.92</v>
      </c>
      <c r="J1956" t="str">
        <f t="shared" si="91"/>
        <v>Low</v>
      </c>
      <c r="K1956" s="1"/>
      <c r="L1956" s="1">
        <v>0.01</v>
      </c>
      <c r="M1956" s="1">
        <v>1.6</v>
      </c>
      <c r="N1956" s="1" t="s">
        <v>33</v>
      </c>
      <c r="O1956" s="1" t="s">
        <v>55</v>
      </c>
      <c r="P1956" s="2">
        <v>41969</v>
      </c>
      <c r="Q1956" s="2" t="b">
        <f t="shared" si="92"/>
        <v>0</v>
      </c>
      <c r="V1956" s="2"/>
      <c r="W1956" s="2"/>
      <c r="X1956" s="2"/>
      <c r="Y1956" s="2"/>
      <c r="Z1956" s="2"/>
      <c r="AA1956" s="2"/>
      <c r="AB1956" s="2"/>
      <c r="AC1956" s="2"/>
      <c r="AD1956" s="2"/>
      <c r="AE1956" s="2"/>
      <c r="AF1956" s="2"/>
      <c r="AG1956" s="2"/>
      <c r="AH1956" s="2"/>
      <c r="AI1956" s="2"/>
    </row>
    <row r="1957" spans="1:35" ht="14.25" customHeight="1" x14ac:dyDescent="0.2">
      <c r="A1957" s="1">
        <v>30726</v>
      </c>
      <c r="B1957" s="1" t="s">
        <v>283</v>
      </c>
      <c r="C1957" s="1" t="s">
        <v>51</v>
      </c>
      <c r="D1957" s="2">
        <v>41968</v>
      </c>
      <c r="E1957" s="1" t="s">
        <v>101</v>
      </c>
      <c r="F1957" s="1" t="s">
        <v>1440</v>
      </c>
      <c r="G1957" s="1">
        <v>35</v>
      </c>
      <c r="H1957" s="1">
        <v>20.27</v>
      </c>
      <c r="I1957" s="1">
        <f t="shared" si="90"/>
        <v>709.44999999999993</v>
      </c>
      <c r="J1957" t="str">
        <f t="shared" si="91"/>
        <v>Low</v>
      </c>
      <c r="K1957" s="1"/>
      <c r="L1957" s="1">
        <v>0.05</v>
      </c>
      <c r="M1957" s="1">
        <v>3.99</v>
      </c>
      <c r="N1957" s="1" t="s">
        <v>33</v>
      </c>
      <c r="O1957" s="1" t="s">
        <v>34</v>
      </c>
      <c r="P1957" s="2">
        <v>41969</v>
      </c>
      <c r="Q1957" s="2" t="b">
        <f t="shared" si="92"/>
        <v>0</v>
      </c>
      <c r="V1957" s="2"/>
      <c r="W1957" s="2"/>
      <c r="X1957" s="2"/>
      <c r="Y1957" s="2"/>
      <c r="Z1957" s="2"/>
      <c r="AA1957" s="2"/>
      <c r="AB1957" s="2"/>
      <c r="AC1957" s="2"/>
      <c r="AD1957" s="2"/>
      <c r="AE1957" s="2"/>
      <c r="AF1957" s="2"/>
      <c r="AG1957" s="2"/>
      <c r="AH1957" s="2"/>
      <c r="AI1957" s="2"/>
    </row>
    <row r="1958" spans="1:35" ht="14.25" customHeight="1" x14ac:dyDescent="0.2">
      <c r="A1958" s="1">
        <v>10884</v>
      </c>
      <c r="B1958" s="1" t="s">
        <v>339</v>
      </c>
      <c r="C1958" s="1" t="s">
        <v>21</v>
      </c>
      <c r="D1958" s="2">
        <v>41968</v>
      </c>
      <c r="E1958" s="1" t="s">
        <v>43</v>
      </c>
      <c r="F1958" s="1" t="s">
        <v>633</v>
      </c>
      <c r="G1958" s="1">
        <v>24</v>
      </c>
      <c r="H1958" s="1">
        <v>125.99</v>
      </c>
      <c r="I1958" s="1">
        <f t="shared" si="90"/>
        <v>3023.7599999999998</v>
      </c>
      <c r="J1958" t="str">
        <f t="shared" si="91"/>
        <v>High</v>
      </c>
      <c r="K1958" s="1"/>
      <c r="L1958" s="1">
        <v>0.09</v>
      </c>
      <c r="M1958" s="1">
        <v>8.99</v>
      </c>
      <c r="N1958" s="1" t="s">
        <v>33</v>
      </c>
      <c r="O1958" s="1" t="s">
        <v>34</v>
      </c>
      <c r="P1958" s="2">
        <v>41975</v>
      </c>
      <c r="Q1958" s="2" t="b">
        <f t="shared" si="92"/>
        <v>0</v>
      </c>
      <c r="V1958" s="2"/>
      <c r="W1958" s="2"/>
      <c r="X1958" s="2"/>
      <c r="Y1958" s="2"/>
      <c r="Z1958" s="2"/>
      <c r="AA1958" s="2"/>
      <c r="AB1958" s="2"/>
      <c r="AC1958" s="2"/>
      <c r="AD1958" s="2"/>
      <c r="AE1958" s="2"/>
      <c r="AF1958" s="2"/>
      <c r="AG1958" s="2"/>
      <c r="AH1958" s="2"/>
      <c r="AI1958" s="2"/>
    </row>
    <row r="1959" spans="1:35" ht="14.25" customHeight="1" x14ac:dyDescent="0.2">
      <c r="A1959" s="1">
        <v>55906</v>
      </c>
      <c r="B1959" s="1" t="s">
        <v>1584</v>
      </c>
      <c r="C1959" s="1" t="s">
        <v>51</v>
      </c>
      <c r="D1959" s="2">
        <v>41969</v>
      </c>
      <c r="E1959" s="1" t="s">
        <v>38</v>
      </c>
      <c r="F1959" s="1" t="s">
        <v>61</v>
      </c>
      <c r="G1959" s="1">
        <v>49</v>
      </c>
      <c r="H1959" s="1">
        <v>5.58</v>
      </c>
      <c r="I1959" s="1">
        <f t="shared" si="90"/>
        <v>273.42</v>
      </c>
      <c r="J1959" t="str">
        <f t="shared" si="91"/>
        <v>Low</v>
      </c>
      <c r="K1959" s="1"/>
      <c r="L1959" s="1">
        <v>0.02</v>
      </c>
      <c r="M1959" s="1">
        <v>2.99</v>
      </c>
      <c r="N1959" s="1" t="s">
        <v>33</v>
      </c>
      <c r="O1959" s="1" t="s">
        <v>34</v>
      </c>
      <c r="P1959" s="2">
        <v>41971</v>
      </c>
      <c r="Q1959" s="2" t="b">
        <f t="shared" si="92"/>
        <v>0</v>
      </c>
      <c r="V1959" s="2"/>
      <c r="W1959" s="2"/>
      <c r="X1959" s="2"/>
      <c r="Y1959" s="2"/>
      <c r="Z1959" s="2"/>
      <c r="AA1959" s="2"/>
      <c r="AB1959" s="2"/>
      <c r="AC1959" s="2"/>
      <c r="AD1959" s="2"/>
      <c r="AE1959" s="2"/>
      <c r="AF1959" s="2"/>
      <c r="AG1959" s="2"/>
      <c r="AH1959" s="2"/>
      <c r="AI1959" s="2"/>
    </row>
    <row r="1960" spans="1:35" ht="14.25" customHeight="1" x14ac:dyDescent="0.2">
      <c r="A1960" s="1">
        <v>55906</v>
      </c>
      <c r="B1960" s="1" t="s">
        <v>1584</v>
      </c>
      <c r="C1960" s="1" t="s">
        <v>51</v>
      </c>
      <c r="D1960" s="2">
        <v>41969</v>
      </c>
      <c r="E1960" s="1" t="s">
        <v>38</v>
      </c>
      <c r="F1960" s="1" t="s">
        <v>471</v>
      </c>
      <c r="G1960" s="1">
        <v>15</v>
      </c>
      <c r="H1960" s="1">
        <v>7.98</v>
      </c>
      <c r="I1960" s="1">
        <f t="shared" si="90"/>
        <v>119.7</v>
      </c>
      <c r="J1960" t="str">
        <f t="shared" si="91"/>
        <v>Low</v>
      </c>
      <c r="K1960" s="1"/>
      <c r="L1960" s="1">
        <v>0.06</v>
      </c>
      <c r="M1960" s="1">
        <v>1.25</v>
      </c>
      <c r="N1960" s="1" t="s">
        <v>33</v>
      </c>
      <c r="O1960" s="1" t="s">
        <v>55</v>
      </c>
      <c r="P1960" s="2">
        <v>41970</v>
      </c>
      <c r="Q1960" s="2" t="b">
        <f t="shared" si="92"/>
        <v>0</v>
      </c>
      <c r="V1960" s="2"/>
      <c r="W1960" s="2"/>
      <c r="X1960" s="2"/>
      <c r="Y1960" s="2"/>
      <c r="Z1960" s="2"/>
      <c r="AA1960" s="2"/>
      <c r="AB1960" s="2"/>
      <c r="AC1960" s="2"/>
      <c r="AD1960" s="2"/>
      <c r="AE1960" s="2"/>
      <c r="AF1960" s="2"/>
      <c r="AG1960" s="2"/>
      <c r="AH1960" s="2"/>
      <c r="AI1960" s="2"/>
    </row>
    <row r="1961" spans="1:35" ht="14.25" customHeight="1" x14ac:dyDescent="0.2">
      <c r="A1961" s="1">
        <v>55906</v>
      </c>
      <c r="B1961" s="1" t="s">
        <v>1584</v>
      </c>
      <c r="C1961" s="1" t="s">
        <v>51</v>
      </c>
      <c r="D1961" s="2">
        <v>41969</v>
      </c>
      <c r="E1961" s="1" t="s">
        <v>38</v>
      </c>
      <c r="F1961" s="1" t="s">
        <v>1341</v>
      </c>
      <c r="G1961" s="1">
        <v>42</v>
      </c>
      <c r="H1961" s="1">
        <v>54.1</v>
      </c>
      <c r="I1961" s="1">
        <f t="shared" si="90"/>
        <v>2272.2000000000003</v>
      </c>
      <c r="J1961" t="str">
        <f t="shared" si="91"/>
        <v>High</v>
      </c>
      <c r="K1961" s="1"/>
      <c r="L1961" s="1">
        <v>0.02</v>
      </c>
      <c r="M1961" s="1">
        <v>19.989999999999998</v>
      </c>
      <c r="N1961" s="1" t="s">
        <v>33</v>
      </c>
      <c r="O1961" s="1" t="s">
        <v>34</v>
      </c>
      <c r="P1961" s="2">
        <v>41970</v>
      </c>
      <c r="Q1961" s="2" t="b">
        <f t="shared" si="92"/>
        <v>0</v>
      </c>
      <c r="V1961" s="2"/>
      <c r="W1961" s="2"/>
      <c r="X1961" s="2"/>
      <c r="Y1961" s="2"/>
      <c r="Z1961" s="2"/>
      <c r="AA1961" s="2"/>
      <c r="AB1961" s="2"/>
      <c r="AC1961" s="2"/>
      <c r="AD1961" s="2"/>
      <c r="AE1961" s="2"/>
      <c r="AF1961" s="2"/>
      <c r="AG1961" s="2"/>
      <c r="AH1961" s="2"/>
      <c r="AI1961" s="2"/>
    </row>
    <row r="1962" spans="1:35" ht="14.25" customHeight="1" x14ac:dyDescent="0.2">
      <c r="A1962" s="1">
        <v>52035</v>
      </c>
      <c r="B1962" s="1" t="s">
        <v>832</v>
      </c>
      <c r="C1962" s="1" t="s">
        <v>21</v>
      </c>
      <c r="D1962" s="2">
        <v>41970</v>
      </c>
      <c r="E1962" s="1" t="s">
        <v>31</v>
      </c>
      <c r="F1962" s="1" t="s">
        <v>133</v>
      </c>
      <c r="G1962" s="1">
        <v>29</v>
      </c>
      <c r="H1962" s="1">
        <v>699.99</v>
      </c>
      <c r="I1962" s="1">
        <f t="shared" si="90"/>
        <v>20299.71</v>
      </c>
      <c r="J1962" t="str">
        <f t="shared" si="91"/>
        <v>High</v>
      </c>
      <c r="K1962" s="1"/>
      <c r="L1962" s="1">
        <v>0.03</v>
      </c>
      <c r="M1962" s="1">
        <v>24.49</v>
      </c>
      <c r="N1962" s="1" t="s">
        <v>33</v>
      </c>
      <c r="O1962" s="1" t="s">
        <v>26</v>
      </c>
      <c r="P1962" s="2">
        <v>41973</v>
      </c>
      <c r="Q1962" s="2" t="b">
        <f t="shared" si="92"/>
        <v>0</v>
      </c>
      <c r="V1962" s="2"/>
      <c r="W1962" s="2"/>
      <c r="X1962" s="2"/>
      <c r="Y1962" s="2"/>
      <c r="Z1962" s="2"/>
      <c r="AA1962" s="2"/>
      <c r="AB1962" s="2"/>
      <c r="AC1962" s="2"/>
      <c r="AD1962" s="2"/>
      <c r="AE1962" s="2"/>
      <c r="AF1962" s="2"/>
      <c r="AG1962" s="2"/>
      <c r="AH1962" s="2"/>
      <c r="AI1962" s="2"/>
    </row>
    <row r="1963" spans="1:35" ht="14.25" customHeight="1" x14ac:dyDescent="0.2">
      <c r="A1963" s="1">
        <v>5511</v>
      </c>
      <c r="B1963" s="1" t="s">
        <v>1585</v>
      </c>
      <c r="C1963" s="1" t="s">
        <v>21</v>
      </c>
      <c r="D1963" s="2">
        <v>41971</v>
      </c>
      <c r="E1963" s="1" t="s">
        <v>38</v>
      </c>
      <c r="F1963" s="1" t="s">
        <v>1586</v>
      </c>
      <c r="G1963" s="1">
        <v>46</v>
      </c>
      <c r="H1963" s="1">
        <v>2.58</v>
      </c>
      <c r="I1963" s="1">
        <f t="shared" si="90"/>
        <v>118.68</v>
      </c>
      <c r="J1963" t="str">
        <f t="shared" si="91"/>
        <v>Low</v>
      </c>
      <c r="K1963" s="1"/>
      <c r="L1963" s="1">
        <v>0.02</v>
      </c>
      <c r="M1963" s="1">
        <v>1.3</v>
      </c>
      <c r="N1963" s="1" t="s">
        <v>25</v>
      </c>
      <c r="O1963" s="1" t="s">
        <v>55</v>
      </c>
      <c r="P1963" s="2">
        <v>41972</v>
      </c>
      <c r="Q1963" s="2" t="b">
        <f t="shared" si="92"/>
        <v>0</v>
      </c>
      <c r="V1963" s="2"/>
      <c r="W1963" s="2"/>
      <c r="X1963" s="2"/>
      <c r="Y1963" s="2"/>
      <c r="Z1963" s="2"/>
      <c r="AA1963" s="2"/>
      <c r="AB1963" s="2"/>
      <c r="AC1963" s="2"/>
      <c r="AD1963" s="2"/>
      <c r="AE1963" s="2"/>
      <c r="AF1963" s="2"/>
      <c r="AG1963" s="2"/>
      <c r="AH1963" s="2"/>
      <c r="AI1963" s="2"/>
    </row>
    <row r="1964" spans="1:35" ht="14.25" customHeight="1" x14ac:dyDescent="0.2">
      <c r="A1964" s="1">
        <v>5511</v>
      </c>
      <c r="B1964" s="1" t="s">
        <v>1585</v>
      </c>
      <c r="C1964" s="1" t="s">
        <v>51</v>
      </c>
      <c r="D1964" s="2">
        <v>41971</v>
      </c>
      <c r="E1964" s="1" t="s">
        <v>38</v>
      </c>
      <c r="F1964" s="1" t="s">
        <v>1587</v>
      </c>
      <c r="G1964" s="1">
        <v>32</v>
      </c>
      <c r="H1964" s="1">
        <v>65.989999999999995</v>
      </c>
      <c r="I1964" s="1">
        <f t="shared" si="90"/>
        <v>2111.6799999999998</v>
      </c>
      <c r="J1964" t="str">
        <f t="shared" si="91"/>
        <v>High</v>
      </c>
      <c r="K1964" s="1"/>
      <c r="L1964" s="1">
        <v>0.02</v>
      </c>
      <c r="M1964" s="1">
        <v>3.9</v>
      </c>
      <c r="N1964" s="1" t="s">
        <v>33</v>
      </c>
      <c r="O1964" s="1" t="s">
        <v>34</v>
      </c>
      <c r="P1964" s="2">
        <v>41972</v>
      </c>
      <c r="Q1964" s="2" t="b">
        <f t="shared" si="92"/>
        <v>0</v>
      </c>
      <c r="V1964" s="2"/>
      <c r="W1964" s="2"/>
      <c r="X1964" s="2"/>
      <c r="Y1964" s="2"/>
      <c r="Z1964" s="2"/>
      <c r="AA1964" s="2"/>
      <c r="AB1964" s="2"/>
      <c r="AC1964" s="2"/>
      <c r="AD1964" s="2"/>
      <c r="AE1964" s="2"/>
      <c r="AF1964" s="2"/>
      <c r="AG1964" s="2"/>
      <c r="AH1964" s="2"/>
      <c r="AI1964" s="2"/>
    </row>
    <row r="1965" spans="1:35" ht="14.25" customHeight="1" x14ac:dyDescent="0.2">
      <c r="A1965" s="1">
        <v>39717</v>
      </c>
      <c r="B1965" s="1" t="s">
        <v>727</v>
      </c>
      <c r="C1965" s="1" t="s">
        <v>51</v>
      </c>
      <c r="D1965" s="2">
        <v>41971</v>
      </c>
      <c r="E1965" s="1" t="s">
        <v>31</v>
      </c>
      <c r="F1965" s="1" t="s">
        <v>1588</v>
      </c>
      <c r="G1965" s="1">
        <v>20</v>
      </c>
      <c r="H1965" s="1">
        <v>43.57</v>
      </c>
      <c r="I1965" s="1">
        <f t="shared" si="90"/>
        <v>871.4</v>
      </c>
      <c r="J1965" t="str">
        <f t="shared" si="91"/>
        <v>Low</v>
      </c>
      <c r="K1965" s="1"/>
      <c r="L1965" s="1">
        <v>0.06</v>
      </c>
      <c r="M1965" s="1">
        <v>16.36</v>
      </c>
      <c r="N1965" s="1" t="s">
        <v>33</v>
      </c>
      <c r="O1965" s="1" t="s">
        <v>34</v>
      </c>
      <c r="P1965" s="2">
        <v>41973</v>
      </c>
      <c r="Q1965" s="2" t="b">
        <f t="shared" si="92"/>
        <v>0</v>
      </c>
      <c r="V1965" s="2"/>
      <c r="W1965" s="2"/>
      <c r="X1965" s="2"/>
      <c r="Y1965" s="2"/>
      <c r="Z1965" s="2"/>
      <c r="AA1965" s="2"/>
      <c r="AB1965" s="2"/>
      <c r="AC1965" s="2"/>
      <c r="AD1965" s="2"/>
      <c r="AE1965" s="2"/>
      <c r="AF1965" s="2"/>
      <c r="AG1965" s="2"/>
      <c r="AH1965" s="2"/>
      <c r="AI1965" s="2"/>
    </row>
    <row r="1966" spans="1:35" ht="14.25" customHeight="1" x14ac:dyDescent="0.2">
      <c r="A1966" s="1">
        <v>15074</v>
      </c>
      <c r="B1966" s="1" t="s">
        <v>749</v>
      </c>
      <c r="C1966" s="1" t="s">
        <v>30</v>
      </c>
      <c r="D1966" s="2">
        <v>41971</v>
      </c>
      <c r="E1966" s="1" t="s">
        <v>22</v>
      </c>
      <c r="F1966" s="1" t="s">
        <v>805</v>
      </c>
      <c r="G1966" s="1">
        <v>27</v>
      </c>
      <c r="H1966" s="1">
        <v>35.44</v>
      </c>
      <c r="I1966" s="1">
        <f t="shared" si="90"/>
        <v>956.87999999999988</v>
      </c>
      <c r="J1966" t="str">
        <f t="shared" si="91"/>
        <v>Low</v>
      </c>
      <c r="K1966" s="1"/>
      <c r="L1966" s="1">
        <v>0.05</v>
      </c>
      <c r="M1966" s="1">
        <v>5.09</v>
      </c>
      <c r="N1966" s="1" t="s">
        <v>33</v>
      </c>
      <c r="O1966" s="1" t="s">
        <v>34</v>
      </c>
      <c r="P1966" s="2">
        <v>41972</v>
      </c>
      <c r="Q1966" s="2" t="b">
        <f t="shared" si="92"/>
        <v>0</v>
      </c>
      <c r="V1966" s="2"/>
      <c r="W1966" s="2"/>
      <c r="X1966" s="2"/>
      <c r="Y1966" s="2"/>
      <c r="Z1966" s="2"/>
      <c r="AA1966" s="2"/>
      <c r="AB1966" s="2"/>
      <c r="AC1966" s="2"/>
      <c r="AD1966" s="2"/>
      <c r="AE1966" s="2"/>
      <c r="AF1966" s="2"/>
      <c r="AG1966" s="2"/>
      <c r="AH1966" s="2"/>
      <c r="AI1966" s="2"/>
    </row>
    <row r="1967" spans="1:35" ht="14.25" customHeight="1" x14ac:dyDescent="0.2">
      <c r="A1967" s="1">
        <v>36707</v>
      </c>
      <c r="B1967" s="1" t="s">
        <v>1135</v>
      </c>
      <c r="C1967" s="1" t="s">
        <v>21</v>
      </c>
      <c r="D1967" s="2">
        <v>41972</v>
      </c>
      <c r="E1967" s="1" t="s">
        <v>101</v>
      </c>
      <c r="F1967" s="1" t="s">
        <v>1589</v>
      </c>
      <c r="G1967" s="1">
        <v>47</v>
      </c>
      <c r="H1967" s="1">
        <v>3.78</v>
      </c>
      <c r="I1967" s="1">
        <f t="shared" si="90"/>
        <v>177.66</v>
      </c>
      <c r="J1967" t="str">
        <f t="shared" si="91"/>
        <v>Low</v>
      </c>
      <c r="K1967" s="1"/>
      <c r="L1967" s="1">
        <v>0.02</v>
      </c>
      <c r="M1967" s="1">
        <v>0.71</v>
      </c>
      <c r="N1967" s="1" t="s">
        <v>33</v>
      </c>
      <c r="O1967" s="1" t="s">
        <v>55</v>
      </c>
      <c r="P1967" s="2">
        <v>41973</v>
      </c>
      <c r="Q1967" s="2" t="b">
        <f t="shared" si="92"/>
        <v>0</v>
      </c>
      <c r="V1967" s="2"/>
      <c r="W1967" s="2"/>
      <c r="X1967" s="2"/>
      <c r="Y1967" s="2"/>
      <c r="Z1967" s="2"/>
      <c r="AA1967" s="2"/>
      <c r="AB1967" s="2"/>
      <c r="AC1967" s="2"/>
      <c r="AD1967" s="2"/>
      <c r="AE1967" s="2"/>
      <c r="AF1967" s="2"/>
      <c r="AG1967" s="2"/>
      <c r="AH1967" s="2"/>
      <c r="AI1967" s="2"/>
    </row>
    <row r="1968" spans="1:35" ht="14.25" customHeight="1" x14ac:dyDescent="0.2">
      <c r="A1968" s="1">
        <v>20710</v>
      </c>
      <c r="B1968" s="1" t="s">
        <v>610</v>
      </c>
      <c r="C1968" s="1" t="s">
        <v>51</v>
      </c>
      <c r="D1968" s="2">
        <v>41972</v>
      </c>
      <c r="E1968" s="1" t="s">
        <v>31</v>
      </c>
      <c r="F1968" s="1" t="s">
        <v>1305</v>
      </c>
      <c r="G1968" s="1">
        <v>31</v>
      </c>
      <c r="H1968" s="1">
        <v>5.98</v>
      </c>
      <c r="I1968" s="1">
        <f t="shared" si="90"/>
        <v>185.38000000000002</v>
      </c>
      <c r="J1968" t="str">
        <f t="shared" si="91"/>
        <v>Low</v>
      </c>
      <c r="K1968" s="1"/>
      <c r="L1968" s="1">
        <v>0.1</v>
      </c>
      <c r="M1968" s="1">
        <v>3.85</v>
      </c>
      <c r="N1968" s="1" t="s">
        <v>33</v>
      </c>
      <c r="O1968" s="1" t="s">
        <v>84</v>
      </c>
      <c r="P1968" s="2">
        <v>41973</v>
      </c>
      <c r="Q1968" s="2" t="b">
        <f t="shared" si="92"/>
        <v>0</v>
      </c>
      <c r="V1968" s="2"/>
      <c r="W1968" s="2"/>
      <c r="X1968" s="2"/>
      <c r="Y1968" s="2"/>
      <c r="Z1968" s="2"/>
      <c r="AA1968" s="2"/>
      <c r="AB1968" s="2"/>
      <c r="AC1968" s="2"/>
      <c r="AD1968" s="2"/>
      <c r="AE1968" s="2"/>
      <c r="AF1968" s="2"/>
      <c r="AG1968" s="2"/>
      <c r="AH1968" s="2"/>
      <c r="AI1968" s="2"/>
    </row>
    <row r="1969" spans="1:35" ht="14.25" customHeight="1" x14ac:dyDescent="0.2">
      <c r="A1969" s="1">
        <v>20710</v>
      </c>
      <c r="B1969" s="1" t="s">
        <v>610</v>
      </c>
      <c r="C1969" s="1" t="s">
        <v>21</v>
      </c>
      <c r="D1969" s="2">
        <v>41972</v>
      </c>
      <c r="E1969" s="1" t="s">
        <v>31</v>
      </c>
      <c r="F1969" s="1" t="s">
        <v>1023</v>
      </c>
      <c r="G1969" s="1">
        <v>26</v>
      </c>
      <c r="H1969" s="1">
        <v>2.61</v>
      </c>
      <c r="I1969" s="1">
        <f t="shared" si="90"/>
        <v>67.86</v>
      </c>
      <c r="J1969" t="str">
        <f t="shared" si="91"/>
        <v>Low</v>
      </c>
      <c r="K1969" s="1"/>
      <c r="L1969" s="1">
        <v>7.0000000000000007E-2</v>
      </c>
      <c r="M1969" s="1">
        <v>0.5</v>
      </c>
      <c r="N1969" s="1" t="s">
        <v>33</v>
      </c>
      <c r="O1969" s="1" t="s">
        <v>34</v>
      </c>
      <c r="P1969" s="2">
        <v>41974</v>
      </c>
      <c r="Q1969" s="2" t="b">
        <f t="shared" si="92"/>
        <v>0</v>
      </c>
      <c r="V1969" s="2"/>
      <c r="W1969" s="2"/>
      <c r="X1969" s="2"/>
      <c r="Y1969" s="2"/>
      <c r="Z1969" s="2"/>
      <c r="AA1969" s="2"/>
      <c r="AB1969" s="2"/>
      <c r="AC1969" s="2"/>
      <c r="AD1969" s="2"/>
      <c r="AE1969" s="2"/>
      <c r="AF1969" s="2"/>
      <c r="AG1969" s="2"/>
      <c r="AH1969" s="2"/>
      <c r="AI1969" s="2"/>
    </row>
    <row r="1970" spans="1:35" ht="14.25" customHeight="1" x14ac:dyDescent="0.2">
      <c r="A1970" s="1">
        <v>38947</v>
      </c>
      <c r="B1970" s="1" t="s">
        <v>1590</v>
      </c>
      <c r="C1970" s="1" t="s">
        <v>51</v>
      </c>
      <c r="D1970" s="2">
        <v>41972</v>
      </c>
      <c r="E1970" s="1" t="s">
        <v>38</v>
      </c>
      <c r="F1970" s="1" t="s">
        <v>1591</v>
      </c>
      <c r="G1970" s="1">
        <v>20</v>
      </c>
      <c r="H1970" s="1">
        <v>14.58</v>
      </c>
      <c r="I1970" s="1">
        <f t="shared" si="90"/>
        <v>291.60000000000002</v>
      </c>
      <c r="J1970" t="str">
        <f t="shared" si="91"/>
        <v>Low</v>
      </c>
      <c r="K1970" s="1"/>
      <c r="L1970" s="1">
        <v>0.02</v>
      </c>
      <c r="M1970" s="1">
        <v>7.4</v>
      </c>
      <c r="N1970" s="1" t="s">
        <v>33</v>
      </c>
      <c r="O1970" s="1" t="s">
        <v>34</v>
      </c>
      <c r="P1970" s="2">
        <v>41974</v>
      </c>
      <c r="Q1970" s="2" t="b">
        <f t="shared" si="92"/>
        <v>0</v>
      </c>
      <c r="V1970" s="2"/>
      <c r="W1970" s="2"/>
      <c r="X1970" s="2"/>
      <c r="Y1970" s="2"/>
      <c r="Z1970" s="2"/>
      <c r="AA1970" s="2"/>
      <c r="AB1970" s="2"/>
      <c r="AC1970" s="2"/>
      <c r="AD1970" s="2"/>
      <c r="AE1970" s="2"/>
      <c r="AF1970" s="2"/>
      <c r="AG1970" s="2"/>
      <c r="AH1970" s="2"/>
      <c r="AI1970" s="2"/>
    </row>
    <row r="1971" spans="1:35" ht="14.25" customHeight="1" x14ac:dyDescent="0.2">
      <c r="A1971" s="1">
        <v>37924</v>
      </c>
      <c r="B1971" s="1" t="s">
        <v>1592</v>
      </c>
      <c r="C1971" s="1" t="s">
        <v>21</v>
      </c>
      <c r="D1971" s="2">
        <v>41972</v>
      </c>
      <c r="E1971" s="1" t="s">
        <v>31</v>
      </c>
      <c r="F1971" s="1" t="s">
        <v>1593</v>
      </c>
      <c r="G1971" s="1">
        <v>21</v>
      </c>
      <c r="H1971" s="1">
        <v>17.989999999999998</v>
      </c>
      <c r="I1971" s="1">
        <f t="shared" si="90"/>
        <v>377.78999999999996</v>
      </c>
      <c r="J1971" t="str">
        <f t="shared" si="91"/>
        <v>Low</v>
      </c>
      <c r="K1971" s="1"/>
      <c r="L1971" s="1">
        <v>0.09</v>
      </c>
      <c r="M1971" s="1">
        <v>8.65</v>
      </c>
      <c r="N1971" s="1" t="s">
        <v>33</v>
      </c>
      <c r="O1971" s="1" t="s">
        <v>34</v>
      </c>
      <c r="P1971" s="2">
        <v>41972</v>
      </c>
      <c r="Q1971" s="2" t="b">
        <f t="shared" si="92"/>
        <v>0</v>
      </c>
      <c r="V1971" s="2"/>
      <c r="W1971" s="2"/>
      <c r="X1971" s="2"/>
      <c r="Y1971" s="2"/>
      <c r="Z1971" s="2"/>
      <c r="AA1971" s="2"/>
      <c r="AB1971" s="2"/>
      <c r="AC1971" s="2"/>
      <c r="AD1971" s="2"/>
      <c r="AE1971" s="2"/>
      <c r="AF1971" s="2"/>
      <c r="AG1971" s="2"/>
      <c r="AH1971" s="2"/>
      <c r="AI1971" s="2"/>
    </row>
    <row r="1972" spans="1:35" ht="14.25" customHeight="1" x14ac:dyDescent="0.2">
      <c r="A1972" s="1">
        <v>37924</v>
      </c>
      <c r="B1972" s="1" t="s">
        <v>1592</v>
      </c>
      <c r="C1972" s="1" t="s">
        <v>51</v>
      </c>
      <c r="D1972" s="2">
        <v>41972</v>
      </c>
      <c r="E1972" s="1" t="s">
        <v>31</v>
      </c>
      <c r="F1972" s="1" t="s">
        <v>1194</v>
      </c>
      <c r="G1972" s="1">
        <v>49</v>
      </c>
      <c r="H1972" s="1">
        <v>165.2</v>
      </c>
      <c r="I1972" s="1">
        <f t="shared" si="90"/>
        <v>8094.7999999999993</v>
      </c>
      <c r="J1972" t="str">
        <f t="shared" si="91"/>
        <v>High</v>
      </c>
      <c r="K1972" s="1"/>
      <c r="L1972" s="1">
        <v>0.05</v>
      </c>
      <c r="M1972" s="1">
        <v>19.989999999999998</v>
      </c>
      <c r="N1972" s="1" t="s">
        <v>33</v>
      </c>
      <c r="O1972" s="1" t="s">
        <v>34</v>
      </c>
      <c r="P1972" s="2">
        <v>41972</v>
      </c>
      <c r="Q1972" s="2" t="b">
        <f t="shared" si="92"/>
        <v>0</v>
      </c>
      <c r="V1972" s="2"/>
      <c r="W1972" s="2"/>
      <c r="X1972" s="2"/>
      <c r="Y1972" s="2"/>
      <c r="Z1972" s="2"/>
      <c r="AA1972" s="2"/>
      <c r="AB1972" s="2"/>
      <c r="AC1972" s="2"/>
      <c r="AD1972" s="2"/>
      <c r="AE1972" s="2"/>
      <c r="AF1972" s="2"/>
      <c r="AG1972" s="2"/>
      <c r="AH1972" s="2"/>
      <c r="AI1972" s="2"/>
    </row>
    <row r="1973" spans="1:35" ht="14.25" customHeight="1" x14ac:dyDescent="0.2">
      <c r="A1973" s="1">
        <v>12258</v>
      </c>
      <c r="B1973" s="1" t="s">
        <v>799</v>
      </c>
      <c r="C1973" s="1" t="s">
        <v>51</v>
      </c>
      <c r="D1973" s="2">
        <v>41973</v>
      </c>
      <c r="E1973" s="1" t="s">
        <v>43</v>
      </c>
      <c r="F1973" s="1" t="s">
        <v>1287</v>
      </c>
      <c r="G1973" s="1">
        <v>3</v>
      </c>
      <c r="H1973" s="1">
        <v>180.98</v>
      </c>
      <c r="I1973" s="1">
        <f t="shared" si="90"/>
        <v>542.93999999999994</v>
      </c>
      <c r="J1973" t="str">
        <f t="shared" si="91"/>
        <v>Low</v>
      </c>
      <c r="K1973" s="1"/>
      <c r="L1973" s="1">
        <v>0.04</v>
      </c>
      <c r="M1973" s="1">
        <v>30</v>
      </c>
      <c r="N1973" s="1" t="s">
        <v>45</v>
      </c>
      <c r="O1973" s="1" t="s">
        <v>46</v>
      </c>
      <c r="P1973" s="2">
        <v>41973</v>
      </c>
      <c r="Q1973" s="2" t="b">
        <f t="shared" si="92"/>
        <v>0</v>
      </c>
      <c r="V1973" s="2"/>
      <c r="W1973" s="2"/>
      <c r="X1973" s="2"/>
      <c r="Y1973" s="2"/>
      <c r="Z1973" s="2"/>
      <c r="AA1973" s="2"/>
      <c r="AB1973" s="2"/>
      <c r="AC1973" s="2"/>
      <c r="AD1973" s="2"/>
      <c r="AE1973" s="2"/>
      <c r="AF1973" s="2"/>
      <c r="AG1973" s="2"/>
      <c r="AH1973" s="2"/>
      <c r="AI1973" s="2"/>
    </row>
    <row r="1974" spans="1:35" ht="14.25" customHeight="1" x14ac:dyDescent="0.2">
      <c r="A1974" s="1">
        <v>12258</v>
      </c>
      <c r="B1974" s="1" t="s">
        <v>799</v>
      </c>
      <c r="C1974" s="1" t="s">
        <v>30</v>
      </c>
      <c r="D1974" s="2">
        <v>41973</v>
      </c>
      <c r="E1974" s="1" t="s">
        <v>43</v>
      </c>
      <c r="F1974" s="1" t="s">
        <v>600</v>
      </c>
      <c r="G1974" s="1">
        <v>2</v>
      </c>
      <c r="H1974" s="1">
        <v>3.25</v>
      </c>
      <c r="I1974" s="1">
        <f t="shared" si="90"/>
        <v>6.5</v>
      </c>
      <c r="J1974" t="str">
        <f t="shared" si="91"/>
        <v>Low</v>
      </c>
      <c r="K1974" s="1"/>
      <c r="L1974" s="1">
        <v>0.06</v>
      </c>
      <c r="M1974" s="1">
        <v>49</v>
      </c>
      <c r="N1974" s="1" t="s">
        <v>33</v>
      </c>
      <c r="O1974" s="1" t="s">
        <v>26</v>
      </c>
      <c r="P1974" s="2">
        <v>41978</v>
      </c>
      <c r="Q1974" s="2" t="b">
        <f t="shared" si="92"/>
        <v>0</v>
      </c>
      <c r="V1974" s="2"/>
      <c r="W1974" s="2"/>
      <c r="X1974" s="2"/>
      <c r="Y1974" s="2"/>
      <c r="Z1974" s="2"/>
      <c r="AA1974" s="2"/>
      <c r="AB1974" s="2"/>
      <c r="AC1974" s="2"/>
      <c r="AD1974" s="2"/>
      <c r="AE1974" s="2"/>
      <c r="AF1974" s="2"/>
      <c r="AG1974" s="2"/>
      <c r="AH1974" s="2"/>
      <c r="AI1974" s="2"/>
    </row>
    <row r="1975" spans="1:35" ht="14.25" customHeight="1" x14ac:dyDescent="0.2">
      <c r="A1975" s="1">
        <v>12258</v>
      </c>
      <c r="B1975" s="1" t="s">
        <v>799</v>
      </c>
      <c r="C1975" s="1" t="s">
        <v>51</v>
      </c>
      <c r="D1975" s="2">
        <v>41973</v>
      </c>
      <c r="E1975" s="1" t="s">
        <v>43</v>
      </c>
      <c r="F1975" s="1" t="s">
        <v>233</v>
      </c>
      <c r="G1975" s="1">
        <v>22</v>
      </c>
      <c r="H1975" s="1">
        <v>110.98</v>
      </c>
      <c r="I1975" s="1">
        <f t="shared" si="90"/>
        <v>2441.56</v>
      </c>
      <c r="J1975" t="str">
        <f t="shared" si="91"/>
        <v>High</v>
      </c>
      <c r="K1975" s="1"/>
      <c r="L1975" s="1">
        <v>0.01</v>
      </c>
      <c r="M1975" s="1">
        <v>13.99</v>
      </c>
      <c r="N1975" s="1" t="s">
        <v>33</v>
      </c>
      <c r="O1975" s="1" t="s">
        <v>72</v>
      </c>
      <c r="P1975" s="2">
        <v>41977</v>
      </c>
      <c r="Q1975" s="2" t="b">
        <f t="shared" si="92"/>
        <v>0</v>
      </c>
      <c r="V1975" s="2"/>
      <c r="W1975" s="2"/>
      <c r="X1975" s="2"/>
      <c r="Y1975" s="2"/>
      <c r="Z1975" s="2"/>
      <c r="AA1975" s="2"/>
      <c r="AB1975" s="2"/>
      <c r="AC1975" s="2"/>
      <c r="AD1975" s="2"/>
      <c r="AE1975" s="2"/>
      <c r="AF1975" s="2"/>
      <c r="AG1975" s="2"/>
      <c r="AH1975" s="2"/>
      <c r="AI1975" s="2"/>
    </row>
    <row r="1976" spans="1:35" ht="14.25" customHeight="1" x14ac:dyDescent="0.2">
      <c r="A1976" s="1">
        <v>12258</v>
      </c>
      <c r="B1976" s="1" t="s">
        <v>799</v>
      </c>
      <c r="C1976" s="1" t="s">
        <v>21</v>
      </c>
      <c r="D1976" s="2">
        <v>41973</v>
      </c>
      <c r="E1976" s="1" t="s">
        <v>43</v>
      </c>
      <c r="F1976" s="1" t="s">
        <v>1442</v>
      </c>
      <c r="G1976" s="1">
        <v>27</v>
      </c>
      <c r="H1976" s="1">
        <v>3.95</v>
      </c>
      <c r="I1976" s="1">
        <f t="shared" si="90"/>
        <v>106.65</v>
      </c>
      <c r="J1976" t="str">
        <f t="shared" si="91"/>
        <v>Low</v>
      </c>
      <c r="K1976" s="1"/>
      <c r="L1976" s="1">
        <v>0.05</v>
      </c>
      <c r="M1976" s="1">
        <v>2</v>
      </c>
      <c r="N1976" s="1" t="s">
        <v>25</v>
      </c>
      <c r="O1976" s="1" t="s">
        <v>55</v>
      </c>
      <c r="P1976" s="2">
        <v>41980</v>
      </c>
      <c r="Q1976" s="2" t="b">
        <f t="shared" si="92"/>
        <v>0</v>
      </c>
      <c r="V1976" s="2"/>
      <c r="W1976" s="2"/>
      <c r="X1976" s="2"/>
      <c r="Y1976" s="2"/>
      <c r="Z1976" s="2"/>
      <c r="AA1976" s="2"/>
      <c r="AB1976" s="2"/>
      <c r="AC1976" s="2"/>
      <c r="AD1976" s="2"/>
      <c r="AE1976" s="2"/>
      <c r="AF1976" s="2"/>
      <c r="AG1976" s="2"/>
      <c r="AH1976" s="2"/>
      <c r="AI1976" s="2"/>
    </row>
    <row r="1977" spans="1:35" ht="14.25" customHeight="1" x14ac:dyDescent="0.2">
      <c r="A1977" s="1">
        <v>57061</v>
      </c>
      <c r="B1977" s="1" t="s">
        <v>701</v>
      </c>
      <c r="C1977" s="1" t="s">
        <v>51</v>
      </c>
      <c r="D1977" s="2">
        <v>41973</v>
      </c>
      <c r="E1977" s="1" t="s">
        <v>43</v>
      </c>
      <c r="F1977" s="1" t="s">
        <v>770</v>
      </c>
      <c r="G1977" s="1">
        <v>21</v>
      </c>
      <c r="H1977" s="1">
        <v>22.38</v>
      </c>
      <c r="I1977" s="1">
        <f t="shared" si="90"/>
        <v>469.97999999999996</v>
      </c>
      <c r="J1977" t="str">
        <f t="shared" si="91"/>
        <v>Low</v>
      </c>
      <c r="K1977" s="1"/>
      <c r="L1977" s="1">
        <v>0.04</v>
      </c>
      <c r="M1977" s="1">
        <v>15.1</v>
      </c>
      <c r="N1977" s="1" t="s">
        <v>33</v>
      </c>
      <c r="O1977" s="1" t="s">
        <v>34</v>
      </c>
      <c r="P1977" s="2">
        <v>41980</v>
      </c>
      <c r="Q1977" s="2" t="b">
        <f t="shared" si="92"/>
        <v>0</v>
      </c>
      <c r="V1977" s="2"/>
      <c r="W1977" s="2"/>
      <c r="X1977" s="2"/>
      <c r="Y1977" s="2"/>
      <c r="Z1977" s="2"/>
      <c r="AA1977" s="2"/>
      <c r="AB1977" s="2"/>
      <c r="AC1977" s="2"/>
      <c r="AD1977" s="2"/>
      <c r="AE1977" s="2"/>
      <c r="AF1977" s="2"/>
      <c r="AG1977" s="2"/>
      <c r="AH1977" s="2"/>
      <c r="AI1977" s="2"/>
    </row>
    <row r="1978" spans="1:35" ht="14.25" customHeight="1" x14ac:dyDescent="0.2">
      <c r="A1978" s="1">
        <v>57061</v>
      </c>
      <c r="B1978" s="1" t="s">
        <v>701</v>
      </c>
      <c r="C1978" s="1" t="s">
        <v>51</v>
      </c>
      <c r="D1978" s="2">
        <v>41973</v>
      </c>
      <c r="E1978" s="1" t="s">
        <v>43</v>
      </c>
      <c r="F1978" s="1" t="s">
        <v>356</v>
      </c>
      <c r="G1978" s="1">
        <v>6</v>
      </c>
      <c r="H1978" s="1">
        <v>6.3</v>
      </c>
      <c r="I1978" s="1">
        <f t="shared" si="90"/>
        <v>37.799999999999997</v>
      </c>
      <c r="J1978" t="str">
        <f t="shared" si="91"/>
        <v>Low</v>
      </c>
      <c r="K1978" s="1"/>
      <c r="L1978" s="1">
        <v>7.0000000000000007E-2</v>
      </c>
      <c r="M1978" s="1">
        <v>0.5</v>
      </c>
      <c r="N1978" s="1" t="s">
        <v>33</v>
      </c>
      <c r="O1978" s="1" t="s">
        <v>34</v>
      </c>
      <c r="P1978" s="2">
        <v>41973</v>
      </c>
      <c r="Q1978" s="2" t="b">
        <f t="shared" si="92"/>
        <v>0</v>
      </c>
      <c r="V1978" s="2"/>
      <c r="W1978" s="2"/>
      <c r="X1978" s="2"/>
      <c r="Y1978" s="2"/>
      <c r="Z1978" s="2"/>
      <c r="AA1978" s="2"/>
      <c r="AB1978" s="2"/>
      <c r="AC1978" s="2"/>
      <c r="AD1978" s="2"/>
      <c r="AE1978" s="2"/>
      <c r="AF1978" s="2"/>
      <c r="AG1978" s="2"/>
      <c r="AH1978" s="2"/>
      <c r="AI1978" s="2"/>
    </row>
    <row r="1979" spans="1:35" ht="14.25" customHeight="1" x14ac:dyDescent="0.2">
      <c r="A1979" s="1">
        <v>57061</v>
      </c>
      <c r="B1979" s="1" t="s">
        <v>701</v>
      </c>
      <c r="C1979" s="1" t="s">
        <v>51</v>
      </c>
      <c r="D1979" s="2">
        <v>41973</v>
      </c>
      <c r="E1979" s="1" t="s">
        <v>43</v>
      </c>
      <c r="F1979" s="1" t="s">
        <v>1578</v>
      </c>
      <c r="G1979" s="1">
        <v>3</v>
      </c>
      <c r="H1979" s="1">
        <v>17.78</v>
      </c>
      <c r="I1979" s="1">
        <f t="shared" si="90"/>
        <v>53.34</v>
      </c>
      <c r="J1979" t="str">
        <f t="shared" si="91"/>
        <v>Low</v>
      </c>
      <c r="K1979" s="1"/>
      <c r="L1979" s="1">
        <v>0.06</v>
      </c>
      <c r="M1979" s="1">
        <v>5.03</v>
      </c>
      <c r="N1979" s="1" t="s">
        <v>33</v>
      </c>
      <c r="O1979" s="1" t="s">
        <v>34</v>
      </c>
      <c r="P1979" s="2">
        <v>41975</v>
      </c>
      <c r="Q1979" s="2" t="b">
        <f t="shared" si="92"/>
        <v>0</v>
      </c>
      <c r="V1979" s="2"/>
      <c r="W1979" s="2"/>
      <c r="X1979" s="2"/>
      <c r="Y1979" s="2"/>
      <c r="Z1979" s="2"/>
      <c r="AA1979" s="2"/>
      <c r="AB1979" s="2"/>
      <c r="AC1979" s="2"/>
      <c r="AD1979" s="2"/>
      <c r="AE1979" s="2"/>
      <c r="AF1979" s="2"/>
      <c r="AG1979" s="2"/>
      <c r="AH1979" s="2"/>
      <c r="AI1979" s="2"/>
    </row>
    <row r="1980" spans="1:35" ht="14.25" customHeight="1" x14ac:dyDescent="0.2">
      <c r="A1980" s="1">
        <v>36416</v>
      </c>
      <c r="B1980" s="1" t="s">
        <v>334</v>
      </c>
      <c r="C1980" s="1" t="s">
        <v>30</v>
      </c>
      <c r="D1980" s="2">
        <v>41973</v>
      </c>
      <c r="E1980" s="1" t="s">
        <v>43</v>
      </c>
      <c r="F1980" s="1" t="s">
        <v>1594</v>
      </c>
      <c r="G1980" s="1">
        <v>44</v>
      </c>
      <c r="H1980" s="1">
        <v>6.48</v>
      </c>
      <c r="I1980" s="1">
        <f t="shared" si="90"/>
        <v>285.12</v>
      </c>
      <c r="J1980" t="str">
        <f t="shared" si="91"/>
        <v>Low</v>
      </c>
      <c r="K1980" s="1"/>
      <c r="L1980" s="1">
        <v>0.08</v>
      </c>
      <c r="M1980" s="1">
        <v>5.82</v>
      </c>
      <c r="N1980" s="1" t="s">
        <v>33</v>
      </c>
      <c r="O1980" s="1" t="s">
        <v>34</v>
      </c>
      <c r="P1980" s="2">
        <v>41977</v>
      </c>
      <c r="Q1980" s="2" t="b">
        <f t="shared" si="92"/>
        <v>0</v>
      </c>
      <c r="V1980" s="2"/>
      <c r="W1980" s="2"/>
      <c r="X1980" s="2"/>
      <c r="Y1980" s="2"/>
      <c r="Z1980" s="2"/>
      <c r="AA1980" s="2"/>
      <c r="AB1980" s="2"/>
      <c r="AC1980" s="2"/>
      <c r="AD1980" s="2"/>
      <c r="AE1980" s="2"/>
      <c r="AF1980" s="2"/>
      <c r="AG1980" s="2"/>
      <c r="AH1980" s="2"/>
      <c r="AI1980" s="2"/>
    </row>
    <row r="1981" spans="1:35" ht="14.25" customHeight="1" x14ac:dyDescent="0.2">
      <c r="A1981" s="1">
        <v>36416</v>
      </c>
      <c r="B1981" s="1" t="s">
        <v>334</v>
      </c>
      <c r="C1981" s="1" t="s">
        <v>51</v>
      </c>
      <c r="D1981" s="2">
        <v>41973</v>
      </c>
      <c r="E1981" s="1" t="s">
        <v>43</v>
      </c>
      <c r="F1981" s="1" t="s">
        <v>398</v>
      </c>
      <c r="G1981" s="1">
        <v>46</v>
      </c>
      <c r="H1981" s="1">
        <v>2.88</v>
      </c>
      <c r="I1981" s="1">
        <f t="shared" si="90"/>
        <v>132.47999999999999</v>
      </c>
      <c r="J1981" t="str">
        <f t="shared" si="91"/>
        <v>Low</v>
      </c>
      <c r="K1981" s="1"/>
      <c r="L1981" s="1">
        <v>0.04</v>
      </c>
      <c r="M1981" s="1">
        <v>1.01</v>
      </c>
      <c r="N1981" s="1" t="s">
        <v>33</v>
      </c>
      <c r="O1981" s="1" t="s">
        <v>55</v>
      </c>
      <c r="P1981" s="2">
        <v>41977</v>
      </c>
      <c r="Q1981" s="2" t="b">
        <f t="shared" si="92"/>
        <v>0</v>
      </c>
      <c r="V1981" s="2"/>
      <c r="W1981" s="2"/>
      <c r="X1981" s="2"/>
      <c r="Y1981" s="2"/>
      <c r="Z1981" s="2"/>
      <c r="AA1981" s="2"/>
      <c r="AB1981" s="2"/>
      <c r="AC1981" s="2"/>
      <c r="AD1981" s="2"/>
      <c r="AE1981" s="2"/>
      <c r="AF1981" s="2"/>
      <c r="AG1981" s="2"/>
      <c r="AH1981" s="2"/>
      <c r="AI1981" s="2"/>
    </row>
    <row r="1982" spans="1:35" ht="14.25" customHeight="1" x14ac:dyDescent="0.2">
      <c r="A1982" s="1">
        <v>6592</v>
      </c>
      <c r="B1982" s="1" t="s">
        <v>698</v>
      </c>
      <c r="C1982" s="1" t="s">
        <v>21</v>
      </c>
      <c r="D1982" s="2">
        <v>41974</v>
      </c>
      <c r="E1982" s="1" t="s">
        <v>43</v>
      </c>
      <c r="F1982" s="1" t="s">
        <v>309</v>
      </c>
      <c r="G1982" s="1">
        <v>29</v>
      </c>
      <c r="H1982" s="1">
        <v>6.84</v>
      </c>
      <c r="I1982" s="1">
        <f t="shared" si="90"/>
        <v>198.35999999999999</v>
      </c>
      <c r="J1982" t="str">
        <f t="shared" si="91"/>
        <v>Low</v>
      </c>
      <c r="K1982" s="1"/>
      <c r="L1982" s="1">
        <v>0.09</v>
      </c>
      <c r="M1982" s="1">
        <v>8.3699999999999992</v>
      </c>
      <c r="N1982" s="1" t="s">
        <v>33</v>
      </c>
      <c r="O1982" s="1" t="s">
        <v>84</v>
      </c>
      <c r="P1982" s="2">
        <v>41981</v>
      </c>
      <c r="Q1982" s="2" t="b">
        <f t="shared" si="92"/>
        <v>0</v>
      </c>
      <c r="V1982" s="2"/>
      <c r="W1982" s="2"/>
      <c r="X1982" s="2"/>
      <c r="Y1982" s="2"/>
      <c r="Z1982" s="2"/>
      <c r="AA1982" s="2"/>
      <c r="AB1982" s="2"/>
      <c r="AC1982" s="2"/>
      <c r="AD1982" s="2"/>
      <c r="AE1982" s="2"/>
      <c r="AF1982" s="2"/>
      <c r="AG1982" s="2"/>
      <c r="AH1982" s="2"/>
      <c r="AI1982" s="2"/>
    </row>
    <row r="1983" spans="1:35" ht="14.25" customHeight="1" x14ac:dyDescent="0.2">
      <c r="A1983" s="1">
        <v>6592</v>
      </c>
      <c r="B1983" s="1" t="s">
        <v>698</v>
      </c>
      <c r="C1983" s="1" t="s">
        <v>51</v>
      </c>
      <c r="D1983" s="2">
        <v>41974</v>
      </c>
      <c r="E1983" s="1" t="s">
        <v>43</v>
      </c>
      <c r="F1983" s="1" t="s">
        <v>1348</v>
      </c>
      <c r="G1983" s="1">
        <v>33</v>
      </c>
      <c r="H1983" s="1">
        <v>48.91</v>
      </c>
      <c r="I1983" s="1">
        <f t="shared" si="90"/>
        <v>1614.03</v>
      </c>
      <c r="J1983" t="str">
        <f t="shared" si="91"/>
        <v>High</v>
      </c>
      <c r="K1983" s="1"/>
      <c r="L1983" s="1">
        <v>7.0000000000000007E-2</v>
      </c>
      <c r="M1983" s="1">
        <v>35</v>
      </c>
      <c r="N1983" s="1" t="s">
        <v>25</v>
      </c>
      <c r="O1983" s="1" t="s">
        <v>26</v>
      </c>
      <c r="P1983" s="2">
        <v>41976</v>
      </c>
      <c r="Q1983" s="2" t="b">
        <f t="shared" si="92"/>
        <v>1</v>
      </c>
      <c r="V1983" s="2"/>
      <c r="W1983" s="2"/>
      <c r="X1983" s="2"/>
      <c r="Y1983" s="2"/>
      <c r="Z1983" s="2"/>
      <c r="AA1983" s="2"/>
      <c r="AB1983" s="2"/>
      <c r="AC1983" s="2"/>
      <c r="AD1983" s="2"/>
      <c r="AE1983" s="2"/>
      <c r="AF1983" s="2"/>
      <c r="AG1983" s="2"/>
      <c r="AH1983" s="2"/>
      <c r="AI1983" s="2"/>
    </row>
    <row r="1984" spans="1:35" ht="14.25" customHeight="1" x14ac:dyDescent="0.2">
      <c r="A1984" s="1">
        <v>39844</v>
      </c>
      <c r="B1984" s="1" t="s">
        <v>1258</v>
      </c>
      <c r="C1984" s="1" t="s">
        <v>51</v>
      </c>
      <c r="D1984" s="2">
        <v>41974</v>
      </c>
      <c r="E1984" s="1" t="s">
        <v>22</v>
      </c>
      <c r="F1984" s="1" t="s">
        <v>1374</v>
      </c>
      <c r="G1984" s="1">
        <v>47</v>
      </c>
      <c r="H1984" s="1">
        <v>95.43</v>
      </c>
      <c r="I1984" s="1">
        <f t="shared" si="90"/>
        <v>4485.21</v>
      </c>
      <c r="J1984" t="str">
        <f t="shared" si="91"/>
        <v>High</v>
      </c>
      <c r="K1984" s="1"/>
      <c r="L1984" s="1">
        <v>0.09</v>
      </c>
      <c r="M1984" s="1">
        <v>19.989999999999998</v>
      </c>
      <c r="N1984" s="1" t="s">
        <v>33</v>
      </c>
      <c r="O1984" s="1" t="s">
        <v>34</v>
      </c>
      <c r="P1984" s="2">
        <v>41975</v>
      </c>
      <c r="Q1984" s="2" t="b">
        <f t="shared" si="92"/>
        <v>0</v>
      </c>
      <c r="V1984" s="2"/>
      <c r="W1984" s="2"/>
      <c r="X1984" s="2"/>
      <c r="Y1984" s="2"/>
      <c r="Z1984" s="2"/>
      <c r="AA1984" s="2"/>
      <c r="AB1984" s="2"/>
      <c r="AC1984" s="2"/>
      <c r="AD1984" s="2"/>
      <c r="AE1984" s="2"/>
      <c r="AF1984" s="2"/>
      <c r="AG1984" s="2"/>
      <c r="AH1984" s="2"/>
      <c r="AI1984" s="2"/>
    </row>
    <row r="1985" spans="1:35" ht="14.25" customHeight="1" x14ac:dyDescent="0.2">
      <c r="A1985" s="1">
        <v>52070</v>
      </c>
      <c r="B1985" s="1" t="s">
        <v>263</v>
      </c>
      <c r="C1985" s="1" t="s">
        <v>51</v>
      </c>
      <c r="D1985" s="2">
        <v>41974</v>
      </c>
      <c r="E1985" s="1" t="s">
        <v>22</v>
      </c>
      <c r="F1985" s="1" t="s">
        <v>1595</v>
      </c>
      <c r="G1985" s="1">
        <v>29</v>
      </c>
      <c r="H1985" s="1">
        <v>2.2799999999999998</v>
      </c>
      <c r="I1985" s="1">
        <f t="shared" si="90"/>
        <v>66.11999999999999</v>
      </c>
      <c r="J1985" t="str">
        <f t="shared" si="91"/>
        <v>Low</v>
      </c>
      <c r="K1985" s="1"/>
      <c r="L1985" s="1">
        <v>0.06</v>
      </c>
      <c r="M1985" s="1">
        <v>5.2</v>
      </c>
      <c r="N1985" s="1" t="s">
        <v>33</v>
      </c>
      <c r="O1985" s="1" t="s">
        <v>55</v>
      </c>
      <c r="P1985" s="2">
        <v>41976</v>
      </c>
      <c r="Q1985" s="2" t="b">
        <f t="shared" si="92"/>
        <v>0</v>
      </c>
      <c r="V1985" s="2"/>
      <c r="W1985" s="2"/>
      <c r="X1985" s="2"/>
      <c r="Y1985" s="2"/>
      <c r="Z1985" s="2"/>
      <c r="AA1985" s="2"/>
      <c r="AB1985" s="2"/>
      <c r="AC1985" s="2"/>
      <c r="AD1985" s="2"/>
      <c r="AE1985" s="2"/>
      <c r="AF1985" s="2"/>
      <c r="AG1985" s="2"/>
      <c r="AH1985" s="2"/>
      <c r="AI1985" s="2"/>
    </row>
    <row r="1986" spans="1:35" ht="14.25" customHeight="1" x14ac:dyDescent="0.2">
      <c r="A1986" s="1">
        <v>38594</v>
      </c>
      <c r="B1986" s="1" t="s">
        <v>496</v>
      </c>
      <c r="C1986" s="1" t="s">
        <v>51</v>
      </c>
      <c r="D1986" s="2">
        <v>41974</v>
      </c>
      <c r="E1986" s="1" t="s">
        <v>101</v>
      </c>
      <c r="F1986" s="1" t="s">
        <v>499</v>
      </c>
      <c r="G1986" s="1">
        <v>26</v>
      </c>
      <c r="H1986" s="1">
        <v>39.479999999999997</v>
      </c>
      <c r="I1986" s="1">
        <f t="shared" ref="I1986:I2049" si="93">G1986*H1986</f>
        <v>1026.48</v>
      </c>
      <c r="J1986" t="str">
        <f t="shared" ref="J1986:J2049" si="94">IF(I1986&lt;1000,"Low","High")</f>
        <v>High</v>
      </c>
      <c r="K1986" s="1"/>
      <c r="L1986" s="1">
        <v>7.0000000000000007E-2</v>
      </c>
      <c r="M1986" s="1">
        <v>1.99</v>
      </c>
      <c r="N1986" s="1" t="s">
        <v>33</v>
      </c>
      <c r="O1986" s="1" t="s">
        <v>84</v>
      </c>
      <c r="P1986" s="2">
        <v>41975</v>
      </c>
      <c r="Q1986" s="2" t="b">
        <f t="shared" ref="Q1986:Q2049" si="95">AND(N1986="Express Air",O1986="Large Box")</f>
        <v>0</v>
      </c>
      <c r="V1986" s="2"/>
      <c r="W1986" s="2"/>
      <c r="X1986" s="2"/>
      <c r="Y1986" s="2"/>
      <c r="Z1986" s="2"/>
      <c r="AA1986" s="2"/>
      <c r="AB1986" s="2"/>
      <c r="AC1986" s="2"/>
      <c r="AD1986" s="2"/>
      <c r="AE1986" s="2"/>
      <c r="AF1986" s="2"/>
      <c r="AG1986" s="2"/>
      <c r="AH1986" s="2"/>
      <c r="AI1986" s="2"/>
    </row>
    <row r="1987" spans="1:35" ht="14.25" customHeight="1" x14ac:dyDescent="0.2">
      <c r="A1987" s="1">
        <v>645</v>
      </c>
      <c r="B1987" s="1" t="s">
        <v>1596</v>
      </c>
      <c r="C1987" s="1" t="s">
        <v>21</v>
      </c>
      <c r="D1987" s="2">
        <v>41975</v>
      </c>
      <c r="E1987" s="1" t="s">
        <v>31</v>
      </c>
      <c r="F1987" s="1" t="s">
        <v>1597</v>
      </c>
      <c r="G1987" s="1">
        <v>42</v>
      </c>
      <c r="H1987" s="1">
        <v>12.95</v>
      </c>
      <c r="I1987" s="1">
        <f t="shared" si="93"/>
        <v>543.9</v>
      </c>
      <c r="J1987" t="str">
        <f t="shared" si="94"/>
        <v>Low</v>
      </c>
      <c r="K1987" s="1"/>
      <c r="L1987" s="1">
        <v>0.05</v>
      </c>
      <c r="M1987" s="1">
        <v>4.9800000000000004</v>
      </c>
      <c r="N1987" s="1" t="s">
        <v>33</v>
      </c>
      <c r="O1987" s="1" t="s">
        <v>34</v>
      </c>
      <c r="P1987" s="2">
        <v>41977</v>
      </c>
      <c r="Q1987" s="2" t="b">
        <f t="shared" si="95"/>
        <v>0</v>
      </c>
      <c r="V1987" s="2"/>
      <c r="W1987" s="2"/>
      <c r="X1987" s="2"/>
      <c r="Y1987" s="2"/>
      <c r="Z1987" s="2"/>
      <c r="AA1987" s="2"/>
      <c r="AB1987" s="2"/>
      <c r="AC1987" s="2"/>
      <c r="AD1987" s="2"/>
      <c r="AE1987" s="2"/>
      <c r="AF1987" s="2"/>
      <c r="AG1987" s="2"/>
      <c r="AH1987" s="2"/>
      <c r="AI1987" s="2"/>
    </row>
    <row r="1988" spans="1:35" ht="14.25" customHeight="1" x14ac:dyDescent="0.2">
      <c r="A1988" s="1">
        <v>49668</v>
      </c>
      <c r="B1988" s="1" t="s">
        <v>778</v>
      </c>
      <c r="C1988" s="1" t="s">
        <v>30</v>
      </c>
      <c r="D1988" s="2">
        <v>41975</v>
      </c>
      <c r="E1988" s="1" t="s">
        <v>43</v>
      </c>
      <c r="F1988" s="1" t="s">
        <v>1598</v>
      </c>
      <c r="G1988" s="1">
        <v>25</v>
      </c>
      <c r="H1988" s="1">
        <v>3.74</v>
      </c>
      <c r="I1988" s="1">
        <f t="shared" si="93"/>
        <v>93.5</v>
      </c>
      <c r="J1988" t="str">
        <f t="shared" si="94"/>
        <v>Low</v>
      </c>
      <c r="K1988" s="1"/>
      <c r="L1988" s="1">
        <v>0.06</v>
      </c>
      <c r="M1988" s="1">
        <v>0.94</v>
      </c>
      <c r="N1988" s="1" t="s">
        <v>33</v>
      </c>
      <c r="O1988" s="1" t="s">
        <v>55</v>
      </c>
      <c r="P1988" s="2">
        <v>41982</v>
      </c>
      <c r="Q1988" s="2" t="b">
        <f t="shared" si="95"/>
        <v>0</v>
      </c>
      <c r="V1988" s="2"/>
      <c r="W1988" s="2"/>
      <c r="X1988" s="2"/>
      <c r="Y1988" s="2"/>
      <c r="Z1988" s="2"/>
      <c r="AA1988" s="2"/>
      <c r="AB1988" s="2"/>
      <c r="AC1988" s="2"/>
      <c r="AD1988" s="2"/>
      <c r="AE1988" s="2"/>
      <c r="AF1988" s="2"/>
      <c r="AG1988" s="2"/>
      <c r="AH1988" s="2"/>
      <c r="AI1988" s="2"/>
    </row>
    <row r="1989" spans="1:35" ht="14.25" customHeight="1" x14ac:dyDescent="0.2">
      <c r="A1989" s="1">
        <v>36355</v>
      </c>
      <c r="B1989" s="1" t="s">
        <v>1203</v>
      </c>
      <c r="C1989" s="1" t="s">
        <v>30</v>
      </c>
      <c r="D1989" s="2">
        <v>41975</v>
      </c>
      <c r="E1989" s="1" t="s">
        <v>101</v>
      </c>
      <c r="F1989" s="1" t="s">
        <v>980</v>
      </c>
      <c r="G1989" s="1">
        <v>9</v>
      </c>
      <c r="H1989" s="1">
        <v>5.4</v>
      </c>
      <c r="I1989" s="1">
        <f t="shared" si="93"/>
        <v>48.6</v>
      </c>
      <c r="J1989" t="str">
        <f t="shared" si="94"/>
        <v>Low</v>
      </c>
      <c r="K1989" s="1"/>
      <c r="L1989" s="1">
        <v>0.09</v>
      </c>
      <c r="M1989" s="1">
        <v>7.78</v>
      </c>
      <c r="N1989" s="1" t="s">
        <v>25</v>
      </c>
      <c r="O1989" s="1" t="s">
        <v>34</v>
      </c>
      <c r="P1989" s="2">
        <v>41975</v>
      </c>
      <c r="Q1989" s="2" t="b">
        <f t="shared" si="95"/>
        <v>0</v>
      </c>
      <c r="V1989" s="2"/>
      <c r="W1989" s="2"/>
      <c r="X1989" s="2"/>
      <c r="Y1989" s="2"/>
      <c r="Z1989" s="2"/>
      <c r="AA1989" s="2"/>
      <c r="AB1989" s="2"/>
      <c r="AC1989" s="2"/>
      <c r="AD1989" s="2"/>
      <c r="AE1989" s="2"/>
      <c r="AF1989" s="2"/>
      <c r="AG1989" s="2"/>
      <c r="AH1989" s="2"/>
      <c r="AI1989" s="2"/>
    </row>
    <row r="1990" spans="1:35" ht="14.25" customHeight="1" x14ac:dyDescent="0.2">
      <c r="A1990" s="1">
        <v>36355</v>
      </c>
      <c r="B1990" s="1" t="s">
        <v>1203</v>
      </c>
      <c r="C1990" s="1" t="s">
        <v>21</v>
      </c>
      <c r="D1990" s="2">
        <v>41975</v>
      </c>
      <c r="E1990" s="1" t="s">
        <v>101</v>
      </c>
      <c r="F1990" s="1" t="s">
        <v>1599</v>
      </c>
      <c r="G1990" s="1">
        <v>6</v>
      </c>
      <c r="H1990" s="1">
        <v>20.28</v>
      </c>
      <c r="I1990" s="1">
        <f t="shared" si="93"/>
        <v>121.68</v>
      </c>
      <c r="J1990" t="str">
        <f t="shared" si="94"/>
        <v>Low</v>
      </c>
      <c r="K1990" s="1"/>
      <c r="L1990" s="1">
        <v>0.02</v>
      </c>
      <c r="M1990" s="1">
        <v>6.68</v>
      </c>
      <c r="N1990" s="1" t="s">
        <v>33</v>
      </c>
      <c r="O1990" s="1" t="s">
        <v>34</v>
      </c>
      <c r="P1990" s="2">
        <v>41975</v>
      </c>
      <c r="Q1990" s="2" t="b">
        <f t="shared" si="95"/>
        <v>0</v>
      </c>
      <c r="V1990" s="2"/>
      <c r="W1990" s="2"/>
      <c r="X1990" s="2"/>
      <c r="Y1990" s="2"/>
      <c r="Z1990" s="2"/>
      <c r="AA1990" s="2"/>
      <c r="AB1990" s="2"/>
      <c r="AC1990" s="2"/>
      <c r="AD1990" s="2"/>
      <c r="AE1990" s="2"/>
      <c r="AF1990" s="2"/>
      <c r="AG1990" s="2"/>
      <c r="AH1990" s="2"/>
      <c r="AI1990" s="2"/>
    </row>
    <row r="1991" spans="1:35" ht="14.25" customHeight="1" x14ac:dyDescent="0.2">
      <c r="A1991" s="1">
        <v>36355</v>
      </c>
      <c r="B1991" s="1" t="s">
        <v>1203</v>
      </c>
      <c r="C1991" s="1" t="s">
        <v>21</v>
      </c>
      <c r="D1991" s="2">
        <v>41975</v>
      </c>
      <c r="E1991" s="1" t="s">
        <v>101</v>
      </c>
      <c r="F1991" s="1" t="s">
        <v>161</v>
      </c>
      <c r="G1991" s="1">
        <v>10</v>
      </c>
      <c r="H1991" s="1">
        <v>11.55</v>
      </c>
      <c r="I1991" s="1">
        <f t="shared" si="93"/>
        <v>115.5</v>
      </c>
      <c r="J1991" t="str">
        <f t="shared" si="94"/>
        <v>Low</v>
      </c>
      <c r="K1991" s="1"/>
      <c r="L1991" s="1">
        <v>0</v>
      </c>
      <c r="M1991" s="1">
        <v>2.36</v>
      </c>
      <c r="N1991" s="1" t="s">
        <v>33</v>
      </c>
      <c r="O1991" s="1" t="s">
        <v>55</v>
      </c>
      <c r="P1991" s="2">
        <v>41976</v>
      </c>
      <c r="Q1991" s="2" t="b">
        <f t="shared" si="95"/>
        <v>0</v>
      </c>
      <c r="V1991" s="2"/>
      <c r="W1991" s="2"/>
      <c r="X1991" s="2"/>
      <c r="Y1991" s="2"/>
      <c r="Z1991" s="2"/>
      <c r="AA1991" s="2"/>
      <c r="AB1991" s="2"/>
      <c r="AC1991" s="2"/>
      <c r="AD1991" s="2"/>
      <c r="AE1991" s="2"/>
      <c r="AF1991" s="2"/>
      <c r="AG1991" s="2"/>
      <c r="AH1991" s="2"/>
      <c r="AI1991" s="2"/>
    </row>
    <row r="1992" spans="1:35" ht="14.25" customHeight="1" x14ac:dyDescent="0.2">
      <c r="A1992" s="1">
        <v>36355</v>
      </c>
      <c r="B1992" s="1" t="s">
        <v>1203</v>
      </c>
      <c r="C1992" s="1" t="s">
        <v>30</v>
      </c>
      <c r="D1992" s="2">
        <v>41975</v>
      </c>
      <c r="E1992" s="1" t="s">
        <v>101</v>
      </c>
      <c r="F1992" s="1" t="s">
        <v>494</v>
      </c>
      <c r="G1992" s="1">
        <v>43</v>
      </c>
      <c r="H1992" s="1">
        <v>2.08</v>
      </c>
      <c r="I1992" s="1">
        <f t="shared" si="93"/>
        <v>89.44</v>
      </c>
      <c r="J1992" t="str">
        <f t="shared" si="94"/>
        <v>Low</v>
      </c>
      <c r="K1992" s="1"/>
      <c r="L1992" s="1">
        <v>0.05</v>
      </c>
      <c r="M1992" s="1">
        <v>2.56</v>
      </c>
      <c r="N1992" s="1" t="s">
        <v>33</v>
      </c>
      <c r="O1992" s="1" t="s">
        <v>84</v>
      </c>
      <c r="P1992" s="2">
        <v>41976</v>
      </c>
      <c r="Q1992" s="2" t="b">
        <f t="shared" si="95"/>
        <v>0</v>
      </c>
      <c r="V1992" s="2"/>
      <c r="W1992" s="2"/>
      <c r="X1992" s="2"/>
      <c r="Y1992" s="2"/>
      <c r="Z1992" s="2"/>
      <c r="AA1992" s="2"/>
      <c r="AB1992" s="2"/>
      <c r="AC1992" s="2"/>
      <c r="AD1992" s="2"/>
      <c r="AE1992" s="2"/>
      <c r="AF1992" s="2"/>
      <c r="AG1992" s="2"/>
      <c r="AH1992" s="2"/>
      <c r="AI1992" s="2"/>
    </row>
    <row r="1993" spans="1:35" ht="14.25" customHeight="1" x14ac:dyDescent="0.2">
      <c r="A1993" s="1">
        <v>46113</v>
      </c>
      <c r="B1993" s="1" t="s">
        <v>411</v>
      </c>
      <c r="C1993" s="1" t="s">
        <v>21</v>
      </c>
      <c r="D1993" s="2">
        <v>41975</v>
      </c>
      <c r="E1993" s="1" t="s">
        <v>22</v>
      </c>
      <c r="F1993" s="1" t="s">
        <v>1219</v>
      </c>
      <c r="G1993" s="1">
        <v>18</v>
      </c>
      <c r="H1993" s="1">
        <v>136.97999999999999</v>
      </c>
      <c r="I1993" s="1">
        <f t="shared" si="93"/>
        <v>2465.64</v>
      </c>
      <c r="J1993" t="str">
        <f t="shared" si="94"/>
        <v>High</v>
      </c>
      <c r="K1993" s="1"/>
      <c r="L1993" s="1">
        <v>0.02</v>
      </c>
      <c r="M1993" s="1">
        <v>24.49</v>
      </c>
      <c r="N1993" s="1" t="s">
        <v>25</v>
      </c>
      <c r="O1993" s="1" t="s">
        <v>26</v>
      </c>
      <c r="P1993" s="2">
        <v>41976</v>
      </c>
      <c r="Q1993" s="2" t="b">
        <f t="shared" si="95"/>
        <v>1</v>
      </c>
      <c r="V1993" s="2"/>
      <c r="W1993" s="2"/>
      <c r="X1993" s="2"/>
      <c r="Y1993" s="2"/>
      <c r="Z1993" s="2"/>
      <c r="AA1993" s="2"/>
      <c r="AB1993" s="2"/>
      <c r="AC1993" s="2"/>
      <c r="AD1993" s="2"/>
      <c r="AE1993" s="2"/>
      <c r="AF1993" s="2"/>
      <c r="AG1993" s="2"/>
      <c r="AH1993" s="2"/>
      <c r="AI1993" s="2"/>
    </row>
    <row r="1994" spans="1:35" ht="14.25" customHeight="1" x14ac:dyDescent="0.2">
      <c r="A1994" s="1">
        <v>21635</v>
      </c>
      <c r="B1994" s="1" t="s">
        <v>320</v>
      </c>
      <c r="C1994" s="1" t="s">
        <v>21</v>
      </c>
      <c r="D1994" s="2">
        <v>41975</v>
      </c>
      <c r="E1994" s="1" t="s">
        <v>43</v>
      </c>
      <c r="F1994" s="1" t="s">
        <v>659</v>
      </c>
      <c r="G1994" s="1">
        <v>2</v>
      </c>
      <c r="H1994" s="1">
        <v>24.92</v>
      </c>
      <c r="I1994" s="1">
        <f t="shared" si="93"/>
        <v>49.84</v>
      </c>
      <c r="J1994" t="str">
        <f t="shared" si="94"/>
        <v>Low</v>
      </c>
      <c r="K1994" s="1"/>
      <c r="L1994" s="1">
        <v>0</v>
      </c>
      <c r="M1994" s="1">
        <v>12.98</v>
      </c>
      <c r="N1994" s="1" t="s">
        <v>33</v>
      </c>
      <c r="O1994" s="1" t="s">
        <v>34</v>
      </c>
      <c r="P1994" s="2">
        <v>41975</v>
      </c>
      <c r="Q1994" s="2" t="b">
        <f t="shared" si="95"/>
        <v>0</v>
      </c>
      <c r="V1994" s="2"/>
      <c r="W1994" s="2"/>
      <c r="X1994" s="2"/>
      <c r="Y1994" s="2"/>
      <c r="Z1994" s="2"/>
      <c r="AA1994" s="2"/>
      <c r="AB1994" s="2"/>
      <c r="AC1994" s="2"/>
      <c r="AD1994" s="2"/>
      <c r="AE1994" s="2"/>
      <c r="AF1994" s="2"/>
      <c r="AG1994" s="2"/>
      <c r="AH1994" s="2"/>
      <c r="AI1994" s="2"/>
    </row>
    <row r="1995" spans="1:35" ht="14.25" customHeight="1" x14ac:dyDescent="0.2">
      <c r="A1995" s="1">
        <v>17317</v>
      </c>
      <c r="B1995" s="1" t="s">
        <v>1600</v>
      </c>
      <c r="C1995" s="1" t="s">
        <v>30</v>
      </c>
      <c r="D1995" s="2">
        <v>41976</v>
      </c>
      <c r="E1995" s="1" t="s">
        <v>22</v>
      </c>
      <c r="F1995" s="1" t="s">
        <v>803</v>
      </c>
      <c r="G1995" s="1">
        <v>7</v>
      </c>
      <c r="H1995" s="1">
        <v>4.42</v>
      </c>
      <c r="I1995" s="1">
        <f t="shared" si="93"/>
        <v>30.939999999999998</v>
      </c>
      <c r="J1995" t="str">
        <f t="shared" si="94"/>
        <v>Low</v>
      </c>
      <c r="K1995" s="1"/>
      <c r="L1995" s="1">
        <v>0.06</v>
      </c>
      <c r="M1995" s="1">
        <v>4.99</v>
      </c>
      <c r="N1995" s="1" t="s">
        <v>33</v>
      </c>
      <c r="O1995" s="1" t="s">
        <v>34</v>
      </c>
      <c r="P1995" s="2">
        <v>41978</v>
      </c>
      <c r="Q1995" s="2" t="b">
        <f t="shared" si="95"/>
        <v>0</v>
      </c>
      <c r="V1995" s="2"/>
      <c r="W1995" s="2"/>
      <c r="X1995" s="2"/>
      <c r="Y1995" s="2"/>
      <c r="Z1995" s="2"/>
      <c r="AA1995" s="2"/>
      <c r="AB1995" s="2"/>
      <c r="AC1995" s="2"/>
      <c r="AD1995" s="2"/>
      <c r="AE1995" s="2"/>
      <c r="AF1995" s="2"/>
      <c r="AG1995" s="2"/>
      <c r="AH1995" s="2"/>
      <c r="AI1995" s="2"/>
    </row>
    <row r="1996" spans="1:35" ht="14.25" customHeight="1" x14ac:dyDescent="0.2">
      <c r="A1996" s="1">
        <v>13479</v>
      </c>
      <c r="B1996" s="1" t="s">
        <v>1488</v>
      </c>
      <c r="C1996" s="1" t="s">
        <v>51</v>
      </c>
      <c r="D1996" s="2">
        <v>41977</v>
      </c>
      <c r="E1996" s="1" t="s">
        <v>31</v>
      </c>
      <c r="F1996" s="1" t="s">
        <v>606</v>
      </c>
      <c r="G1996" s="1">
        <v>3</v>
      </c>
      <c r="H1996" s="1">
        <v>99.99</v>
      </c>
      <c r="I1996" s="1">
        <f t="shared" si="93"/>
        <v>299.96999999999997</v>
      </c>
      <c r="J1996" t="str">
        <f t="shared" si="94"/>
        <v>Low</v>
      </c>
      <c r="K1996" s="1"/>
      <c r="L1996" s="1">
        <v>0.09</v>
      </c>
      <c r="M1996" s="1">
        <v>19.989999999999998</v>
      </c>
      <c r="N1996" s="1" t="s">
        <v>33</v>
      </c>
      <c r="O1996" s="1" t="s">
        <v>34</v>
      </c>
      <c r="P1996" s="2">
        <v>41979</v>
      </c>
      <c r="Q1996" s="2" t="b">
        <f t="shared" si="95"/>
        <v>0</v>
      </c>
      <c r="V1996" s="2"/>
      <c r="W1996" s="2"/>
      <c r="X1996" s="2"/>
      <c r="Y1996" s="2"/>
      <c r="Z1996" s="2"/>
      <c r="AA1996" s="2"/>
      <c r="AB1996" s="2"/>
      <c r="AC1996" s="2"/>
      <c r="AD1996" s="2"/>
      <c r="AE1996" s="2"/>
      <c r="AF1996" s="2"/>
      <c r="AG1996" s="2"/>
      <c r="AH1996" s="2"/>
      <c r="AI1996" s="2"/>
    </row>
    <row r="1997" spans="1:35" ht="14.25" customHeight="1" x14ac:dyDescent="0.2">
      <c r="A1997" s="1">
        <v>13479</v>
      </c>
      <c r="B1997" s="1" t="s">
        <v>1488</v>
      </c>
      <c r="C1997" s="1" t="s">
        <v>21</v>
      </c>
      <c r="D1997" s="2">
        <v>41977</v>
      </c>
      <c r="E1997" s="1" t="s">
        <v>31</v>
      </c>
      <c r="F1997" s="1" t="s">
        <v>1401</v>
      </c>
      <c r="G1997" s="1">
        <v>13</v>
      </c>
      <c r="H1997" s="1">
        <v>205.99</v>
      </c>
      <c r="I1997" s="1">
        <f t="shared" si="93"/>
        <v>2677.87</v>
      </c>
      <c r="J1997" t="str">
        <f t="shared" si="94"/>
        <v>High</v>
      </c>
      <c r="K1997" s="1"/>
      <c r="L1997" s="1">
        <v>0.04</v>
      </c>
      <c r="M1997" s="1">
        <v>5.26</v>
      </c>
      <c r="N1997" s="1" t="s">
        <v>33</v>
      </c>
      <c r="O1997" s="1" t="s">
        <v>34</v>
      </c>
      <c r="P1997" s="2">
        <v>41978</v>
      </c>
      <c r="Q1997" s="2" t="b">
        <f t="shared" si="95"/>
        <v>0</v>
      </c>
      <c r="V1997" s="2"/>
      <c r="W1997" s="2"/>
      <c r="X1997" s="2"/>
      <c r="Y1997" s="2"/>
      <c r="Z1997" s="2"/>
      <c r="AA1997" s="2"/>
      <c r="AB1997" s="2"/>
      <c r="AC1997" s="2"/>
      <c r="AD1997" s="2"/>
      <c r="AE1997" s="2"/>
      <c r="AF1997" s="2"/>
      <c r="AG1997" s="2"/>
      <c r="AH1997" s="2"/>
      <c r="AI1997" s="2"/>
    </row>
    <row r="1998" spans="1:35" ht="14.25" customHeight="1" x14ac:dyDescent="0.2">
      <c r="A1998" s="1">
        <v>29889</v>
      </c>
      <c r="B1998" s="1" t="s">
        <v>766</v>
      </c>
      <c r="C1998" s="1" t="s">
        <v>21</v>
      </c>
      <c r="D1998" s="2">
        <v>41977</v>
      </c>
      <c r="E1998" s="1" t="s">
        <v>22</v>
      </c>
      <c r="F1998" s="1" t="s">
        <v>1601</v>
      </c>
      <c r="G1998" s="1">
        <v>44</v>
      </c>
      <c r="H1998" s="1">
        <v>5.98</v>
      </c>
      <c r="I1998" s="1">
        <f t="shared" si="93"/>
        <v>263.12</v>
      </c>
      <c r="J1998" t="str">
        <f t="shared" si="94"/>
        <v>Low</v>
      </c>
      <c r="K1998" s="1"/>
      <c r="L1998" s="1">
        <v>0.09</v>
      </c>
      <c r="M1998" s="1">
        <v>1.67</v>
      </c>
      <c r="N1998" s="1" t="s">
        <v>33</v>
      </c>
      <c r="O1998" s="1" t="s">
        <v>55</v>
      </c>
      <c r="P1998" s="2">
        <v>41980</v>
      </c>
      <c r="Q1998" s="2" t="b">
        <f t="shared" si="95"/>
        <v>0</v>
      </c>
      <c r="V1998" s="2"/>
      <c r="W1998" s="2"/>
      <c r="X1998" s="2"/>
      <c r="Y1998" s="2"/>
      <c r="Z1998" s="2"/>
      <c r="AA1998" s="2"/>
      <c r="AB1998" s="2"/>
      <c r="AC1998" s="2"/>
      <c r="AD1998" s="2"/>
      <c r="AE1998" s="2"/>
      <c r="AF1998" s="2"/>
      <c r="AG1998" s="2"/>
      <c r="AH1998" s="2"/>
      <c r="AI1998" s="2"/>
    </row>
    <row r="1999" spans="1:35" ht="14.25" customHeight="1" x14ac:dyDescent="0.2">
      <c r="A1999" s="1">
        <v>15040</v>
      </c>
      <c r="B1999" s="1" t="s">
        <v>571</v>
      </c>
      <c r="C1999" s="1" t="s">
        <v>51</v>
      </c>
      <c r="D1999" s="2">
        <v>41977</v>
      </c>
      <c r="E1999" s="1" t="s">
        <v>43</v>
      </c>
      <c r="F1999" s="1" t="s">
        <v>54</v>
      </c>
      <c r="G1999" s="1">
        <v>48</v>
      </c>
      <c r="H1999" s="1">
        <v>9.11</v>
      </c>
      <c r="I1999" s="1">
        <f t="shared" si="93"/>
        <v>437.28</v>
      </c>
      <c r="J1999" t="str">
        <f t="shared" si="94"/>
        <v>Low</v>
      </c>
      <c r="K1999" s="1"/>
      <c r="L1999" s="1">
        <v>0.1</v>
      </c>
      <c r="M1999" s="1">
        <v>2.15</v>
      </c>
      <c r="N1999" s="1" t="s">
        <v>25</v>
      </c>
      <c r="O1999" s="1" t="s">
        <v>55</v>
      </c>
      <c r="P1999" s="2">
        <v>41981</v>
      </c>
      <c r="Q1999" s="2" t="b">
        <f t="shared" si="95"/>
        <v>0</v>
      </c>
      <c r="V1999" s="2"/>
      <c r="W1999" s="2"/>
      <c r="X1999" s="2"/>
      <c r="Y1999" s="2"/>
      <c r="Z1999" s="2"/>
      <c r="AA1999" s="2"/>
      <c r="AB1999" s="2"/>
      <c r="AC1999" s="2"/>
      <c r="AD1999" s="2"/>
      <c r="AE1999" s="2"/>
      <c r="AF1999" s="2"/>
      <c r="AG1999" s="2"/>
      <c r="AH1999" s="2"/>
      <c r="AI1999" s="2"/>
    </row>
    <row r="2000" spans="1:35" ht="14.25" customHeight="1" x14ac:dyDescent="0.2">
      <c r="A2000" s="1">
        <v>16032</v>
      </c>
      <c r="B2000" s="1" t="s">
        <v>1602</v>
      </c>
      <c r="C2000" s="1" t="s">
        <v>51</v>
      </c>
      <c r="D2000" s="2">
        <v>41978</v>
      </c>
      <c r="E2000" s="1" t="s">
        <v>43</v>
      </c>
      <c r="F2000" s="1" t="s">
        <v>670</v>
      </c>
      <c r="G2000" s="1">
        <v>35</v>
      </c>
      <c r="H2000" s="1">
        <v>12.64</v>
      </c>
      <c r="I2000" s="1">
        <f t="shared" si="93"/>
        <v>442.40000000000003</v>
      </c>
      <c r="J2000" t="str">
        <f t="shared" si="94"/>
        <v>Low</v>
      </c>
      <c r="K2000" s="1"/>
      <c r="L2000" s="1">
        <v>7.0000000000000007E-2</v>
      </c>
      <c r="M2000" s="1">
        <v>4.9800000000000004</v>
      </c>
      <c r="N2000" s="1" t="s">
        <v>33</v>
      </c>
      <c r="O2000" s="1" t="s">
        <v>84</v>
      </c>
      <c r="P2000" s="2">
        <v>41985</v>
      </c>
      <c r="Q2000" s="2" t="b">
        <f t="shared" si="95"/>
        <v>0</v>
      </c>
      <c r="V2000" s="2"/>
      <c r="W2000" s="2"/>
      <c r="X2000" s="2"/>
      <c r="Y2000" s="2"/>
      <c r="Z2000" s="2"/>
      <c r="AA2000" s="2"/>
      <c r="AB2000" s="2"/>
      <c r="AC2000" s="2"/>
      <c r="AD2000" s="2"/>
      <c r="AE2000" s="2"/>
      <c r="AF2000" s="2"/>
      <c r="AG2000" s="2"/>
      <c r="AH2000" s="2"/>
      <c r="AI2000" s="2"/>
    </row>
    <row r="2001" spans="1:35" ht="14.25" customHeight="1" x14ac:dyDescent="0.2">
      <c r="A2001" s="1">
        <v>1444</v>
      </c>
      <c r="B2001" s="1" t="s">
        <v>933</v>
      </c>
      <c r="C2001" s="1" t="s">
        <v>30</v>
      </c>
      <c r="D2001" s="2">
        <v>41978</v>
      </c>
      <c r="E2001" s="1" t="s">
        <v>101</v>
      </c>
      <c r="F2001" s="1" t="s">
        <v>1603</v>
      </c>
      <c r="G2001" s="1">
        <v>2</v>
      </c>
      <c r="H2001" s="1">
        <v>6.48</v>
      </c>
      <c r="I2001" s="1">
        <f t="shared" si="93"/>
        <v>12.96</v>
      </c>
      <c r="J2001" t="str">
        <f t="shared" si="94"/>
        <v>Low</v>
      </c>
      <c r="K2001" s="1"/>
      <c r="L2001" s="1">
        <v>0.02</v>
      </c>
      <c r="M2001" s="1">
        <v>8.74</v>
      </c>
      <c r="N2001" s="1" t="s">
        <v>33</v>
      </c>
      <c r="O2001" s="1" t="s">
        <v>34</v>
      </c>
      <c r="P2001" s="2">
        <v>41980</v>
      </c>
      <c r="Q2001" s="2" t="b">
        <f t="shared" si="95"/>
        <v>0</v>
      </c>
      <c r="V2001" s="2"/>
      <c r="W2001" s="2"/>
      <c r="X2001" s="2"/>
      <c r="Y2001" s="2"/>
      <c r="Z2001" s="2"/>
      <c r="AA2001" s="2"/>
      <c r="AB2001" s="2"/>
      <c r="AC2001" s="2"/>
      <c r="AD2001" s="2"/>
      <c r="AE2001" s="2"/>
      <c r="AF2001" s="2"/>
      <c r="AG2001" s="2"/>
      <c r="AH2001" s="2"/>
      <c r="AI2001" s="2"/>
    </row>
    <row r="2002" spans="1:35" ht="14.25" customHeight="1" x14ac:dyDescent="0.2">
      <c r="A2002" s="1">
        <v>1444</v>
      </c>
      <c r="B2002" s="1" t="s">
        <v>933</v>
      </c>
      <c r="C2002" s="1" t="s">
        <v>21</v>
      </c>
      <c r="D2002" s="2">
        <v>41978</v>
      </c>
      <c r="E2002" s="1" t="s">
        <v>101</v>
      </c>
      <c r="F2002" s="1" t="s">
        <v>133</v>
      </c>
      <c r="G2002" s="1">
        <v>32</v>
      </c>
      <c r="H2002" s="1">
        <v>699.99</v>
      </c>
      <c r="I2002" s="1">
        <f t="shared" si="93"/>
        <v>22399.68</v>
      </c>
      <c r="J2002" t="str">
        <f t="shared" si="94"/>
        <v>High</v>
      </c>
      <c r="K2002" s="1"/>
      <c r="L2002" s="1">
        <v>0.06</v>
      </c>
      <c r="M2002" s="1">
        <v>24.49</v>
      </c>
      <c r="N2002" s="1" t="s">
        <v>25</v>
      </c>
      <c r="O2002" s="1" t="s">
        <v>26</v>
      </c>
      <c r="P2002" s="2">
        <v>41980</v>
      </c>
      <c r="Q2002" s="2" t="b">
        <f t="shared" si="95"/>
        <v>1</v>
      </c>
      <c r="V2002" s="2"/>
      <c r="W2002" s="2"/>
      <c r="X2002" s="2"/>
      <c r="Y2002" s="2"/>
      <c r="Z2002" s="2"/>
      <c r="AA2002" s="2"/>
      <c r="AB2002" s="2"/>
      <c r="AC2002" s="2"/>
      <c r="AD2002" s="2"/>
      <c r="AE2002" s="2"/>
      <c r="AF2002" s="2"/>
      <c r="AG2002" s="2"/>
      <c r="AH2002" s="2"/>
      <c r="AI2002" s="2"/>
    </row>
    <row r="2003" spans="1:35" ht="14.25" customHeight="1" x14ac:dyDescent="0.2">
      <c r="A2003" s="1">
        <v>1444</v>
      </c>
      <c r="B2003" s="1" t="s">
        <v>933</v>
      </c>
      <c r="C2003" s="1" t="s">
        <v>30</v>
      </c>
      <c r="D2003" s="2">
        <v>41978</v>
      </c>
      <c r="E2003" s="1" t="s">
        <v>101</v>
      </c>
      <c r="F2003" s="1" t="s">
        <v>1110</v>
      </c>
      <c r="G2003" s="1">
        <v>24</v>
      </c>
      <c r="H2003" s="1">
        <v>17.149999999999999</v>
      </c>
      <c r="I2003" s="1">
        <f t="shared" si="93"/>
        <v>411.59999999999997</v>
      </c>
      <c r="J2003" t="str">
        <f t="shared" si="94"/>
        <v>Low</v>
      </c>
      <c r="K2003" s="1"/>
      <c r="L2003" s="1">
        <v>0.02</v>
      </c>
      <c r="M2003" s="1">
        <v>4.96</v>
      </c>
      <c r="N2003" s="1" t="s">
        <v>33</v>
      </c>
      <c r="O2003" s="1" t="s">
        <v>34</v>
      </c>
      <c r="P2003" s="2">
        <v>41980</v>
      </c>
      <c r="Q2003" s="2" t="b">
        <f t="shared" si="95"/>
        <v>0</v>
      </c>
      <c r="V2003" s="2"/>
      <c r="W2003" s="2"/>
      <c r="X2003" s="2"/>
      <c r="Y2003" s="2"/>
      <c r="Z2003" s="2"/>
      <c r="AA2003" s="2"/>
      <c r="AB2003" s="2"/>
      <c r="AC2003" s="2"/>
      <c r="AD2003" s="2"/>
      <c r="AE2003" s="2"/>
      <c r="AF2003" s="2"/>
      <c r="AG2003" s="2"/>
      <c r="AH2003" s="2"/>
      <c r="AI2003" s="2"/>
    </row>
    <row r="2004" spans="1:35" ht="14.25" customHeight="1" x14ac:dyDescent="0.2">
      <c r="A2004" s="1">
        <v>1444</v>
      </c>
      <c r="B2004" s="1" t="s">
        <v>933</v>
      </c>
      <c r="C2004" s="1" t="s">
        <v>21</v>
      </c>
      <c r="D2004" s="2">
        <v>41978</v>
      </c>
      <c r="E2004" s="1" t="s">
        <v>101</v>
      </c>
      <c r="F2004" s="1" t="s">
        <v>550</v>
      </c>
      <c r="G2004" s="1">
        <v>25</v>
      </c>
      <c r="H2004" s="1">
        <v>30.98</v>
      </c>
      <c r="I2004" s="1">
        <f t="shared" si="93"/>
        <v>774.5</v>
      </c>
      <c r="J2004" t="str">
        <f t="shared" si="94"/>
        <v>Low</v>
      </c>
      <c r="K2004" s="1"/>
      <c r="L2004" s="1">
        <v>7.0000000000000007E-2</v>
      </c>
      <c r="M2004" s="1">
        <v>8.74</v>
      </c>
      <c r="N2004" s="1" t="s">
        <v>33</v>
      </c>
      <c r="O2004" s="1" t="s">
        <v>34</v>
      </c>
      <c r="P2004" s="2">
        <v>41979</v>
      </c>
      <c r="Q2004" s="2" t="b">
        <f t="shared" si="95"/>
        <v>0</v>
      </c>
      <c r="V2004" s="2"/>
      <c r="W2004" s="2"/>
      <c r="X2004" s="2"/>
      <c r="Y2004" s="2"/>
      <c r="Z2004" s="2"/>
      <c r="AA2004" s="2"/>
      <c r="AB2004" s="2"/>
      <c r="AC2004" s="2"/>
      <c r="AD2004" s="2"/>
      <c r="AE2004" s="2"/>
      <c r="AF2004" s="2"/>
      <c r="AG2004" s="2"/>
      <c r="AH2004" s="2"/>
      <c r="AI2004" s="2"/>
    </row>
    <row r="2005" spans="1:35" ht="14.25" customHeight="1" x14ac:dyDescent="0.2">
      <c r="A2005" s="1">
        <v>1444</v>
      </c>
      <c r="B2005" s="1" t="s">
        <v>933</v>
      </c>
      <c r="C2005" s="1" t="s">
        <v>51</v>
      </c>
      <c r="D2005" s="2">
        <v>41978</v>
      </c>
      <c r="E2005" s="1" t="s">
        <v>101</v>
      </c>
      <c r="F2005" s="1" t="s">
        <v>1604</v>
      </c>
      <c r="G2005" s="1">
        <v>13</v>
      </c>
      <c r="H2005" s="1">
        <v>1360.14</v>
      </c>
      <c r="I2005" s="1">
        <f t="shared" si="93"/>
        <v>17681.82</v>
      </c>
      <c r="J2005" t="str">
        <f t="shared" si="94"/>
        <v>High</v>
      </c>
      <c r="K2005" s="1"/>
      <c r="L2005" s="1">
        <v>0.04</v>
      </c>
      <c r="M2005" s="1">
        <v>14.7</v>
      </c>
      <c r="N2005" s="1" t="s">
        <v>45</v>
      </c>
      <c r="O2005" s="1" t="s">
        <v>46</v>
      </c>
      <c r="P2005" s="2">
        <v>41981</v>
      </c>
      <c r="Q2005" s="2" t="b">
        <f t="shared" si="95"/>
        <v>0</v>
      </c>
      <c r="V2005" s="2"/>
      <c r="W2005" s="2"/>
      <c r="X2005" s="2"/>
      <c r="Y2005" s="2"/>
      <c r="Z2005" s="2"/>
      <c r="AA2005" s="2"/>
      <c r="AB2005" s="2"/>
      <c r="AC2005" s="2"/>
      <c r="AD2005" s="2"/>
      <c r="AE2005" s="2"/>
      <c r="AF2005" s="2"/>
      <c r="AG2005" s="2"/>
      <c r="AH2005" s="2"/>
      <c r="AI2005" s="2"/>
    </row>
    <row r="2006" spans="1:35" ht="14.25" customHeight="1" x14ac:dyDescent="0.2">
      <c r="A2006" s="1">
        <v>50275</v>
      </c>
      <c r="B2006" s="1" t="s">
        <v>1528</v>
      </c>
      <c r="C2006" s="1" t="s">
        <v>21</v>
      </c>
      <c r="D2006" s="2">
        <v>41978</v>
      </c>
      <c r="E2006" s="1" t="s">
        <v>101</v>
      </c>
      <c r="F2006" s="1" t="s">
        <v>490</v>
      </c>
      <c r="G2006" s="1">
        <v>5</v>
      </c>
      <c r="H2006" s="1">
        <v>1938.02</v>
      </c>
      <c r="I2006" s="1">
        <f t="shared" si="93"/>
        <v>9690.1</v>
      </c>
      <c r="J2006" t="str">
        <f t="shared" si="94"/>
        <v>High</v>
      </c>
      <c r="K2006" s="1"/>
      <c r="L2006" s="1">
        <v>0.03</v>
      </c>
      <c r="M2006" s="1">
        <v>13.99</v>
      </c>
      <c r="N2006" s="1" t="s">
        <v>25</v>
      </c>
      <c r="O2006" s="1" t="s">
        <v>72</v>
      </c>
      <c r="P2006" s="2">
        <v>41979</v>
      </c>
      <c r="Q2006" s="2" t="b">
        <f t="shared" si="95"/>
        <v>0</v>
      </c>
      <c r="V2006" s="2"/>
      <c r="W2006" s="2"/>
      <c r="X2006" s="2"/>
      <c r="Y2006" s="2"/>
      <c r="Z2006" s="2"/>
      <c r="AA2006" s="2"/>
      <c r="AB2006" s="2"/>
      <c r="AC2006" s="2"/>
      <c r="AD2006" s="2"/>
      <c r="AE2006" s="2"/>
      <c r="AF2006" s="2"/>
      <c r="AG2006" s="2"/>
      <c r="AH2006" s="2"/>
      <c r="AI2006" s="2"/>
    </row>
    <row r="2007" spans="1:35" ht="14.25" customHeight="1" x14ac:dyDescent="0.2">
      <c r="A2007" s="1">
        <v>50275</v>
      </c>
      <c r="B2007" s="1" t="s">
        <v>1528</v>
      </c>
      <c r="C2007" s="1" t="s">
        <v>30</v>
      </c>
      <c r="D2007" s="2">
        <v>41978</v>
      </c>
      <c r="E2007" s="1" t="s">
        <v>101</v>
      </c>
      <c r="F2007" s="1" t="s">
        <v>1605</v>
      </c>
      <c r="G2007" s="1">
        <v>31</v>
      </c>
      <c r="H2007" s="1">
        <v>6.48</v>
      </c>
      <c r="I2007" s="1">
        <f t="shared" si="93"/>
        <v>200.88000000000002</v>
      </c>
      <c r="J2007" t="str">
        <f t="shared" si="94"/>
        <v>Low</v>
      </c>
      <c r="K2007" s="1"/>
      <c r="L2007" s="1">
        <v>0.05</v>
      </c>
      <c r="M2007" s="1">
        <v>5.84</v>
      </c>
      <c r="N2007" s="1" t="s">
        <v>33</v>
      </c>
      <c r="O2007" s="1" t="s">
        <v>34</v>
      </c>
      <c r="P2007" s="2">
        <v>41979</v>
      </c>
      <c r="Q2007" s="2" t="b">
        <f t="shared" si="95"/>
        <v>0</v>
      </c>
      <c r="V2007" s="2"/>
      <c r="W2007" s="2"/>
      <c r="X2007" s="2"/>
      <c r="Y2007" s="2"/>
      <c r="Z2007" s="2"/>
      <c r="AA2007" s="2"/>
      <c r="AB2007" s="2"/>
      <c r="AC2007" s="2"/>
      <c r="AD2007" s="2"/>
      <c r="AE2007" s="2"/>
      <c r="AF2007" s="2"/>
      <c r="AG2007" s="2"/>
      <c r="AH2007" s="2"/>
      <c r="AI2007" s="2"/>
    </row>
    <row r="2008" spans="1:35" ht="14.25" customHeight="1" x14ac:dyDescent="0.2">
      <c r="A2008" s="1">
        <v>36069</v>
      </c>
      <c r="B2008" s="1" t="s">
        <v>745</v>
      </c>
      <c r="C2008" s="1" t="s">
        <v>30</v>
      </c>
      <c r="D2008" s="2">
        <v>41978</v>
      </c>
      <c r="E2008" s="1" t="s">
        <v>43</v>
      </c>
      <c r="F2008" s="1" t="s">
        <v>1046</v>
      </c>
      <c r="G2008" s="1">
        <v>13</v>
      </c>
      <c r="H2008" s="1">
        <v>35.94</v>
      </c>
      <c r="I2008" s="1">
        <f t="shared" si="93"/>
        <v>467.21999999999997</v>
      </c>
      <c r="J2008" t="str">
        <f t="shared" si="94"/>
        <v>Low</v>
      </c>
      <c r="K2008" s="1"/>
      <c r="L2008" s="1">
        <v>0.09</v>
      </c>
      <c r="M2008" s="1">
        <v>6.66</v>
      </c>
      <c r="N2008" s="1" t="s">
        <v>33</v>
      </c>
      <c r="O2008" s="1" t="s">
        <v>34</v>
      </c>
      <c r="P2008" s="2">
        <v>41983</v>
      </c>
      <c r="Q2008" s="2" t="b">
        <f t="shared" si="95"/>
        <v>0</v>
      </c>
      <c r="V2008" s="2"/>
      <c r="W2008" s="2"/>
      <c r="X2008" s="2"/>
      <c r="Y2008" s="2"/>
      <c r="Z2008" s="2"/>
      <c r="AA2008" s="2"/>
      <c r="AB2008" s="2"/>
      <c r="AC2008" s="2"/>
      <c r="AD2008" s="2"/>
      <c r="AE2008" s="2"/>
      <c r="AF2008" s="2"/>
      <c r="AG2008" s="2"/>
      <c r="AH2008" s="2"/>
      <c r="AI2008" s="2"/>
    </row>
    <row r="2009" spans="1:35" ht="14.25" customHeight="1" x14ac:dyDescent="0.2">
      <c r="A2009" s="1">
        <v>36069</v>
      </c>
      <c r="B2009" s="1" t="s">
        <v>745</v>
      </c>
      <c r="C2009" s="1" t="s">
        <v>21</v>
      </c>
      <c r="D2009" s="2">
        <v>41978</v>
      </c>
      <c r="E2009" s="1" t="s">
        <v>43</v>
      </c>
      <c r="F2009" s="1" t="s">
        <v>1606</v>
      </c>
      <c r="G2009" s="1">
        <v>15</v>
      </c>
      <c r="H2009" s="1">
        <v>170.98</v>
      </c>
      <c r="I2009" s="1">
        <f t="shared" si="93"/>
        <v>2564.6999999999998</v>
      </c>
      <c r="J2009" t="str">
        <f t="shared" si="94"/>
        <v>High</v>
      </c>
      <c r="K2009" s="1"/>
      <c r="L2009" s="1">
        <v>0</v>
      </c>
      <c r="M2009" s="1">
        <v>13.99</v>
      </c>
      <c r="N2009" s="1" t="s">
        <v>33</v>
      </c>
      <c r="O2009" s="1" t="s">
        <v>72</v>
      </c>
      <c r="P2009" s="2">
        <v>41985</v>
      </c>
      <c r="Q2009" s="2" t="b">
        <f t="shared" si="95"/>
        <v>0</v>
      </c>
      <c r="V2009" s="2"/>
      <c r="W2009" s="2"/>
      <c r="X2009" s="2"/>
      <c r="Y2009" s="2"/>
      <c r="Z2009" s="2"/>
      <c r="AA2009" s="2"/>
      <c r="AB2009" s="2"/>
      <c r="AC2009" s="2"/>
      <c r="AD2009" s="2"/>
      <c r="AE2009" s="2"/>
      <c r="AF2009" s="2"/>
      <c r="AG2009" s="2"/>
      <c r="AH2009" s="2"/>
      <c r="AI2009" s="2"/>
    </row>
    <row r="2010" spans="1:35" ht="14.25" customHeight="1" x14ac:dyDescent="0.2">
      <c r="A2010" s="1">
        <v>36069</v>
      </c>
      <c r="B2010" s="1" t="s">
        <v>745</v>
      </c>
      <c r="C2010" s="1" t="s">
        <v>21</v>
      </c>
      <c r="D2010" s="2">
        <v>41978</v>
      </c>
      <c r="E2010" s="1" t="s">
        <v>43</v>
      </c>
      <c r="F2010" s="1" t="s">
        <v>914</v>
      </c>
      <c r="G2010" s="1">
        <v>20</v>
      </c>
      <c r="H2010" s="1">
        <v>4.9800000000000004</v>
      </c>
      <c r="I2010" s="1">
        <f t="shared" si="93"/>
        <v>99.600000000000009</v>
      </c>
      <c r="J2010" t="str">
        <f t="shared" si="94"/>
        <v>Low</v>
      </c>
      <c r="K2010" s="1"/>
      <c r="L2010" s="1">
        <v>0.09</v>
      </c>
      <c r="M2010" s="1">
        <v>7.44</v>
      </c>
      <c r="N2010" s="1" t="s">
        <v>33</v>
      </c>
      <c r="O2010" s="1" t="s">
        <v>34</v>
      </c>
      <c r="P2010" s="2">
        <v>41980</v>
      </c>
      <c r="Q2010" s="2" t="b">
        <f t="shared" si="95"/>
        <v>0</v>
      </c>
      <c r="V2010" s="2"/>
      <c r="W2010" s="2"/>
      <c r="X2010" s="2"/>
      <c r="Y2010" s="2"/>
      <c r="Z2010" s="2"/>
      <c r="AA2010" s="2"/>
      <c r="AB2010" s="2"/>
      <c r="AC2010" s="2"/>
      <c r="AD2010" s="2"/>
      <c r="AE2010" s="2"/>
      <c r="AF2010" s="2"/>
      <c r="AG2010" s="2"/>
      <c r="AH2010" s="2"/>
      <c r="AI2010" s="2"/>
    </row>
    <row r="2011" spans="1:35" ht="14.25" customHeight="1" x14ac:dyDescent="0.2">
      <c r="A2011" s="1">
        <v>24737</v>
      </c>
      <c r="B2011" s="1" t="s">
        <v>381</v>
      </c>
      <c r="C2011" s="1" t="s">
        <v>30</v>
      </c>
      <c r="D2011" s="2">
        <v>41979</v>
      </c>
      <c r="E2011" s="1" t="s">
        <v>31</v>
      </c>
      <c r="F2011" s="1" t="s">
        <v>894</v>
      </c>
      <c r="G2011" s="1">
        <v>3</v>
      </c>
      <c r="H2011" s="1">
        <v>180.98</v>
      </c>
      <c r="I2011" s="1">
        <f t="shared" si="93"/>
        <v>542.93999999999994</v>
      </c>
      <c r="J2011" t="str">
        <f t="shared" si="94"/>
        <v>Low</v>
      </c>
      <c r="K2011" s="1"/>
      <c r="L2011" s="1">
        <v>0.09</v>
      </c>
      <c r="M2011" s="1">
        <v>26.2</v>
      </c>
      <c r="N2011" s="1" t="s">
        <v>45</v>
      </c>
      <c r="O2011" s="1" t="s">
        <v>46</v>
      </c>
      <c r="P2011" s="2">
        <v>41982</v>
      </c>
      <c r="Q2011" s="2" t="b">
        <f t="shared" si="95"/>
        <v>0</v>
      </c>
      <c r="V2011" s="2"/>
      <c r="W2011" s="2"/>
      <c r="X2011" s="2"/>
      <c r="Y2011" s="2"/>
      <c r="Z2011" s="2"/>
      <c r="AA2011" s="2"/>
      <c r="AB2011" s="2"/>
      <c r="AC2011" s="2"/>
      <c r="AD2011" s="2"/>
      <c r="AE2011" s="2"/>
      <c r="AF2011" s="2"/>
      <c r="AG2011" s="2"/>
      <c r="AH2011" s="2"/>
      <c r="AI2011" s="2"/>
    </row>
    <row r="2012" spans="1:35" ht="14.25" customHeight="1" x14ac:dyDescent="0.2">
      <c r="A2012" s="1">
        <v>24737</v>
      </c>
      <c r="B2012" s="1" t="s">
        <v>381</v>
      </c>
      <c r="C2012" s="1" t="s">
        <v>30</v>
      </c>
      <c r="D2012" s="2">
        <v>41979</v>
      </c>
      <c r="E2012" s="1" t="s">
        <v>31</v>
      </c>
      <c r="F2012" s="1" t="s">
        <v>1296</v>
      </c>
      <c r="G2012" s="1">
        <v>26</v>
      </c>
      <c r="H2012" s="1">
        <v>6.48</v>
      </c>
      <c r="I2012" s="1">
        <f t="shared" si="93"/>
        <v>168.48000000000002</v>
      </c>
      <c r="J2012" t="str">
        <f t="shared" si="94"/>
        <v>Low</v>
      </c>
      <c r="K2012" s="1"/>
      <c r="L2012" s="1">
        <v>0</v>
      </c>
      <c r="M2012" s="1">
        <v>5.19</v>
      </c>
      <c r="N2012" s="1" t="s">
        <v>33</v>
      </c>
      <c r="O2012" s="1" t="s">
        <v>34</v>
      </c>
      <c r="P2012" s="2">
        <v>41980</v>
      </c>
      <c r="Q2012" s="2" t="b">
        <f t="shared" si="95"/>
        <v>0</v>
      </c>
      <c r="V2012" s="2"/>
      <c r="W2012" s="2"/>
      <c r="X2012" s="2"/>
      <c r="Y2012" s="2"/>
      <c r="Z2012" s="2"/>
      <c r="AA2012" s="2"/>
      <c r="AB2012" s="2"/>
      <c r="AC2012" s="2"/>
      <c r="AD2012" s="2"/>
      <c r="AE2012" s="2"/>
      <c r="AF2012" s="2"/>
      <c r="AG2012" s="2"/>
      <c r="AH2012" s="2"/>
      <c r="AI2012" s="2"/>
    </row>
    <row r="2013" spans="1:35" ht="14.25" customHeight="1" x14ac:dyDescent="0.2">
      <c r="A2013" s="1">
        <v>39015</v>
      </c>
      <c r="B2013" s="1" t="s">
        <v>1607</v>
      </c>
      <c r="C2013" s="1" t="s">
        <v>30</v>
      </c>
      <c r="D2013" s="2">
        <v>41979</v>
      </c>
      <c r="E2013" s="1" t="s">
        <v>101</v>
      </c>
      <c r="F2013" s="1" t="s">
        <v>185</v>
      </c>
      <c r="G2013" s="1">
        <v>13</v>
      </c>
      <c r="H2013" s="1">
        <v>399.98</v>
      </c>
      <c r="I2013" s="1">
        <f t="shared" si="93"/>
        <v>5199.74</v>
      </c>
      <c r="J2013" t="str">
        <f t="shared" si="94"/>
        <v>High</v>
      </c>
      <c r="K2013" s="1"/>
      <c r="L2013" s="1">
        <v>0.05</v>
      </c>
      <c r="M2013" s="1">
        <v>12.06</v>
      </c>
      <c r="N2013" s="1" t="s">
        <v>45</v>
      </c>
      <c r="O2013" s="1" t="s">
        <v>63</v>
      </c>
      <c r="P2013" s="2">
        <v>41979</v>
      </c>
      <c r="Q2013" s="2" t="b">
        <f t="shared" si="95"/>
        <v>0</v>
      </c>
      <c r="V2013" s="2"/>
      <c r="W2013" s="2"/>
      <c r="X2013" s="2"/>
      <c r="Y2013" s="2"/>
      <c r="Z2013" s="2"/>
      <c r="AA2013" s="2"/>
      <c r="AB2013" s="2"/>
      <c r="AC2013" s="2"/>
      <c r="AD2013" s="2"/>
      <c r="AE2013" s="2"/>
      <c r="AF2013" s="2"/>
      <c r="AG2013" s="2"/>
      <c r="AH2013" s="2"/>
      <c r="AI2013" s="2"/>
    </row>
    <row r="2014" spans="1:35" ht="14.25" customHeight="1" x14ac:dyDescent="0.2">
      <c r="A2014" s="1">
        <v>39015</v>
      </c>
      <c r="B2014" s="1" t="s">
        <v>1607</v>
      </c>
      <c r="C2014" s="1" t="s">
        <v>51</v>
      </c>
      <c r="D2014" s="2">
        <v>41979</v>
      </c>
      <c r="E2014" s="1" t="s">
        <v>101</v>
      </c>
      <c r="F2014" s="1" t="s">
        <v>1608</v>
      </c>
      <c r="G2014" s="1">
        <v>11</v>
      </c>
      <c r="H2014" s="1">
        <v>6.48</v>
      </c>
      <c r="I2014" s="1">
        <f t="shared" si="93"/>
        <v>71.28</v>
      </c>
      <c r="J2014" t="str">
        <f t="shared" si="94"/>
        <v>Low</v>
      </c>
      <c r="K2014" s="1"/>
      <c r="L2014" s="1">
        <v>7.0000000000000007E-2</v>
      </c>
      <c r="M2014" s="1">
        <v>5.74</v>
      </c>
      <c r="N2014" s="1" t="s">
        <v>33</v>
      </c>
      <c r="O2014" s="1" t="s">
        <v>34</v>
      </c>
      <c r="P2014" s="2">
        <v>41979</v>
      </c>
      <c r="Q2014" s="2" t="b">
        <f t="shared" si="95"/>
        <v>0</v>
      </c>
      <c r="V2014" s="2"/>
      <c r="W2014" s="2"/>
      <c r="X2014" s="2"/>
      <c r="Y2014" s="2"/>
      <c r="Z2014" s="2"/>
      <c r="AA2014" s="2"/>
      <c r="AB2014" s="2"/>
      <c r="AC2014" s="2"/>
      <c r="AD2014" s="2"/>
      <c r="AE2014" s="2"/>
      <c r="AF2014" s="2"/>
      <c r="AG2014" s="2"/>
      <c r="AH2014" s="2"/>
      <c r="AI2014" s="2"/>
    </row>
    <row r="2015" spans="1:35" ht="14.25" customHeight="1" x14ac:dyDescent="0.2">
      <c r="A2015" s="1">
        <v>16480</v>
      </c>
      <c r="B2015" s="1" t="s">
        <v>1090</v>
      </c>
      <c r="C2015" s="1" t="s">
        <v>21</v>
      </c>
      <c r="D2015" s="2">
        <v>41979</v>
      </c>
      <c r="E2015" s="1" t="s">
        <v>22</v>
      </c>
      <c r="F2015" s="1" t="s">
        <v>980</v>
      </c>
      <c r="G2015" s="1">
        <v>14</v>
      </c>
      <c r="H2015" s="1">
        <v>5.4</v>
      </c>
      <c r="I2015" s="1">
        <f t="shared" si="93"/>
        <v>75.600000000000009</v>
      </c>
      <c r="J2015" t="str">
        <f t="shared" si="94"/>
        <v>Low</v>
      </c>
      <c r="K2015" s="1"/>
      <c r="L2015" s="1">
        <v>0.09</v>
      </c>
      <c r="M2015" s="1">
        <v>7.78</v>
      </c>
      <c r="N2015" s="1" t="s">
        <v>25</v>
      </c>
      <c r="O2015" s="1" t="s">
        <v>34</v>
      </c>
      <c r="P2015" s="2">
        <v>41981</v>
      </c>
      <c r="Q2015" s="2" t="b">
        <f t="shared" si="95"/>
        <v>0</v>
      </c>
      <c r="V2015" s="2"/>
      <c r="W2015" s="2"/>
      <c r="X2015" s="2"/>
      <c r="Y2015" s="2"/>
      <c r="Z2015" s="2"/>
      <c r="AA2015" s="2"/>
      <c r="AB2015" s="2"/>
      <c r="AC2015" s="2"/>
      <c r="AD2015" s="2"/>
      <c r="AE2015" s="2"/>
      <c r="AF2015" s="2"/>
      <c r="AG2015" s="2"/>
      <c r="AH2015" s="2"/>
      <c r="AI2015" s="2"/>
    </row>
    <row r="2016" spans="1:35" ht="14.25" customHeight="1" x14ac:dyDescent="0.2">
      <c r="A2016" s="1">
        <v>45824</v>
      </c>
      <c r="B2016" s="1" t="s">
        <v>996</v>
      </c>
      <c r="C2016" s="1" t="s">
        <v>21</v>
      </c>
      <c r="D2016" s="2">
        <v>41979</v>
      </c>
      <c r="E2016" s="1" t="s">
        <v>22</v>
      </c>
      <c r="F2016" s="1" t="s">
        <v>1609</v>
      </c>
      <c r="G2016" s="1">
        <v>44</v>
      </c>
      <c r="H2016" s="1">
        <v>140.81</v>
      </c>
      <c r="I2016" s="1">
        <f t="shared" si="93"/>
        <v>6195.64</v>
      </c>
      <c r="J2016" t="str">
        <f t="shared" si="94"/>
        <v>High</v>
      </c>
      <c r="K2016" s="1"/>
      <c r="L2016" s="1">
        <v>0.08</v>
      </c>
      <c r="M2016" s="1">
        <v>24.49</v>
      </c>
      <c r="N2016" s="1" t="s">
        <v>33</v>
      </c>
      <c r="O2016" s="1" t="s">
        <v>26</v>
      </c>
      <c r="P2016" s="2">
        <v>41981</v>
      </c>
      <c r="Q2016" s="2" t="b">
        <f t="shared" si="95"/>
        <v>0</v>
      </c>
      <c r="V2016" s="2"/>
      <c r="W2016" s="2"/>
      <c r="X2016" s="2"/>
      <c r="Y2016" s="2"/>
      <c r="Z2016" s="2"/>
      <c r="AA2016" s="2"/>
      <c r="AB2016" s="2"/>
      <c r="AC2016" s="2"/>
      <c r="AD2016" s="2"/>
      <c r="AE2016" s="2"/>
      <c r="AF2016" s="2"/>
      <c r="AG2016" s="2"/>
      <c r="AH2016" s="2"/>
      <c r="AI2016" s="2"/>
    </row>
    <row r="2017" spans="1:35" ht="14.25" customHeight="1" x14ac:dyDescent="0.2">
      <c r="A2017" s="1">
        <v>46528</v>
      </c>
      <c r="B2017" s="1" t="s">
        <v>1190</v>
      </c>
      <c r="C2017" s="1" t="s">
        <v>51</v>
      </c>
      <c r="D2017" s="2">
        <v>41979</v>
      </c>
      <c r="E2017" s="1" t="s">
        <v>101</v>
      </c>
      <c r="F2017" s="1" t="s">
        <v>1610</v>
      </c>
      <c r="G2017" s="1">
        <v>43</v>
      </c>
      <c r="H2017" s="1">
        <v>70.709999999999994</v>
      </c>
      <c r="I2017" s="1">
        <f t="shared" si="93"/>
        <v>3040.5299999999997</v>
      </c>
      <c r="J2017" t="str">
        <f t="shared" si="94"/>
        <v>High</v>
      </c>
      <c r="K2017" s="1"/>
      <c r="L2017" s="1">
        <v>0.05</v>
      </c>
      <c r="M2017" s="1">
        <v>37.58</v>
      </c>
      <c r="N2017" s="1" t="s">
        <v>25</v>
      </c>
      <c r="O2017" s="1" t="s">
        <v>55</v>
      </c>
      <c r="P2017" s="2">
        <v>41981</v>
      </c>
      <c r="Q2017" s="2" t="b">
        <f t="shared" si="95"/>
        <v>0</v>
      </c>
      <c r="V2017" s="2"/>
      <c r="W2017" s="2"/>
      <c r="X2017" s="2"/>
      <c r="Y2017" s="2"/>
      <c r="Z2017" s="2"/>
      <c r="AA2017" s="2"/>
      <c r="AB2017" s="2"/>
      <c r="AC2017" s="2"/>
      <c r="AD2017" s="2"/>
      <c r="AE2017" s="2"/>
      <c r="AF2017" s="2"/>
      <c r="AG2017" s="2"/>
      <c r="AH2017" s="2"/>
      <c r="AI2017" s="2"/>
    </row>
    <row r="2018" spans="1:35" ht="14.25" customHeight="1" x14ac:dyDescent="0.2">
      <c r="A2018" s="1">
        <v>46528</v>
      </c>
      <c r="B2018" s="1" t="s">
        <v>1190</v>
      </c>
      <c r="C2018" s="1" t="s">
        <v>30</v>
      </c>
      <c r="D2018" s="2">
        <v>41979</v>
      </c>
      <c r="E2018" s="1" t="s">
        <v>101</v>
      </c>
      <c r="F2018" s="1" t="s">
        <v>207</v>
      </c>
      <c r="G2018" s="1">
        <v>23</v>
      </c>
      <c r="H2018" s="1">
        <v>18.97</v>
      </c>
      <c r="I2018" s="1">
        <f t="shared" si="93"/>
        <v>436.30999999999995</v>
      </c>
      <c r="J2018" t="str">
        <f t="shared" si="94"/>
        <v>Low</v>
      </c>
      <c r="K2018" s="1"/>
      <c r="L2018" s="1">
        <v>0.01</v>
      </c>
      <c r="M2018" s="1">
        <v>9.5399999999999991</v>
      </c>
      <c r="N2018" s="1" t="s">
        <v>33</v>
      </c>
      <c r="O2018" s="1" t="s">
        <v>34</v>
      </c>
      <c r="P2018" s="2">
        <v>41982</v>
      </c>
      <c r="Q2018" s="2" t="b">
        <f t="shared" si="95"/>
        <v>0</v>
      </c>
      <c r="V2018" s="2"/>
      <c r="W2018" s="2"/>
      <c r="X2018" s="2"/>
      <c r="Y2018" s="2"/>
      <c r="Z2018" s="2"/>
      <c r="AA2018" s="2"/>
      <c r="AB2018" s="2"/>
      <c r="AC2018" s="2"/>
      <c r="AD2018" s="2"/>
      <c r="AE2018" s="2"/>
      <c r="AF2018" s="2"/>
      <c r="AG2018" s="2"/>
      <c r="AH2018" s="2"/>
      <c r="AI2018" s="2"/>
    </row>
    <row r="2019" spans="1:35" ht="14.25" customHeight="1" x14ac:dyDescent="0.2">
      <c r="A2019" s="1">
        <v>41185</v>
      </c>
      <c r="B2019" s="1" t="s">
        <v>1423</v>
      </c>
      <c r="C2019" s="1" t="s">
        <v>21</v>
      </c>
      <c r="D2019" s="2">
        <v>41979</v>
      </c>
      <c r="E2019" s="1" t="s">
        <v>38</v>
      </c>
      <c r="F2019" s="1" t="s">
        <v>1163</v>
      </c>
      <c r="G2019" s="1">
        <v>2</v>
      </c>
      <c r="H2019" s="1">
        <v>5.78</v>
      </c>
      <c r="I2019" s="1">
        <f t="shared" si="93"/>
        <v>11.56</v>
      </c>
      <c r="J2019" t="str">
        <f t="shared" si="94"/>
        <v>Low</v>
      </c>
      <c r="K2019" s="1"/>
      <c r="L2019" s="1">
        <v>0.08</v>
      </c>
      <c r="M2019" s="1">
        <v>7.96</v>
      </c>
      <c r="N2019" s="1" t="s">
        <v>33</v>
      </c>
      <c r="O2019" s="1" t="s">
        <v>34</v>
      </c>
      <c r="P2019" s="2">
        <v>41980</v>
      </c>
      <c r="Q2019" s="2" t="b">
        <f t="shared" si="95"/>
        <v>0</v>
      </c>
      <c r="V2019" s="2"/>
      <c r="W2019" s="2"/>
      <c r="X2019" s="2"/>
      <c r="Y2019" s="2"/>
      <c r="Z2019" s="2"/>
      <c r="AA2019" s="2"/>
      <c r="AB2019" s="2"/>
      <c r="AC2019" s="2"/>
      <c r="AD2019" s="2"/>
      <c r="AE2019" s="2"/>
      <c r="AF2019" s="2"/>
      <c r="AG2019" s="2"/>
      <c r="AH2019" s="2"/>
      <c r="AI2019" s="2"/>
    </row>
    <row r="2020" spans="1:35" ht="14.25" customHeight="1" x14ac:dyDescent="0.2">
      <c r="A2020" s="1">
        <v>24455</v>
      </c>
      <c r="B2020" s="1" t="s">
        <v>895</v>
      </c>
      <c r="C2020" s="1" t="s">
        <v>21</v>
      </c>
      <c r="D2020" s="2">
        <v>41979</v>
      </c>
      <c r="E2020" s="1" t="s">
        <v>22</v>
      </c>
      <c r="F2020" s="1" t="s">
        <v>1611</v>
      </c>
      <c r="G2020" s="1">
        <v>8</v>
      </c>
      <c r="H2020" s="1">
        <v>20.89</v>
      </c>
      <c r="I2020" s="1">
        <f t="shared" si="93"/>
        <v>167.12</v>
      </c>
      <c r="J2020" t="str">
        <f t="shared" si="94"/>
        <v>Low</v>
      </c>
      <c r="K2020" s="1"/>
      <c r="L2020" s="1">
        <v>0</v>
      </c>
      <c r="M2020" s="1">
        <v>1.99</v>
      </c>
      <c r="N2020" s="1" t="s">
        <v>33</v>
      </c>
      <c r="O2020" s="1" t="s">
        <v>84</v>
      </c>
      <c r="P2020" s="2">
        <v>41981</v>
      </c>
      <c r="Q2020" s="2" t="b">
        <f t="shared" si="95"/>
        <v>0</v>
      </c>
      <c r="V2020" s="2"/>
      <c r="W2020" s="2"/>
      <c r="X2020" s="2"/>
      <c r="Y2020" s="2"/>
      <c r="Z2020" s="2"/>
      <c r="AA2020" s="2"/>
      <c r="AB2020" s="2"/>
      <c r="AC2020" s="2"/>
      <c r="AD2020" s="2"/>
      <c r="AE2020" s="2"/>
      <c r="AF2020" s="2"/>
      <c r="AG2020" s="2"/>
      <c r="AH2020" s="2"/>
      <c r="AI2020" s="2"/>
    </row>
    <row r="2021" spans="1:35" ht="14.25" customHeight="1" x14ac:dyDescent="0.2">
      <c r="A2021" s="1">
        <v>24455</v>
      </c>
      <c r="B2021" s="1" t="s">
        <v>895</v>
      </c>
      <c r="C2021" s="1" t="s">
        <v>21</v>
      </c>
      <c r="D2021" s="2">
        <v>41979</v>
      </c>
      <c r="E2021" s="1" t="s">
        <v>22</v>
      </c>
      <c r="F2021" s="1" t="s">
        <v>1132</v>
      </c>
      <c r="G2021" s="1">
        <v>41</v>
      </c>
      <c r="H2021" s="1">
        <v>3.98</v>
      </c>
      <c r="I2021" s="1">
        <f t="shared" si="93"/>
        <v>163.18</v>
      </c>
      <c r="J2021" t="str">
        <f t="shared" si="94"/>
        <v>Low</v>
      </c>
      <c r="K2021" s="1"/>
      <c r="L2021" s="1">
        <v>7.0000000000000007E-2</v>
      </c>
      <c r="M2021" s="1">
        <v>0.83</v>
      </c>
      <c r="N2021" s="1" t="s">
        <v>33</v>
      </c>
      <c r="O2021" s="1" t="s">
        <v>55</v>
      </c>
      <c r="P2021" s="2">
        <v>41982</v>
      </c>
      <c r="Q2021" s="2" t="b">
        <f t="shared" si="95"/>
        <v>0</v>
      </c>
      <c r="V2021" s="2"/>
      <c r="W2021" s="2"/>
      <c r="X2021" s="2"/>
      <c r="Y2021" s="2"/>
      <c r="Z2021" s="2"/>
      <c r="AA2021" s="2"/>
      <c r="AB2021" s="2"/>
      <c r="AC2021" s="2"/>
      <c r="AD2021" s="2"/>
      <c r="AE2021" s="2"/>
      <c r="AF2021" s="2"/>
      <c r="AG2021" s="2"/>
      <c r="AH2021" s="2"/>
      <c r="AI2021" s="2"/>
    </row>
    <row r="2022" spans="1:35" ht="14.25" customHeight="1" x14ac:dyDescent="0.2">
      <c r="A2022" s="1">
        <v>45959</v>
      </c>
      <c r="B2022" s="1" t="s">
        <v>812</v>
      </c>
      <c r="C2022" s="1" t="s">
        <v>21</v>
      </c>
      <c r="D2022" s="2">
        <v>41979</v>
      </c>
      <c r="E2022" s="1" t="s">
        <v>101</v>
      </c>
      <c r="F2022" s="1" t="s">
        <v>451</v>
      </c>
      <c r="G2022" s="1">
        <v>15</v>
      </c>
      <c r="H2022" s="1">
        <v>12.53</v>
      </c>
      <c r="I2022" s="1">
        <f t="shared" si="93"/>
        <v>187.95</v>
      </c>
      <c r="J2022" t="str">
        <f t="shared" si="94"/>
        <v>Low</v>
      </c>
      <c r="K2022" s="1"/>
      <c r="L2022" s="1">
        <v>0.08</v>
      </c>
      <c r="M2022" s="1">
        <v>7.17</v>
      </c>
      <c r="N2022" s="1" t="s">
        <v>25</v>
      </c>
      <c r="O2022" s="1" t="s">
        <v>34</v>
      </c>
      <c r="P2022" s="2">
        <v>41981</v>
      </c>
      <c r="Q2022" s="2" t="b">
        <f t="shared" si="95"/>
        <v>0</v>
      </c>
      <c r="V2022" s="2"/>
      <c r="W2022" s="2"/>
      <c r="X2022" s="2"/>
      <c r="Y2022" s="2"/>
      <c r="Z2022" s="2"/>
      <c r="AA2022" s="2"/>
      <c r="AB2022" s="2"/>
      <c r="AC2022" s="2"/>
      <c r="AD2022" s="2"/>
      <c r="AE2022" s="2"/>
      <c r="AF2022" s="2"/>
      <c r="AG2022" s="2"/>
      <c r="AH2022" s="2"/>
      <c r="AI2022" s="2"/>
    </row>
    <row r="2023" spans="1:35" ht="14.25" customHeight="1" x14ac:dyDescent="0.2">
      <c r="A2023" s="1">
        <v>45959</v>
      </c>
      <c r="B2023" s="1" t="s">
        <v>812</v>
      </c>
      <c r="C2023" s="1" t="s">
        <v>51</v>
      </c>
      <c r="D2023" s="2">
        <v>41979</v>
      </c>
      <c r="E2023" s="1" t="s">
        <v>101</v>
      </c>
      <c r="F2023" s="1" t="s">
        <v>508</v>
      </c>
      <c r="G2023" s="1">
        <v>35</v>
      </c>
      <c r="H2023" s="1">
        <v>49.99</v>
      </c>
      <c r="I2023" s="1">
        <f t="shared" si="93"/>
        <v>1749.65</v>
      </c>
      <c r="J2023" t="str">
        <f t="shared" si="94"/>
        <v>High</v>
      </c>
      <c r="K2023" s="1"/>
      <c r="L2023" s="1">
        <v>0</v>
      </c>
      <c r="M2023" s="1">
        <v>19.989999999999998</v>
      </c>
      <c r="N2023" s="1" t="s">
        <v>33</v>
      </c>
      <c r="O2023" s="1" t="s">
        <v>34</v>
      </c>
      <c r="P2023" s="2">
        <v>41981</v>
      </c>
      <c r="Q2023" s="2" t="b">
        <f t="shared" si="95"/>
        <v>0</v>
      </c>
      <c r="V2023" s="2"/>
      <c r="W2023" s="2"/>
      <c r="X2023" s="2"/>
      <c r="Y2023" s="2"/>
      <c r="Z2023" s="2"/>
      <c r="AA2023" s="2"/>
      <c r="AB2023" s="2"/>
      <c r="AC2023" s="2"/>
      <c r="AD2023" s="2"/>
      <c r="AE2023" s="2"/>
      <c r="AF2023" s="2"/>
      <c r="AG2023" s="2"/>
      <c r="AH2023" s="2"/>
      <c r="AI2023" s="2"/>
    </row>
    <row r="2024" spans="1:35" ht="14.25" customHeight="1" x14ac:dyDescent="0.2">
      <c r="A2024" s="1">
        <v>8229</v>
      </c>
      <c r="B2024" s="1" t="s">
        <v>1612</v>
      </c>
      <c r="C2024" s="1" t="s">
        <v>30</v>
      </c>
      <c r="D2024" s="2">
        <v>41980</v>
      </c>
      <c r="E2024" s="1" t="s">
        <v>101</v>
      </c>
      <c r="F2024" s="1" t="s">
        <v>1613</v>
      </c>
      <c r="G2024" s="1">
        <v>7</v>
      </c>
      <c r="H2024" s="1">
        <v>510.14</v>
      </c>
      <c r="I2024" s="1">
        <f t="shared" si="93"/>
        <v>3570.98</v>
      </c>
      <c r="J2024" t="str">
        <f t="shared" si="94"/>
        <v>High</v>
      </c>
      <c r="K2024" s="1"/>
      <c r="L2024" s="1">
        <v>0.04</v>
      </c>
      <c r="M2024" s="1">
        <v>14.7</v>
      </c>
      <c r="N2024" s="1" t="s">
        <v>45</v>
      </c>
      <c r="O2024" s="1" t="s">
        <v>46</v>
      </c>
      <c r="P2024" s="2">
        <v>41982</v>
      </c>
      <c r="Q2024" s="2" t="b">
        <f t="shared" si="95"/>
        <v>0</v>
      </c>
      <c r="V2024" s="2"/>
      <c r="W2024" s="2"/>
      <c r="X2024" s="2"/>
      <c r="Y2024" s="2"/>
      <c r="Z2024" s="2"/>
      <c r="AA2024" s="2"/>
      <c r="AB2024" s="2"/>
      <c r="AC2024" s="2"/>
      <c r="AD2024" s="2"/>
      <c r="AE2024" s="2"/>
      <c r="AF2024" s="2"/>
      <c r="AG2024" s="2"/>
      <c r="AH2024" s="2"/>
      <c r="AI2024" s="2"/>
    </row>
    <row r="2025" spans="1:35" ht="14.25" customHeight="1" x14ac:dyDescent="0.2">
      <c r="A2025" s="1">
        <v>8229</v>
      </c>
      <c r="B2025" s="1" t="s">
        <v>1612</v>
      </c>
      <c r="C2025" s="1" t="s">
        <v>21</v>
      </c>
      <c r="D2025" s="2">
        <v>41980</v>
      </c>
      <c r="E2025" s="1" t="s">
        <v>101</v>
      </c>
      <c r="F2025" s="1" t="s">
        <v>1614</v>
      </c>
      <c r="G2025" s="1">
        <v>50</v>
      </c>
      <c r="H2025" s="1">
        <v>4.76</v>
      </c>
      <c r="I2025" s="1">
        <f t="shared" si="93"/>
        <v>238</v>
      </c>
      <c r="J2025" t="str">
        <f t="shared" si="94"/>
        <v>Low</v>
      </c>
      <c r="K2025" s="1"/>
      <c r="L2025" s="1">
        <v>0</v>
      </c>
      <c r="M2025" s="1">
        <v>3.01</v>
      </c>
      <c r="N2025" s="1" t="s">
        <v>33</v>
      </c>
      <c r="O2025" s="1" t="s">
        <v>55</v>
      </c>
      <c r="P2025" s="2">
        <v>41982</v>
      </c>
      <c r="Q2025" s="2" t="b">
        <f t="shared" si="95"/>
        <v>0</v>
      </c>
      <c r="V2025" s="2"/>
      <c r="W2025" s="2"/>
      <c r="X2025" s="2"/>
      <c r="Y2025" s="2"/>
      <c r="Z2025" s="2"/>
      <c r="AA2025" s="2"/>
      <c r="AB2025" s="2"/>
      <c r="AC2025" s="2"/>
      <c r="AD2025" s="2"/>
      <c r="AE2025" s="2"/>
      <c r="AF2025" s="2"/>
      <c r="AG2025" s="2"/>
      <c r="AH2025" s="2"/>
      <c r="AI2025" s="2"/>
    </row>
    <row r="2026" spans="1:35" ht="14.25" customHeight="1" x14ac:dyDescent="0.2">
      <c r="A2026" s="1">
        <v>54755</v>
      </c>
      <c r="B2026" s="1" t="s">
        <v>20</v>
      </c>
      <c r="C2026" s="1" t="s">
        <v>21</v>
      </c>
      <c r="D2026" s="2">
        <v>41980</v>
      </c>
      <c r="E2026" s="1" t="s">
        <v>38</v>
      </c>
      <c r="F2026" s="1" t="s">
        <v>311</v>
      </c>
      <c r="G2026" s="1">
        <v>44</v>
      </c>
      <c r="H2026" s="1">
        <v>73.98</v>
      </c>
      <c r="I2026" s="1">
        <f t="shared" si="93"/>
        <v>3255.1200000000003</v>
      </c>
      <c r="J2026" t="str">
        <f t="shared" si="94"/>
        <v>High</v>
      </c>
      <c r="K2026" s="1"/>
      <c r="L2026" s="1">
        <v>0</v>
      </c>
      <c r="M2026" s="1">
        <v>4</v>
      </c>
      <c r="N2026" s="1" t="s">
        <v>33</v>
      </c>
      <c r="O2026" s="1" t="s">
        <v>34</v>
      </c>
      <c r="P2026" s="2">
        <v>41983</v>
      </c>
      <c r="Q2026" s="2" t="b">
        <f t="shared" si="95"/>
        <v>0</v>
      </c>
      <c r="V2026" s="2"/>
      <c r="W2026" s="2"/>
      <c r="X2026" s="2"/>
      <c r="Y2026" s="2"/>
      <c r="Z2026" s="2"/>
      <c r="AA2026" s="2"/>
      <c r="AB2026" s="2"/>
      <c r="AC2026" s="2"/>
      <c r="AD2026" s="2"/>
      <c r="AE2026" s="2"/>
      <c r="AF2026" s="2"/>
      <c r="AG2026" s="2"/>
      <c r="AH2026" s="2"/>
      <c r="AI2026" s="2"/>
    </row>
    <row r="2027" spans="1:35" ht="14.25" customHeight="1" x14ac:dyDescent="0.2">
      <c r="A2027" s="1">
        <v>59365</v>
      </c>
      <c r="B2027" s="1" t="s">
        <v>1615</v>
      </c>
      <c r="C2027" s="1" t="s">
        <v>51</v>
      </c>
      <c r="D2027" s="2">
        <v>41980</v>
      </c>
      <c r="E2027" s="1" t="s">
        <v>101</v>
      </c>
      <c r="F2027" s="1" t="s">
        <v>1378</v>
      </c>
      <c r="G2027" s="1">
        <v>1</v>
      </c>
      <c r="H2027" s="1">
        <v>535.64</v>
      </c>
      <c r="I2027" s="1">
        <f t="shared" si="93"/>
        <v>535.64</v>
      </c>
      <c r="J2027" t="str">
        <f t="shared" si="94"/>
        <v>Low</v>
      </c>
      <c r="K2027" s="1"/>
      <c r="L2027" s="1">
        <v>0.05</v>
      </c>
      <c r="M2027" s="1">
        <v>14.7</v>
      </c>
      <c r="N2027" s="1" t="s">
        <v>45</v>
      </c>
      <c r="O2027" s="1" t="s">
        <v>46</v>
      </c>
      <c r="P2027" s="2">
        <v>41982</v>
      </c>
      <c r="Q2027" s="2" t="b">
        <f t="shared" si="95"/>
        <v>0</v>
      </c>
      <c r="V2027" s="2"/>
      <c r="W2027" s="2"/>
      <c r="X2027" s="2"/>
      <c r="Y2027" s="2"/>
      <c r="Z2027" s="2"/>
      <c r="AA2027" s="2"/>
      <c r="AB2027" s="2"/>
      <c r="AC2027" s="2"/>
      <c r="AD2027" s="2"/>
      <c r="AE2027" s="2"/>
      <c r="AF2027" s="2"/>
      <c r="AG2027" s="2"/>
      <c r="AH2027" s="2"/>
      <c r="AI2027" s="2"/>
    </row>
    <row r="2028" spans="1:35" ht="14.25" customHeight="1" x14ac:dyDescent="0.2">
      <c r="A2028" s="1">
        <v>36992</v>
      </c>
      <c r="B2028" s="1" t="s">
        <v>983</v>
      </c>
      <c r="C2028" s="1" t="s">
        <v>30</v>
      </c>
      <c r="D2028" s="2">
        <v>41980</v>
      </c>
      <c r="E2028" s="1" t="s">
        <v>101</v>
      </c>
      <c r="F2028" s="1" t="s">
        <v>1234</v>
      </c>
      <c r="G2028" s="1">
        <v>34</v>
      </c>
      <c r="H2028" s="1">
        <v>12.98</v>
      </c>
      <c r="I2028" s="1">
        <f t="shared" si="93"/>
        <v>441.32</v>
      </c>
      <c r="J2028" t="str">
        <f t="shared" si="94"/>
        <v>Low</v>
      </c>
      <c r="K2028" s="1"/>
      <c r="L2028" s="1">
        <v>0.04</v>
      </c>
      <c r="M2028" s="1">
        <v>3.14</v>
      </c>
      <c r="N2028" s="1" t="s">
        <v>25</v>
      </c>
      <c r="O2028" s="1" t="s">
        <v>84</v>
      </c>
      <c r="P2028" s="2">
        <v>41982</v>
      </c>
      <c r="Q2028" s="2" t="b">
        <f t="shared" si="95"/>
        <v>0</v>
      </c>
      <c r="V2028" s="2"/>
      <c r="W2028" s="2"/>
      <c r="X2028" s="2"/>
      <c r="Y2028" s="2"/>
      <c r="Z2028" s="2"/>
      <c r="AA2028" s="2"/>
      <c r="AB2028" s="2"/>
      <c r="AC2028" s="2"/>
      <c r="AD2028" s="2"/>
      <c r="AE2028" s="2"/>
      <c r="AF2028" s="2"/>
      <c r="AG2028" s="2"/>
      <c r="AH2028" s="2"/>
      <c r="AI2028" s="2"/>
    </row>
    <row r="2029" spans="1:35" ht="14.25" customHeight="1" x14ac:dyDescent="0.2">
      <c r="A2029" s="1">
        <v>35457</v>
      </c>
      <c r="B2029" s="1" t="s">
        <v>915</v>
      </c>
      <c r="C2029" s="1" t="s">
        <v>21</v>
      </c>
      <c r="D2029" s="2">
        <v>41980</v>
      </c>
      <c r="E2029" s="1" t="s">
        <v>43</v>
      </c>
      <c r="F2029" s="1" t="s">
        <v>841</v>
      </c>
      <c r="G2029" s="1">
        <v>45</v>
      </c>
      <c r="H2029" s="1">
        <v>70.97</v>
      </c>
      <c r="I2029" s="1">
        <f t="shared" si="93"/>
        <v>3193.65</v>
      </c>
      <c r="J2029" t="str">
        <f t="shared" si="94"/>
        <v>High</v>
      </c>
      <c r="K2029" s="1"/>
      <c r="L2029" s="1">
        <v>0.02</v>
      </c>
      <c r="M2029" s="1">
        <v>3.5</v>
      </c>
      <c r="N2029" s="1" t="s">
        <v>33</v>
      </c>
      <c r="O2029" s="1" t="s">
        <v>34</v>
      </c>
      <c r="P2029" s="2">
        <v>41987</v>
      </c>
      <c r="Q2029" s="2" t="b">
        <f t="shared" si="95"/>
        <v>0</v>
      </c>
      <c r="V2029" s="2"/>
      <c r="W2029" s="2"/>
      <c r="X2029" s="2"/>
      <c r="Y2029" s="2"/>
      <c r="Z2029" s="2"/>
      <c r="AA2029" s="2"/>
      <c r="AB2029" s="2"/>
      <c r="AC2029" s="2"/>
      <c r="AD2029" s="2"/>
      <c r="AE2029" s="2"/>
      <c r="AF2029" s="2"/>
      <c r="AG2029" s="2"/>
      <c r="AH2029" s="2"/>
      <c r="AI2029" s="2"/>
    </row>
    <row r="2030" spans="1:35" ht="14.25" customHeight="1" x14ac:dyDescent="0.2">
      <c r="A2030" s="1">
        <v>47617</v>
      </c>
      <c r="B2030" s="1" t="s">
        <v>229</v>
      </c>
      <c r="C2030" s="1" t="s">
        <v>21</v>
      </c>
      <c r="D2030" s="2">
        <v>41981</v>
      </c>
      <c r="E2030" s="1" t="s">
        <v>22</v>
      </c>
      <c r="F2030" s="1" t="s">
        <v>1141</v>
      </c>
      <c r="G2030" s="1">
        <v>17</v>
      </c>
      <c r="H2030" s="1">
        <v>304.99</v>
      </c>
      <c r="I2030" s="1">
        <f t="shared" si="93"/>
        <v>5184.83</v>
      </c>
      <c r="J2030" t="str">
        <f t="shared" si="94"/>
        <v>High</v>
      </c>
      <c r="K2030" s="1"/>
      <c r="L2030" s="1">
        <v>0.09</v>
      </c>
      <c r="M2030" s="1">
        <v>19.989999999999998</v>
      </c>
      <c r="N2030" s="1" t="s">
        <v>33</v>
      </c>
      <c r="O2030" s="1" t="s">
        <v>34</v>
      </c>
      <c r="P2030" s="2">
        <v>41982</v>
      </c>
      <c r="Q2030" s="2" t="b">
        <f t="shared" si="95"/>
        <v>0</v>
      </c>
      <c r="V2030" s="2"/>
      <c r="W2030" s="2"/>
      <c r="X2030" s="2"/>
      <c r="Y2030" s="2"/>
      <c r="Z2030" s="2"/>
      <c r="AA2030" s="2"/>
      <c r="AB2030" s="2"/>
      <c r="AC2030" s="2"/>
      <c r="AD2030" s="2"/>
      <c r="AE2030" s="2"/>
      <c r="AF2030" s="2"/>
      <c r="AG2030" s="2"/>
      <c r="AH2030" s="2"/>
      <c r="AI2030" s="2"/>
    </row>
    <row r="2031" spans="1:35" ht="14.25" customHeight="1" x14ac:dyDescent="0.2">
      <c r="A2031" s="1">
        <v>37700</v>
      </c>
      <c r="B2031" s="1" t="s">
        <v>1306</v>
      </c>
      <c r="C2031" s="1" t="s">
        <v>21</v>
      </c>
      <c r="D2031" s="2">
        <v>41981</v>
      </c>
      <c r="E2031" s="1" t="s">
        <v>38</v>
      </c>
      <c r="F2031" s="1" t="s">
        <v>930</v>
      </c>
      <c r="G2031" s="1">
        <v>27</v>
      </c>
      <c r="H2031" s="1">
        <v>122.99</v>
      </c>
      <c r="I2031" s="1">
        <f t="shared" si="93"/>
        <v>3320.73</v>
      </c>
      <c r="J2031" t="str">
        <f t="shared" si="94"/>
        <v>High</v>
      </c>
      <c r="K2031" s="1"/>
      <c r="L2031" s="1">
        <v>0.05</v>
      </c>
      <c r="M2031" s="1">
        <v>19.989999999999998</v>
      </c>
      <c r="N2031" s="1" t="s">
        <v>25</v>
      </c>
      <c r="O2031" s="1" t="s">
        <v>34</v>
      </c>
      <c r="P2031" s="2">
        <v>41984</v>
      </c>
      <c r="Q2031" s="2" t="b">
        <f t="shared" si="95"/>
        <v>0</v>
      </c>
      <c r="V2031" s="2"/>
      <c r="W2031" s="2"/>
      <c r="X2031" s="2"/>
      <c r="Y2031" s="2"/>
      <c r="Z2031" s="2"/>
      <c r="AA2031" s="2"/>
      <c r="AB2031" s="2"/>
      <c r="AC2031" s="2"/>
      <c r="AD2031" s="2"/>
      <c r="AE2031" s="2"/>
      <c r="AF2031" s="2"/>
      <c r="AG2031" s="2"/>
      <c r="AH2031" s="2"/>
      <c r="AI2031" s="2"/>
    </row>
    <row r="2032" spans="1:35" ht="14.25" customHeight="1" x14ac:dyDescent="0.2">
      <c r="A2032" s="1">
        <v>50754</v>
      </c>
      <c r="B2032" s="1" t="s">
        <v>1616</v>
      </c>
      <c r="C2032" s="1" t="s">
        <v>21</v>
      </c>
      <c r="D2032" s="2">
        <v>41982</v>
      </c>
      <c r="E2032" s="1" t="s">
        <v>22</v>
      </c>
      <c r="F2032" s="1" t="s">
        <v>1224</v>
      </c>
      <c r="G2032" s="1">
        <v>9</v>
      </c>
      <c r="H2032" s="1">
        <v>7.99</v>
      </c>
      <c r="I2032" s="1">
        <f t="shared" si="93"/>
        <v>71.91</v>
      </c>
      <c r="J2032" t="str">
        <f t="shared" si="94"/>
        <v>Low</v>
      </c>
      <c r="K2032" s="1"/>
      <c r="L2032" s="1">
        <v>0.06</v>
      </c>
      <c r="M2032" s="1">
        <v>5.03</v>
      </c>
      <c r="N2032" s="1" t="s">
        <v>33</v>
      </c>
      <c r="O2032" s="1" t="s">
        <v>72</v>
      </c>
      <c r="P2032" s="2">
        <v>41983</v>
      </c>
      <c r="Q2032" s="2" t="b">
        <f t="shared" si="95"/>
        <v>0</v>
      </c>
      <c r="V2032" s="2"/>
      <c r="W2032" s="2"/>
      <c r="X2032" s="2"/>
      <c r="Y2032" s="2"/>
      <c r="Z2032" s="2"/>
      <c r="AA2032" s="2"/>
      <c r="AB2032" s="2"/>
      <c r="AC2032" s="2"/>
      <c r="AD2032" s="2"/>
      <c r="AE2032" s="2"/>
      <c r="AF2032" s="2"/>
      <c r="AG2032" s="2"/>
      <c r="AH2032" s="2"/>
      <c r="AI2032" s="2"/>
    </row>
    <row r="2033" spans="1:35" ht="14.25" customHeight="1" x14ac:dyDescent="0.2">
      <c r="A2033" s="1">
        <v>8290</v>
      </c>
      <c r="B2033" s="1" t="s">
        <v>1612</v>
      </c>
      <c r="C2033" s="1" t="s">
        <v>30</v>
      </c>
      <c r="D2033" s="2">
        <v>41982</v>
      </c>
      <c r="E2033" s="1" t="s">
        <v>38</v>
      </c>
      <c r="F2033" s="1" t="s">
        <v>850</v>
      </c>
      <c r="G2033" s="1">
        <v>32</v>
      </c>
      <c r="H2033" s="1">
        <v>6.3</v>
      </c>
      <c r="I2033" s="1">
        <f t="shared" si="93"/>
        <v>201.6</v>
      </c>
      <c r="J2033" t="str">
        <f t="shared" si="94"/>
        <v>Low</v>
      </c>
      <c r="K2033" s="1"/>
      <c r="L2033" s="1">
        <v>0.04</v>
      </c>
      <c r="M2033" s="1">
        <v>0.5</v>
      </c>
      <c r="N2033" s="1" t="s">
        <v>33</v>
      </c>
      <c r="O2033" s="1" t="s">
        <v>34</v>
      </c>
      <c r="P2033" s="2">
        <v>41984</v>
      </c>
      <c r="Q2033" s="2" t="b">
        <f t="shared" si="95"/>
        <v>0</v>
      </c>
      <c r="V2033" s="2"/>
      <c r="W2033" s="2"/>
      <c r="X2033" s="2"/>
      <c r="Y2033" s="2"/>
      <c r="Z2033" s="2"/>
      <c r="AA2033" s="2"/>
      <c r="AB2033" s="2"/>
      <c r="AC2033" s="2"/>
      <c r="AD2033" s="2"/>
      <c r="AE2033" s="2"/>
      <c r="AF2033" s="2"/>
      <c r="AG2033" s="2"/>
      <c r="AH2033" s="2"/>
      <c r="AI2033" s="2"/>
    </row>
    <row r="2034" spans="1:35" ht="14.25" customHeight="1" x14ac:dyDescent="0.2">
      <c r="A2034" s="1">
        <v>41765</v>
      </c>
      <c r="B2034" s="1" t="s">
        <v>669</v>
      </c>
      <c r="C2034" s="1" t="s">
        <v>30</v>
      </c>
      <c r="D2034" s="2">
        <v>41982</v>
      </c>
      <c r="E2034" s="1" t="s">
        <v>101</v>
      </c>
      <c r="F2034" s="1" t="s">
        <v>1015</v>
      </c>
      <c r="G2034" s="1">
        <v>41</v>
      </c>
      <c r="H2034" s="1">
        <v>4.9800000000000004</v>
      </c>
      <c r="I2034" s="1">
        <f t="shared" si="93"/>
        <v>204.18</v>
      </c>
      <c r="J2034" t="str">
        <f t="shared" si="94"/>
        <v>Low</v>
      </c>
      <c r="K2034" s="1"/>
      <c r="L2034" s="1">
        <v>0.03</v>
      </c>
      <c r="M2034" s="1">
        <v>4.95</v>
      </c>
      <c r="N2034" s="1" t="s">
        <v>33</v>
      </c>
      <c r="O2034" s="1" t="s">
        <v>34</v>
      </c>
      <c r="P2034" s="2">
        <v>41984</v>
      </c>
      <c r="Q2034" s="2" t="b">
        <f t="shared" si="95"/>
        <v>0</v>
      </c>
      <c r="V2034" s="2"/>
      <c r="W2034" s="2"/>
      <c r="X2034" s="2"/>
      <c r="Y2034" s="2"/>
      <c r="Z2034" s="2"/>
      <c r="AA2034" s="2"/>
      <c r="AB2034" s="2"/>
      <c r="AC2034" s="2"/>
      <c r="AD2034" s="2"/>
      <c r="AE2034" s="2"/>
      <c r="AF2034" s="2"/>
      <c r="AG2034" s="2"/>
      <c r="AH2034" s="2"/>
      <c r="AI2034" s="2"/>
    </row>
    <row r="2035" spans="1:35" ht="14.25" customHeight="1" x14ac:dyDescent="0.2">
      <c r="A2035" s="1">
        <v>51233</v>
      </c>
      <c r="B2035" s="1" t="s">
        <v>1617</v>
      </c>
      <c r="C2035" s="1" t="s">
        <v>30</v>
      </c>
      <c r="D2035" s="2">
        <v>41982</v>
      </c>
      <c r="E2035" s="1" t="s">
        <v>43</v>
      </c>
      <c r="F2035" s="1" t="s">
        <v>640</v>
      </c>
      <c r="G2035" s="1">
        <v>3</v>
      </c>
      <c r="H2035" s="1">
        <v>7.59</v>
      </c>
      <c r="I2035" s="1">
        <f t="shared" si="93"/>
        <v>22.77</v>
      </c>
      <c r="J2035" t="str">
        <f t="shared" si="94"/>
        <v>Low</v>
      </c>
      <c r="K2035" s="1"/>
      <c r="L2035" s="1">
        <v>0.05</v>
      </c>
      <c r="M2035" s="1">
        <v>4</v>
      </c>
      <c r="N2035" s="1" t="s">
        <v>33</v>
      </c>
      <c r="O2035" s="1" t="s">
        <v>55</v>
      </c>
      <c r="P2035" s="2">
        <v>41982</v>
      </c>
      <c r="Q2035" s="2" t="b">
        <f t="shared" si="95"/>
        <v>0</v>
      </c>
      <c r="V2035" s="2"/>
      <c r="W2035" s="2"/>
      <c r="X2035" s="2"/>
      <c r="Y2035" s="2"/>
      <c r="Z2035" s="2"/>
      <c r="AA2035" s="2"/>
      <c r="AB2035" s="2"/>
      <c r="AC2035" s="2"/>
      <c r="AD2035" s="2"/>
      <c r="AE2035" s="2"/>
      <c r="AF2035" s="2"/>
      <c r="AG2035" s="2"/>
      <c r="AH2035" s="2"/>
      <c r="AI2035" s="2"/>
    </row>
    <row r="2036" spans="1:35" ht="14.25" customHeight="1" x14ac:dyDescent="0.2">
      <c r="A2036" s="1">
        <v>59297</v>
      </c>
      <c r="B2036" s="1" t="s">
        <v>1618</v>
      </c>
      <c r="C2036" s="1" t="s">
        <v>51</v>
      </c>
      <c r="D2036" s="2">
        <v>41982</v>
      </c>
      <c r="E2036" s="1" t="s">
        <v>101</v>
      </c>
      <c r="F2036" s="1" t="s">
        <v>272</v>
      </c>
      <c r="G2036" s="1">
        <v>13</v>
      </c>
      <c r="H2036" s="1">
        <v>119.99</v>
      </c>
      <c r="I2036" s="1">
        <f t="shared" si="93"/>
        <v>1559.87</v>
      </c>
      <c r="J2036" t="str">
        <f t="shared" si="94"/>
        <v>High</v>
      </c>
      <c r="K2036" s="1"/>
      <c r="L2036" s="1">
        <v>0.05</v>
      </c>
      <c r="M2036" s="1">
        <v>56.14</v>
      </c>
      <c r="N2036" s="1" t="s">
        <v>45</v>
      </c>
      <c r="O2036" s="1" t="s">
        <v>63</v>
      </c>
      <c r="P2036" s="2">
        <v>41984</v>
      </c>
      <c r="Q2036" s="2" t="b">
        <f t="shared" si="95"/>
        <v>0</v>
      </c>
      <c r="V2036" s="2"/>
      <c r="W2036" s="2"/>
      <c r="X2036" s="2"/>
      <c r="Y2036" s="2"/>
      <c r="Z2036" s="2"/>
      <c r="AA2036" s="2"/>
      <c r="AB2036" s="2"/>
      <c r="AC2036" s="2"/>
      <c r="AD2036" s="2"/>
      <c r="AE2036" s="2"/>
      <c r="AF2036" s="2"/>
      <c r="AG2036" s="2"/>
      <c r="AH2036" s="2"/>
      <c r="AI2036" s="2"/>
    </row>
    <row r="2037" spans="1:35" ht="14.25" customHeight="1" x14ac:dyDescent="0.2">
      <c r="A2037" s="1">
        <v>56803</v>
      </c>
      <c r="B2037" s="1" t="s">
        <v>243</v>
      </c>
      <c r="C2037" s="1" t="s">
        <v>30</v>
      </c>
      <c r="D2037" s="2">
        <v>41983</v>
      </c>
      <c r="E2037" s="1" t="s">
        <v>22</v>
      </c>
      <c r="F2037" s="1" t="s">
        <v>1436</v>
      </c>
      <c r="G2037" s="1">
        <v>42</v>
      </c>
      <c r="H2037" s="1">
        <v>6.48</v>
      </c>
      <c r="I2037" s="1">
        <f t="shared" si="93"/>
        <v>272.16000000000003</v>
      </c>
      <c r="J2037" t="str">
        <f t="shared" si="94"/>
        <v>Low</v>
      </c>
      <c r="K2037" s="1"/>
      <c r="L2037" s="1">
        <v>0.1</v>
      </c>
      <c r="M2037" s="1">
        <v>5.9</v>
      </c>
      <c r="N2037" s="1" t="s">
        <v>33</v>
      </c>
      <c r="O2037" s="1" t="s">
        <v>34</v>
      </c>
      <c r="P2037" s="2">
        <v>41983</v>
      </c>
      <c r="Q2037" s="2" t="b">
        <f t="shared" si="95"/>
        <v>0</v>
      </c>
      <c r="V2037" s="2"/>
      <c r="W2037" s="2"/>
      <c r="X2037" s="2"/>
      <c r="Y2037" s="2"/>
      <c r="Z2037" s="2"/>
      <c r="AA2037" s="2"/>
      <c r="AB2037" s="2"/>
      <c r="AC2037" s="2"/>
      <c r="AD2037" s="2"/>
      <c r="AE2037" s="2"/>
      <c r="AF2037" s="2"/>
      <c r="AG2037" s="2"/>
      <c r="AH2037" s="2"/>
      <c r="AI2037" s="2"/>
    </row>
    <row r="2038" spans="1:35" ht="14.25" customHeight="1" x14ac:dyDescent="0.2">
      <c r="A2038" s="1">
        <v>48483</v>
      </c>
      <c r="B2038" s="1" t="s">
        <v>936</v>
      </c>
      <c r="C2038" s="1" t="s">
        <v>21</v>
      </c>
      <c r="D2038" s="2">
        <v>41983</v>
      </c>
      <c r="E2038" s="1" t="s">
        <v>38</v>
      </c>
      <c r="F2038" s="1" t="s">
        <v>1380</v>
      </c>
      <c r="G2038" s="1">
        <v>18</v>
      </c>
      <c r="H2038" s="1">
        <v>2.21</v>
      </c>
      <c r="I2038" s="1">
        <f t="shared" si="93"/>
        <v>39.78</v>
      </c>
      <c r="J2038" t="str">
        <f t="shared" si="94"/>
        <v>Low</v>
      </c>
      <c r="K2038" s="1"/>
      <c r="L2038" s="1">
        <v>0</v>
      </c>
      <c r="M2038" s="1">
        <v>1</v>
      </c>
      <c r="N2038" s="1" t="s">
        <v>25</v>
      </c>
      <c r="O2038" s="1" t="s">
        <v>55</v>
      </c>
      <c r="P2038" s="2">
        <v>41984</v>
      </c>
      <c r="Q2038" s="2" t="b">
        <f t="shared" si="95"/>
        <v>0</v>
      </c>
      <c r="V2038" s="2"/>
      <c r="W2038" s="2"/>
      <c r="X2038" s="2"/>
      <c r="Y2038" s="2"/>
      <c r="Z2038" s="2"/>
      <c r="AA2038" s="2"/>
      <c r="AB2038" s="2"/>
      <c r="AC2038" s="2"/>
      <c r="AD2038" s="2"/>
      <c r="AE2038" s="2"/>
      <c r="AF2038" s="2"/>
      <c r="AG2038" s="2"/>
      <c r="AH2038" s="2"/>
      <c r="AI2038" s="2"/>
    </row>
    <row r="2039" spans="1:35" ht="14.25" customHeight="1" x14ac:dyDescent="0.2">
      <c r="A2039" s="1">
        <v>5735</v>
      </c>
      <c r="B2039" s="1" t="s">
        <v>358</v>
      </c>
      <c r="C2039" s="1" t="s">
        <v>21</v>
      </c>
      <c r="D2039" s="2">
        <v>41983</v>
      </c>
      <c r="E2039" s="1" t="s">
        <v>101</v>
      </c>
      <c r="F2039" s="1" t="s">
        <v>987</v>
      </c>
      <c r="G2039" s="1">
        <v>10</v>
      </c>
      <c r="H2039" s="1">
        <v>280.98</v>
      </c>
      <c r="I2039" s="1">
        <f t="shared" si="93"/>
        <v>2809.8</v>
      </c>
      <c r="J2039" t="str">
        <f t="shared" si="94"/>
        <v>High</v>
      </c>
      <c r="K2039" s="1"/>
      <c r="L2039" s="1">
        <v>0.1</v>
      </c>
      <c r="M2039" s="1">
        <v>35.67</v>
      </c>
      <c r="N2039" s="1" t="s">
        <v>45</v>
      </c>
      <c r="O2039" s="1" t="s">
        <v>63</v>
      </c>
      <c r="P2039" s="2">
        <v>41984</v>
      </c>
      <c r="Q2039" s="2" t="b">
        <f t="shared" si="95"/>
        <v>0</v>
      </c>
      <c r="V2039" s="2"/>
      <c r="W2039" s="2"/>
      <c r="X2039" s="2"/>
      <c r="Y2039" s="2"/>
      <c r="Z2039" s="2"/>
      <c r="AA2039" s="2"/>
      <c r="AB2039" s="2"/>
      <c r="AC2039" s="2"/>
      <c r="AD2039" s="2"/>
      <c r="AE2039" s="2"/>
      <c r="AF2039" s="2"/>
      <c r="AG2039" s="2"/>
      <c r="AH2039" s="2"/>
      <c r="AI2039" s="2"/>
    </row>
    <row r="2040" spans="1:35" ht="14.25" customHeight="1" x14ac:dyDescent="0.2">
      <c r="A2040" s="1">
        <v>49283</v>
      </c>
      <c r="B2040" s="1" t="s">
        <v>1395</v>
      </c>
      <c r="C2040" s="1" t="s">
        <v>30</v>
      </c>
      <c r="D2040" s="2">
        <v>41984</v>
      </c>
      <c r="E2040" s="1" t="s">
        <v>31</v>
      </c>
      <c r="F2040" s="1" t="s">
        <v>1567</v>
      </c>
      <c r="G2040" s="1">
        <v>25</v>
      </c>
      <c r="H2040" s="1">
        <v>12.28</v>
      </c>
      <c r="I2040" s="1">
        <f t="shared" si="93"/>
        <v>307</v>
      </c>
      <c r="J2040" t="str">
        <f t="shared" si="94"/>
        <v>Low</v>
      </c>
      <c r="K2040" s="1"/>
      <c r="L2040" s="1">
        <v>0.01</v>
      </c>
      <c r="M2040" s="1">
        <v>6.47</v>
      </c>
      <c r="N2040" s="1" t="s">
        <v>33</v>
      </c>
      <c r="O2040" s="1" t="s">
        <v>34</v>
      </c>
      <c r="P2040" s="2">
        <v>41985</v>
      </c>
      <c r="Q2040" s="2" t="b">
        <f t="shared" si="95"/>
        <v>0</v>
      </c>
      <c r="V2040" s="2"/>
      <c r="W2040" s="2"/>
      <c r="X2040" s="2"/>
      <c r="Y2040" s="2"/>
      <c r="Z2040" s="2"/>
      <c r="AA2040" s="2"/>
      <c r="AB2040" s="2"/>
      <c r="AC2040" s="2"/>
      <c r="AD2040" s="2"/>
      <c r="AE2040" s="2"/>
      <c r="AF2040" s="2"/>
      <c r="AG2040" s="2"/>
      <c r="AH2040" s="2"/>
      <c r="AI2040" s="2"/>
    </row>
    <row r="2041" spans="1:35" ht="14.25" customHeight="1" x14ac:dyDescent="0.2">
      <c r="A2041" s="1">
        <v>39076</v>
      </c>
      <c r="B2041" s="1" t="s">
        <v>744</v>
      </c>
      <c r="C2041" s="1" t="s">
        <v>51</v>
      </c>
      <c r="D2041" s="2">
        <v>41984</v>
      </c>
      <c r="E2041" s="1" t="s">
        <v>38</v>
      </c>
      <c r="F2041" s="1" t="s">
        <v>1096</v>
      </c>
      <c r="G2041" s="1">
        <v>41</v>
      </c>
      <c r="H2041" s="1">
        <v>5.28</v>
      </c>
      <c r="I2041" s="1">
        <f t="shared" si="93"/>
        <v>216.48000000000002</v>
      </c>
      <c r="J2041" t="str">
        <f t="shared" si="94"/>
        <v>Low</v>
      </c>
      <c r="K2041" s="1"/>
      <c r="L2041" s="1">
        <v>0.02</v>
      </c>
      <c r="M2041" s="1">
        <v>6.26</v>
      </c>
      <c r="N2041" s="1" t="s">
        <v>33</v>
      </c>
      <c r="O2041" s="1" t="s">
        <v>34</v>
      </c>
      <c r="P2041" s="2">
        <v>41985</v>
      </c>
      <c r="Q2041" s="2" t="b">
        <f t="shared" si="95"/>
        <v>0</v>
      </c>
      <c r="V2041" s="2"/>
      <c r="W2041" s="2"/>
      <c r="X2041" s="2"/>
      <c r="Y2041" s="2"/>
      <c r="Z2041" s="2"/>
      <c r="AA2041" s="2"/>
      <c r="AB2041" s="2"/>
      <c r="AC2041" s="2"/>
      <c r="AD2041" s="2"/>
      <c r="AE2041" s="2"/>
      <c r="AF2041" s="2"/>
      <c r="AG2041" s="2"/>
      <c r="AH2041" s="2"/>
      <c r="AI2041" s="2"/>
    </row>
    <row r="2042" spans="1:35" ht="14.25" customHeight="1" x14ac:dyDescent="0.2">
      <c r="A2042" s="1">
        <v>2818</v>
      </c>
      <c r="B2042" s="1" t="s">
        <v>1430</v>
      </c>
      <c r="C2042" s="1" t="s">
        <v>51</v>
      </c>
      <c r="D2042" s="2">
        <v>41984</v>
      </c>
      <c r="E2042" s="1" t="s">
        <v>101</v>
      </c>
      <c r="F2042" s="1" t="s">
        <v>1053</v>
      </c>
      <c r="G2042" s="1">
        <v>37</v>
      </c>
      <c r="H2042" s="1">
        <v>15.68</v>
      </c>
      <c r="I2042" s="1">
        <f t="shared" si="93"/>
        <v>580.16</v>
      </c>
      <c r="J2042" t="str">
        <f t="shared" si="94"/>
        <v>Low</v>
      </c>
      <c r="K2042" s="1"/>
      <c r="L2042" s="1">
        <v>0.05</v>
      </c>
      <c r="M2042" s="1">
        <v>3.73</v>
      </c>
      <c r="N2042" s="1" t="s">
        <v>33</v>
      </c>
      <c r="O2042" s="1" t="s">
        <v>84</v>
      </c>
      <c r="P2042" s="2">
        <v>41986</v>
      </c>
      <c r="Q2042" s="2" t="b">
        <f t="shared" si="95"/>
        <v>0</v>
      </c>
      <c r="V2042" s="2"/>
      <c r="W2042" s="2"/>
      <c r="X2042" s="2"/>
      <c r="Y2042" s="2"/>
      <c r="Z2042" s="2"/>
      <c r="AA2042" s="2"/>
      <c r="AB2042" s="2"/>
      <c r="AC2042" s="2"/>
      <c r="AD2042" s="2"/>
      <c r="AE2042" s="2"/>
      <c r="AF2042" s="2"/>
      <c r="AG2042" s="2"/>
      <c r="AH2042" s="2"/>
      <c r="AI2042" s="2"/>
    </row>
    <row r="2043" spans="1:35" ht="14.25" customHeight="1" x14ac:dyDescent="0.2">
      <c r="A2043" s="1">
        <v>2818</v>
      </c>
      <c r="B2043" s="1" t="s">
        <v>1430</v>
      </c>
      <c r="C2043" s="1" t="s">
        <v>30</v>
      </c>
      <c r="D2043" s="2">
        <v>41984</v>
      </c>
      <c r="E2043" s="1" t="s">
        <v>101</v>
      </c>
      <c r="F2043" s="1" t="s">
        <v>1383</v>
      </c>
      <c r="G2043" s="1">
        <v>39</v>
      </c>
      <c r="H2043" s="1">
        <v>14.98</v>
      </c>
      <c r="I2043" s="1">
        <f t="shared" si="93"/>
        <v>584.22</v>
      </c>
      <c r="J2043" t="str">
        <f t="shared" si="94"/>
        <v>Low</v>
      </c>
      <c r="K2043" s="1"/>
      <c r="L2043" s="1">
        <v>0</v>
      </c>
      <c r="M2043" s="1">
        <v>8.99</v>
      </c>
      <c r="N2043" s="1" t="s">
        <v>33</v>
      </c>
      <c r="O2043" s="1" t="s">
        <v>84</v>
      </c>
      <c r="P2043" s="2">
        <v>41985</v>
      </c>
      <c r="Q2043" s="2" t="b">
        <f t="shared" si="95"/>
        <v>0</v>
      </c>
      <c r="V2043" s="2"/>
      <c r="W2043" s="2"/>
      <c r="X2043" s="2"/>
      <c r="Y2043" s="2"/>
      <c r="Z2043" s="2"/>
      <c r="AA2043" s="2"/>
      <c r="AB2043" s="2"/>
      <c r="AC2043" s="2"/>
      <c r="AD2043" s="2"/>
      <c r="AE2043" s="2"/>
      <c r="AF2043" s="2"/>
      <c r="AG2043" s="2"/>
      <c r="AH2043" s="2"/>
      <c r="AI2043" s="2"/>
    </row>
    <row r="2044" spans="1:35" ht="14.25" customHeight="1" x14ac:dyDescent="0.2">
      <c r="A2044" s="1">
        <v>2818</v>
      </c>
      <c r="B2044" s="1" t="s">
        <v>1430</v>
      </c>
      <c r="C2044" s="1" t="s">
        <v>51</v>
      </c>
      <c r="D2044" s="2">
        <v>41984</v>
      </c>
      <c r="E2044" s="1" t="s">
        <v>101</v>
      </c>
      <c r="F2044" s="1" t="s">
        <v>1619</v>
      </c>
      <c r="G2044" s="1">
        <v>2</v>
      </c>
      <c r="H2044" s="1">
        <v>38.76</v>
      </c>
      <c r="I2044" s="1">
        <f t="shared" si="93"/>
        <v>77.52</v>
      </c>
      <c r="J2044" t="str">
        <f t="shared" si="94"/>
        <v>Low</v>
      </c>
      <c r="K2044" s="1"/>
      <c r="L2044" s="1">
        <v>0.02</v>
      </c>
      <c r="M2044" s="1">
        <v>13.26</v>
      </c>
      <c r="N2044" s="1" t="s">
        <v>33</v>
      </c>
      <c r="O2044" s="1" t="s">
        <v>34</v>
      </c>
      <c r="P2044" s="2">
        <v>41985</v>
      </c>
      <c r="Q2044" s="2" t="b">
        <f t="shared" si="95"/>
        <v>0</v>
      </c>
      <c r="V2044" s="2"/>
      <c r="W2044" s="2"/>
      <c r="X2044" s="2"/>
      <c r="Y2044" s="2"/>
      <c r="Z2044" s="2"/>
      <c r="AA2044" s="2"/>
      <c r="AB2044" s="2"/>
      <c r="AC2044" s="2"/>
      <c r="AD2044" s="2"/>
      <c r="AE2044" s="2"/>
      <c r="AF2044" s="2"/>
      <c r="AG2044" s="2"/>
      <c r="AH2044" s="2"/>
      <c r="AI2044" s="2"/>
    </row>
    <row r="2045" spans="1:35" ht="14.25" customHeight="1" x14ac:dyDescent="0.2">
      <c r="A2045" s="1">
        <v>7527</v>
      </c>
      <c r="B2045" s="1" t="s">
        <v>603</v>
      </c>
      <c r="C2045" s="1" t="s">
        <v>30</v>
      </c>
      <c r="D2045" s="2">
        <v>41984</v>
      </c>
      <c r="E2045" s="1" t="s">
        <v>101</v>
      </c>
      <c r="F2045" s="1" t="s">
        <v>1053</v>
      </c>
      <c r="G2045" s="1">
        <v>37</v>
      </c>
      <c r="H2045" s="1">
        <v>15.68</v>
      </c>
      <c r="I2045" s="1">
        <f t="shared" si="93"/>
        <v>580.16</v>
      </c>
      <c r="J2045" t="str">
        <f t="shared" si="94"/>
        <v>Low</v>
      </c>
      <c r="K2045" s="1"/>
      <c r="L2045" s="1">
        <v>0.05</v>
      </c>
      <c r="M2045" s="1">
        <v>3.73</v>
      </c>
      <c r="N2045" s="1" t="s">
        <v>33</v>
      </c>
      <c r="O2045" s="1" t="s">
        <v>84</v>
      </c>
      <c r="P2045" s="2">
        <v>41985</v>
      </c>
      <c r="Q2045" s="2" t="b">
        <f t="shared" si="95"/>
        <v>0</v>
      </c>
      <c r="V2045" s="2"/>
      <c r="W2045" s="2"/>
      <c r="X2045" s="2"/>
      <c r="Y2045" s="2"/>
      <c r="Z2045" s="2"/>
      <c r="AA2045" s="2"/>
      <c r="AB2045" s="2"/>
      <c r="AC2045" s="2"/>
      <c r="AD2045" s="2"/>
      <c r="AE2045" s="2"/>
      <c r="AF2045" s="2"/>
      <c r="AG2045" s="2"/>
      <c r="AH2045" s="2"/>
      <c r="AI2045" s="2"/>
    </row>
    <row r="2046" spans="1:35" ht="14.25" customHeight="1" x14ac:dyDescent="0.2">
      <c r="A2046" s="1">
        <v>7527</v>
      </c>
      <c r="B2046" s="1" t="s">
        <v>603</v>
      </c>
      <c r="C2046" s="1" t="s">
        <v>30</v>
      </c>
      <c r="D2046" s="2">
        <v>41984</v>
      </c>
      <c r="E2046" s="1" t="s">
        <v>101</v>
      </c>
      <c r="F2046" s="1" t="s">
        <v>1620</v>
      </c>
      <c r="G2046" s="1">
        <v>42</v>
      </c>
      <c r="H2046" s="1">
        <v>195.99</v>
      </c>
      <c r="I2046" s="1">
        <f t="shared" si="93"/>
        <v>8231.58</v>
      </c>
      <c r="J2046" t="str">
        <f t="shared" si="94"/>
        <v>High</v>
      </c>
      <c r="K2046" s="1"/>
      <c r="L2046" s="1">
        <v>0.02</v>
      </c>
      <c r="M2046" s="1">
        <v>4.2</v>
      </c>
      <c r="N2046" s="1" t="s">
        <v>33</v>
      </c>
      <c r="O2046" s="1" t="s">
        <v>34</v>
      </c>
      <c r="P2046" s="2">
        <v>41985</v>
      </c>
      <c r="Q2046" s="2" t="b">
        <f t="shared" si="95"/>
        <v>0</v>
      </c>
      <c r="V2046" s="2"/>
      <c r="W2046" s="2"/>
      <c r="X2046" s="2"/>
      <c r="Y2046" s="2"/>
      <c r="Z2046" s="2"/>
      <c r="AA2046" s="2"/>
      <c r="AB2046" s="2"/>
      <c r="AC2046" s="2"/>
      <c r="AD2046" s="2"/>
      <c r="AE2046" s="2"/>
      <c r="AF2046" s="2"/>
      <c r="AG2046" s="2"/>
      <c r="AH2046" s="2"/>
      <c r="AI2046" s="2"/>
    </row>
    <row r="2047" spans="1:35" ht="14.25" customHeight="1" x14ac:dyDescent="0.2">
      <c r="A2047" s="1">
        <v>29857</v>
      </c>
      <c r="B2047" s="1" t="s">
        <v>1621</v>
      </c>
      <c r="C2047" s="1" t="s">
        <v>30</v>
      </c>
      <c r="D2047" s="2">
        <v>41985</v>
      </c>
      <c r="E2047" s="1" t="s">
        <v>101</v>
      </c>
      <c r="F2047" s="1" t="s">
        <v>883</v>
      </c>
      <c r="G2047" s="1">
        <v>41</v>
      </c>
      <c r="H2047" s="1">
        <v>140.97999999999999</v>
      </c>
      <c r="I2047" s="1">
        <f t="shared" si="93"/>
        <v>5780.1799999999994</v>
      </c>
      <c r="J2047" t="str">
        <f t="shared" si="94"/>
        <v>High</v>
      </c>
      <c r="K2047" s="1"/>
      <c r="L2047" s="1">
        <v>7.0000000000000007E-2</v>
      </c>
      <c r="M2047" s="1">
        <v>36.090000000000003</v>
      </c>
      <c r="N2047" s="1" t="s">
        <v>45</v>
      </c>
      <c r="O2047" s="1" t="s">
        <v>63</v>
      </c>
      <c r="P2047" s="2">
        <v>41987</v>
      </c>
      <c r="Q2047" s="2" t="b">
        <f t="shared" si="95"/>
        <v>0</v>
      </c>
      <c r="V2047" s="2"/>
      <c r="W2047" s="2"/>
      <c r="X2047" s="2"/>
      <c r="Y2047" s="2"/>
      <c r="Z2047" s="2"/>
      <c r="AA2047" s="2"/>
      <c r="AB2047" s="2"/>
      <c r="AC2047" s="2"/>
      <c r="AD2047" s="2"/>
      <c r="AE2047" s="2"/>
      <c r="AF2047" s="2"/>
      <c r="AG2047" s="2"/>
      <c r="AH2047" s="2"/>
      <c r="AI2047" s="2"/>
    </row>
    <row r="2048" spans="1:35" ht="14.25" customHeight="1" x14ac:dyDescent="0.2">
      <c r="A2048" s="1">
        <v>35364</v>
      </c>
      <c r="B2048" s="1" t="s">
        <v>1622</v>
      </c>
      <c r="C2048" s="1" t="s">
        <v>51</v>
      </c>
      <c r="D2048" s="2">
        <v>41985</v>
      </c>
      <c r="E2048" s="1" t="s">
        <v>38</v>
      </c>
      <c r="F2048" s="1" t="s">
        <v>1623</v>
      </c>
      <c r="G2048" s="1">
        <v>16</v>
      </c>
      <c r="H2048" s="1">
        <v>4.28</v>
      </c>
      <c r="I2048" s="1">
        <f t="shared" si="93"/>
        <v>68.48</v>
      </c>
      <c r="J2048" t="str">
        <f t="shared" si="94"/>
        <v>Low</v>
      </c>
      <c r="K2048" s="1"/>
      <c r="L2048" s="1">
        <v>0.04</v>
      </c>
      <c r="M2048" s="1">
        <v>5.68</v>
      </c>
      <c r="N2048" s="1" t="s">
        <v>33</v>
      </c>
      <c r="O2048" s="1" t="s">
        <v>34</v>
      </c>
      <c r="P2048" s="2">
        <v>41987</v>
      </c>
      <c r="Q2048" s="2" t="b">
        <f t="shared" si="95"/>
        <v>0</v>
      </c>
      <c r="V2048" s="2"/>
      <c r="W2048" s="2"/>
      <c r="X2048" s="2"/>
      <c r="Y2048" s="2"/>
      <c r="Z2048" s="2"/>
      <c r="AA2048" s="2"/>
      <c r="AB2048" s="2"/>
      <c r="AC2048" s="2"/>
      <c r="AD2048" s="2"/>
      <c r="AE2048" s="2"/>
      <c r="AF2048" s="2"/>
      <c r="AG2048" s="2"/>
      <c r="AH2048" s="2"/>
      <c r="AI2048" s="2"/>
    </row>
    <row r="2049" spans="1:35" ht="14.25" customHeight="1" x14ac:dyDescent="0.2">
      <c r="A2049" s="1">
        <v>35364</v>
      </c>
      <c r="B2049" s="1" t="s">
        <v>1622</v>
      </c>
      <c r="C2049" s="1" t="s">
        <v>51</v>
      </c>
      <c r="D2049" s="2">
        <v>41985</v>
      </c>
      <c r="E2049" s="1" t="s">
        <v>38</v>
      </c>
      <c r="F2049" s="1" t="s">
        <v>330</v>
      </c>
      <c r="G2049" s="1">
        <v>29</v>
      </c>
      <c r="H2049" s="1">
        <v>376.13</v>
      </c>
      <c r="I2049" s="1">
        <f t="shared" si="93"/>
        <v>10907.77</v>
      </c>
      <c r="J2049" t="str">
        <f t="shared" si="94"/>
        <v>High</v>
      </c>
      <c r="K2049" s="1"/>
      <c r="L2049" s="1">
        <v>0.06</v>
      </c>
      <c r="M2049" s="1">
        <v>85.63</v>
      </c>
      <c r="N2049" s="1" t="s">
        <v>45</v>
      </c>
      <c r="O2049" s="1" t="s">
        <v>63</v>
      </c>
      <c r="P2049" s="2">
        <v>41987</v>
      </c>
      <c r="Q2049" s="2" t="b">
        <f t="shared" si="95"/>
        <v>0</v>
      </c>
      <c r="V2049" s="2"/>
      <c r="W2049" s="2"/>
      <c r="X2049" s="2"/>
      <c r="Y2049" s="2"/>
      <c r="Z2049" s="2"/>
      <c r="AA2049" s="2"/>
      <c r="AB2049" s="2"/>
      <c r="AC2049" s="2"/>
      <c r="AD2049" s="2"/>
      <c r="AE2049" s="2"/>
      <c r="AF2049" s="2"/>
      <c r="AG2049" s="2"/>
      <c r="AH2049" s="2"/>
      <c r="AI2049" s="2"/>
    </row>
    <row r="2050" spans="1:35" ht="14.25" customHeight="1" x14ac:dyDescent="0.2">
      <c r="A2050" s="1">
        <v>35364</v>
      </c>
      <c r="B2050" s="1" t="s">
        <v>1622</v>
      </c>
      <c r="C2050" s="1" t="s">
        <v>51</v>
      </c>
      <c r="D2050" s="2">
        <v>41985</v>
      </c>
      <c r="E2050" s="1" t="s">
        <v>38</v>
      </c>
      <c r="F2050" s="1" t="s">
        <v>1283</v>
      </c>
      <c r="G2050" s="1">
        <v>37</v>
      </c>
      <c r="H2050" s="1">
        <v>424.21</v>
      </c>
      <c r="I2050" s="1">
        <f t="shared" ref="I2050:I2113" si="96">G2050*H2050</f>
        <v>15695.769999999999</v>
      </c>
      <c r="J2050" t="str">
        <f t="shared" ref="J2050:J2113" si="97">IF(I2050&lt;1000,"Low","High")</f>
        <v>High</v>
      </c>
      <c r="K2050" s="1"/>
      <c r="L2050" s="1">
        <v>0.06</v>
      </c>
      <c r="M2050" s="1">
        <v>110.2</v>
      </c>
      <c r="N2050" s="1" t="s">
        <v>45</v>
      </c>
      <c r="O2050" s="1" t="s">
        <v>63</v>
      </c>
      <c r="P2050" s="2">
        <v>41986</v>
      </c>
      <c r="Q2050" s="2" t="b">
        <f t="shared" ref="Q2050:Q2113" si="98">AND(N2050="Express Air",O2050="Large Box")</f>
        <v>0</v>
      </c>
      <c r="V2050" s="2"/>
      <c r="W2050" s="2"/>
      <c r="X2050" s="2"/>
      <c r="Y2050" s="2"/>
      <c r="Z2050" s="2"/>
      <c r="AA2050" s="2"/>
      <c r="AB2050" s="2"/>
      <c r="AC2050" s="2"/>
      <c r="AD2050" s="2"/>
      <c r="AE2050" s="2"/>
      <c r="AF2050" s="2"/>
      <c r="AG2050" s="2"/>
      <c r="AH2050" s="2"/>
      <c r="AI2050" s="2"/>
    </row>
    <row r="2051" spans="1:35" ht="14.25" customHeight="1" x14ac:dyDescent="0.2">
      <c r="A2051" s="1">
        <v>35364</v>
      </c>
      <c r="B2051" s="1" t="s">
        <v>1622</v>
      </c>
      <c r="C2051" s="1" t="s">
        <v>51</v>
      </c>
      <c r="D2051" s="2">
        <v>41985</v>
      </c>
      <c r="E2051" s="1" t="s">
        <v>38</v>
      </c>
      <c r="F2051" s="1" t="s">
        <v>536</v>
      </c>
      <c r="G2051" s="1">
        <v>8</v>
      </c>
      <c r="H2051" s="1">
        <v>195.99</v>
      </c>
      <c r="I2051" s="1">
        <f t="shared" si="96"/>
        <v>1567.92</v>
      </c>
      <c r="J2051" t="str">
        <f t="shared" si="97"/>
        <v>High</v>
      </c>
      <c r="K2051" s="1"/>
      <c r="L2051" s="1">
        <v>0.06</v>
      </c>
      <c r="M2051" s="1">
        <v>8.99</v>
      </c>
      <c r="N2051" s="1" t="s">
        <v>33</v>
      </c>
      <c r="O2051" s="1" t="s">
        <v>34</v>
      </c>
      <c r="P2051" s="2">
        <v>41987</v>
      </c>
      <c r="Q2051" s="2" t="b">
        <f t="shared" si="98"/>
        <v>0</v>
      </c>
      <c r="V2051" s="2"/>
      <c r="W2051" s="2"/>
      <c r="X2051" s="2"/>
      <c r="Y2051" s="2"/>
      <c r="Z2051" s="2"/>
      <c r="AA2051" s="2"/>
      <c r="AB2051" s="2"/>
      <c r="AC2051" s="2"/>
      <c r="AD2051" s="2"/>
      <c r="AE2051" s="2"/>
      <c r="AF2051" s="2"/>
      <c r="AG2051" s="2"/>
      <c r="AH2051" s="2"/>
      <c r="AI2051" s="2"/>
    </row>
    <row r="2052" spans="1:35" ht="14.25" customHeight="1" x14ac:dyDescent="0.2">
      <c r="A2052" s="1">
        <v>21091</v>
      </c>
      <c r="B2052" s="1" t="s">
        <v>57</v>
      </c>
      <c r="C2052" s="1" t="s">
        <v>30</v>
      </c>
      <c r="D2052" s="2">
        <v>41985</v>
      </c>
      <c r="E2052" s="1" t="s">
        <v>31</v>
      </c>
      <c r="F2052" s="1" t="s">
        <v>1195</v>
      </c>
      <c r="G2052" s="1">
        <v>32</v>
      </c>
      <c r="H2052" s="1">
        <v>8.8800000000000008</v>
      </c>
      <c r="I2052" s="1">
        <f t="shared" si="96"/>
        <v>284.16000000000003</v>
      </c>
      <c r="J2052" t="str">
        <f t="shared" si="97"/>
        <v>Low</v>
      </c>
      <c r="K2052" s="1"/>
      <c r="L2052" s="1">
        <v>0.1</v>
      </c>
      <c r="M2052" s="1">
        <v>6.28</v>
      </c>
      <c r="N2052" s="1" t="s">
        <v>25</v>
      </c>
      <c r="O2052" s="1" t="s">
        <v>34</v>
      </c>
      <c r="P2052" s="2">
        <v>41987</v>
      </c>
      <c r="Q2052" s="2" t="b">
        <f t="shared" si="98"/>
        <v>0</v>
      </c>
      <c r="V2052" s="2"/>
      <c r="W2052" s="2"/>
      <c r="X2052" s="2"/>
      <c r="Y2052" s="2"/>
      <c r="Z2052" s="2"/>
      <c r="AA2052" s="2"/>
      <c r="AB2052" s="2"/>
      <c r="AC2052" s="2"/>
      <c r="AD2052" s="2"/>
      <c r="AE2052" s="2"/>
      <c r="AF2052" s="2"/>
      <c r="AG2052" s="2"/>
      <c r="AH2052" s="2"/>
      <c r="AI2052" s="2"/>
    </row>
    <row r="2053" spans="1:35" ht="14.25" customHeight="1" x14ac:dyDescent="0.2">
      <c r="A2053" s="1">
        <v>12224</v>
      </c>
      <c r="B2053" s="1" t="s">
        <v>145</v>
      </c>
      <c r="C2053" s="1" t="s">
        <v>21</v>
      </c>
      <c r="D2053" s="2">
        <v>41985</v>
      </c>
      <c r="E2053" s="1" t="s">
        <v>31</v>
      </c>
      <c r="F2053" s="1" t="s">
        <v>1317</v>
      </c>
      <c r="G2053" s="1">
        <v>2</v>
      </c>
      <c r="H2053" s="1">
        <v>124.49</v>
      </c>
      <c r="I2053" s="1">
        <f t="shared" si="96"/>
        <v>248.98</v>
      </c>
      <c r="J2053" t="str">
        <f t="shared" si="97"/>
        <v>Low</v>
      </c>
      <c r="K2053" s="1"/>
      <c r="L2053" s="1">
        <v>0.04</v>
      </c>
      <c r="M2053" s="1">
        <v>51.94</v>
      </c>
      <c r="N2053" s="1" t="s">
        <v>45</v>
      </c>
      <c r="O2053" s="1" t="s">
        <v>63</v>
      </c>
      <c r="P2053" s="2">
        <v>41987</v>
      </c>
      <c r="Q2053" s="2" t="b">
        <f t="shared" si="98"/>
        <v>0</v>
      </c>
      <c r="V2053" s="2"/>
      <c r="W2053" s="2"/>
      <c r="X2053" s="2"/>
      <c r="Y2053" s="2"/>
      <c r="Z2053" s="2"/>
      <c r="AA2053" s="2"/>
      <c r="AB2053" s="2"/>
      <c r="AC2053" s="2"/>
      <c r="AD2053" s="2"/>
      <c r="AE2053" s="2"/>
      <c r="AF2053" s="2"/>
      <c r="AG2053" s="2"/>
      <c r="AH2053" s="2"/>
      <c r="AI2053" s="2"/>
    </row>
    <row r="2054" spans="1:35" ht="14.25" customHeight="1" x14ac:dyDescent="0.2">
      <c r="A2054" s="1">
        <v>12224</v>
      </c>
      <c r="B2054" s="1" t="s">
        <v>145</v>
      </c>
      <c r="C2054" s="1" t="s">
        <v>51</v>
      </c>
      <c r="D2054" s="2">
        <v>41985</v>
      </c>
      <c r="E2054" s="1" t="s">
        <v>31</v>
      </c>
      <c r="F2054" s="1" t="s">
        <v>1447</v>
      </c>
      <c r="G2054" s="1">
        <v>29</v>
      </c>
      <c r="H2054" s="1">
        <v>35.99</v>
      </c>
      <c r="I2054" s="1">
        <f t="shared" si="96"/>
        <v>1043.71</v>
      </c>
      <c r="J2054" t="str">
        <f t="shared" si="97"/>
        <v>High</v>
      </c>
      <c r="K2054" s="1"/>
      <c r="L2054" s="1">
        <v>0.1</v>
      </c>
      <c r="M2054" s="1">
        <v>5</v>
      </c>
      <c r="N2054" s="1" t="s">
        <v>33</v>
      </c>
      <c r="O2054" s="1" t="s">
        <v>55</v>
      </c>
      <c r="P2054" s="2">
        <v>41985</v>
      </c>
      <c r="Q2054" s="2" t="b">
        <f t="shared" si="98"/>
        <v>0</v>
      </c>
      <c r="V2054" s="2"/>
      <c r="W2054" s="2"/>
      <c r="X2054" s="2"/>
      <c r="Y2054" s="2"/>
      <c r="Z2054" s="2"/>
      <c r="AA2054" s="2"/>
      <c r="AB2054" s="2"/>
      <c r="AC2054" s="2"/>
      <c r="AD2054" s="2"/>
      <c r="AE2054" s="2"/>
      <c r="AF2054" s="2"/>
      <c r="AG2054" s="2"/>
      <c r="AH2054" s="2"/>
      <c r="AI2054" s="2"/>
    </row>
    <row r="2055" spans="1:35" ht="14.25" customHeight="1" x14ac:dyDescent="0.2">
      <c r="A2055" s="1">
        <v>36999</v>
      </c>
      <c r="B2055" s="1" t="s">
        <v>1244</v>
      </c>
      <c r="C2055" s="1" t="s">
        <v>51</v>
      </c>
      <c r="D2055" s="2">
        <v>41985</v>
      </c>
      <c r="E2055" s="1" t="s">
        <v>101</v>
      </c>
      <c r="F2055" s="1" t="s">
        <v>1339</v>
      </c>
      <c r="G2055" s="1">
        <v>28</v>
      </c>
      <c r="H2055" s="1">
        <v>549.99</v>
      </c>
      <c r="I2055" s="1">
        <f t="shared" si="96"/>
        <v>15399.720000000001</v>
      </c>
      <c r="J2055" t="str">
        <f t="shared" si="97"/>
        <v>High</v>
      </c>
      <c r="K2055" s="1"/>
      <c r="L2055" s="1">
        <v>0.06</v>
      </c>
      <c r="M2055" s="1">
        <v>49</v>
      </c>
      <c r="N2055" s="1" t="s">
        <v>45</v>
      </c>
      <c r="O2055" s="1" t="s">
        <v>46</v>
      </c>
      <c r="P2055" s="2">
        <v>41986</v>
      </c>
      <c r="Q2055" s="2" t="b">
        <f t="shared" si="98"/>
        <v>0</v>
      </c>
      <c r="V2055" s="2"/>
      <c r="W2055" s="2"/>
      <c r="X2055" s="2"/>
      <c r="Y2055" s="2"/>
      <c r="Z2055" s="2"/>
      <c r="AA2055" s="2"/>
      <c r="AB2055" s="2"/>
      <c r="AC2055" s="2"/>
      <c r="AD2055" s="2"/>
      <c r="AE2055" s="2"/>
      <c r="AF2055" s="2"/>
      <c r="AG2055" s="2"/>
      <c r="AH2055" s="2"/>
      <c r="AI2055" s="2"/>
    </row>
    <row r="2056" spans="1:35" ht="14.25" customHeight="1" x14ac:dyDescent="0.2">
      <c r="A2056" s="1">
        <v>36999</v>
      </c>
      <c r="B2056" s="1" t="s">
        <v>1244</v>
      </c>
      <c r="C2056" s="1" t="s">
        <v>30</v>
      </c>
      <c r="D2056" s="2">
        <v>41985</v>
      </c>
      <c r="E2056" s="1" t="s">
        <v>101</v>
      </c>
      <c r="F2056" s="1" t="s">
        <v>1624</v>
      </c>
      <c r="G2056" s="1">
        <v>3</v>
      </c>
      <c r="H2056" s="1">
        <v>115.99</v>
      </c>
      <c r="I2056" s="1">
        <f t="shared" si="96"/>
        <v>347.96999999999997</v>
      </c>
      <c r="J2056" t="str">
        <f t="shared" si="97"/>
        <v>Low</v>
      </c>
      <c r="K2056" s="1"/>
      <c r="L2056" s="1">
        <v>0.08</v>
      </c>
      <c r="M2056" s="1">
        <v>5.99</v>
      </c>
      <c r="N2056" s="1" t="s">
        <v>25</v>
      </c>
      <c r="O2056" s="1" t="s">
        <v>34</v>
      </c>
      <c r="P2056" s="2">
        <v>41986</v>
      </c>
      <c r="Q2056" s="2" t="b">
        <f t="shared" si="98"/>
        <v>0</v>
      </c>
      <c r="V2056" s="2"/>
      <c r="W2056" s="2"/>
      <c r="X2056" s="2"/>
      <c r="Y2056" s="2"/>
      <c r="Z2056" s="2"/>
      <c r="AA2056" s="2"/>
      <c r="AB2056" s="2"/>
      <c r="AC2056" s="2"/>
      <c r="AD2056" s="2"/>
      <c r="AE2056" s="2"/>
      <c r="AF2056" s="2"/>
      <c r="AG2056" s="2"/>
      <c r="AH2056" s="2"/>
      <c r="AI2056" s="2"/>
    </row>
    <row r="2057" spans="1:35" ht="14.25" customHeight="1" x14ac:dyDescent="0.2">
      <c r="A2057" s="1">
        <v>52391</v>
      </c>
      <c r="B2057" s="1" t="s">
        <v>566</v>
      </c>
      <c r="C2057" s="1" t="s">
        <v>51</v>
      </c>
      <c r="D2057" s="2">
        <v>41985</v>
      </c>
      <c r="E2057" s="1" t="s">
        <v>31</v>
      </c>
      <c r="F2057" s="1" t="s">
        <v>1625</v>
      </c>
      <c r="G2057" s="1">
        <v>36</v>
      </c>
      <c r="H2057" s="1">
        <v>29.14</v>
      </c>
      <c r="I2057" s="1">
        <f t="shared" si="96"/>
        <v>1049.04</v>
      </c>
      <c r="J2057" t="str">
        <f t="shared" si="97"/>
        <v>High</v>
      </c>
      <c r="K2057" s="1"/>
      <c r="L2057" s="1">
        <v>0.04</v>
      </c>
      <c r="M2057" s="1">
        <v>4.8600000000000003</v>
      </c>
      <c r="N2057" s="1" t="s">
        <v>33</v>
      </c>
      <c r="O2057" s="1" t="s">
        <v>55</v>
      </c>
      <c r="P2057" s="2">
        <v>41987</v>
      </c>
      <c r="Q2057" s="2" t="b">
        <f t="shared" si="98"/>
        <v>0</v>
      </c>
      <c r="V2057" s="2"/>
      <c r="W2057" s="2"/>
      <c r="X2057" s="2"/>
      <c r="Y2057" s="2"/>
      <c r="Z2057" s="2"/>
      <c r="AA2057" s="2"/>
      <c r="AB2057" s="2"/>
      <c r="AC2057" s="2"/>
      <c r="AD2057" s="2"/>
      <c r="AE2057" s="2"/>
      <c r="AF2057" s="2"/>
      <c r="AG2057" s="2"/>
      <c r="AH2057" s="2"/>
      <c r="AI2057" s="2"/>
    </row>
    <row r="2058" spans="1:35" ht="14.25" customHeight="1" x14ac:dyDescent="0.2">
      <c r="A2058" s="1">
        <v>52391</v>
      </c>
      <c r="B2058" s="1" t="s">
        <v>566</v>
      </c>
      <c r="C2058" s="1" t="s">
        <v>51</v>
      </c>
      <c r="D2058" s="2">
        <v>41985</v>
      </c>
      <c r="E2058" s="1" t="s">
        <v>31</v>
      </c>
      <c r="F2058" s="1" t="s">
        <v>714</v>
      </c>
      <c r="G2058" s="1">
        <v>39</v>
      </c>
      <c r="H2058" s="1">
        <v>20.89</v>
      </c>
      <c r="I2058" s="1">
        <f t="shared" si="96"/>
        <v>814.71</v>
      </c>
      <c r="J2058" t="str">
        <f t="shared" si="97"/>
        <v>Low</v>
      </c>
      <c r="K2058" s="1"/>
      <c r="L2058" s="1">
        <v>0.02</v>
      </c>
      <c r="M2058" s="1">
        <v>11.52</v>
      </c>
      <c r="N2058" s="1" t="s">
        <v>33</v>
      </c>
      <c r="O2058" s="1" t="s">
        <v>34</v>
      </c>
      <c r="P2058" s="2">
        <v>41987</v>
      </c>
      <c r="Q2058" s="2" t="b">
        <f t="shared" si="98"/>
        <v>0</v>
      </c>
      <c r="V2058" s="2"/>
      <c r="W2058" s="2"/>
      <c r="X2058" s="2"/>
      <c r="Y2058" s="2"/>
      <c r="Z2058" s="2"/>
      <c r="AA2058" s="2"/>
      <c r="AB2058" s="2"/>
      <c r="AC2058" s="2"/>
      <c r="AD2058" s="2"/>
      <c r="AE2058" s="2"/>
      <c r="AF2058" s="2"/>
      <c r="AG2058" s="2"/>
      <c r="AH2058" s="2"/>
      <c r="AI2058" s="2"/>
    </row>
    <row r="2059" spans="1:35" ht="14.25" customHeight="1" x14ac:dyDescent="0.2">
      <c r="A2059" s="1">
        <v>28037</v>
      </c>
      <c r="B2059" s="1" t="s">
        <v>597</v>
      </c>
      <c r="C2059" s="1" t="s">
        <v>51</v>
      </c>
      <c r="D2059" s="2">
        <v>41985</v>
      </c>
      <c r="E2059" s="1" t="s">
        <v>31</v>
      </c>
      <c r="F2059" s="1" t="s">
        <v>394</v>
      </c>
      <c r="G2059" s="1">
        <v>31</v>
      </c>
      <c r="H2059" s="1">
        <v>6.68</v>
      </c>
      <c r="I2059" s="1">
        <f t="shared" si="96"/>
        <v>207.07999999999998</v>
      </c>
      <c r="J2059" t="str">
        <f t="shared" si="97"/>
        <v>Low</v>
      </c>
      <c r="K2059" s="1"/>
      <c r="L2059" s="1">
        <v>0.06</v>
      </c>
      <c r="M2059" s="1">
        <v>6.93</v>
      </c>
      <c r="N2059" s="1" t="s">
        <v>33</v>
      </c>
      <c r="O2059" s="1" t="s">
        <v>34</v>
      </c>
      <c r="P2059" s="2">
        <v>41986</v>
      </c>
      <c r="Q2059" s="2" t="b">
        <f t="shared" si="98"/>
        <v>0</v>
      </c>
      <c r="V2059" s="2"/>
      <c r="W2059" s="2"/>
      <c r="X2059" s="2"/>
      <c r="Y2059" s="2"/>
      <c r="Z2059" s="2"/>
      <c r="AA2059" s="2"/>
      <c r="AB2059" s="2"/>
      <c r="AC2059" s="2"/>
      <c r="AD2059" s="2"/>
      <c r="AE2059" s="2"/>
      <c r="AF2059" s="2"/>
      <c r="AG2059" s="2"/>
      <c r="AH2059" s="2"/>
      <c r="AI2059" s="2"/>
    </row>
    <row r="2060" spans="1:35" ht="14.25" customHeight="1" x14ac:dyDescent="0.2">
      <c r="A2060" s="1">
        <v>7845</v>
      </c>
      <c r="B2060" s="1" t="s">
        <v>1245</v>
      </c>
      <c r="C2060" s="1" t="s">
        <v>21</v>
      </c>
      <c r="D2060" s="2">
        <v>41986</v>
      </c>
      <c r="E2060" s="1" t="s">
        <v>38</v>
      </c>
      <c r="F2060" s="1" t="s">
        <v>747</v>
      </c>
      <c r="G2060" s="1">
        <v>22</v>
      </c>
      <c r="H2060" s="1">
        <v>4.91</v>
      </c>
      <c r="I2060" s="1">
        <f t="shared" si="96"/>
        <v>108.02000000000001</v>
      </c>
      <c r="J2060" t="str">
        <f t="shared" si="97"/>
        <v>Low</v>
      </c>
      <c r="K2060" s="1"/>
      <c r="L2060" s="1">
        <v>0.06</v>
      </c>
      <c r="M2060" s="1">
        <v>5.68</v>
      </c>
      <c r="N2060" s="1" t="s">
        <v>25</v>
      </c>
      <c r="O2060" s="1" t="s">
        <v>34</v>
      </c>
      <c r="P2060" s="2">
        <v>41986</v>
      </c>
      <c r="Q2060" s="2" t="b">
        <f t="shared" si="98"/>
        <v>0</v>
      </c>
      <c r="V2060" s="2"/>
      <c r="W2060" s="2"/>
      <c r="X2060" s="2"/>
      <c r="Y2060" s="2"/>
      <c r="Z2060" s="2"/>
      <c r="AA2060" s="2"/>
      <c r="AB2060" s="2"/>
      <c r="AC2060" s="2"/>
      <c r="AD2060" s="2"/>
      <c r="AE2060" s="2"/>
      <c r="AF2060" s="2"/>
      <c r="AG2060" s="2"/>
      <c r="AH2060" s="2"/>
      <c r="AI2060" s="2"/>
    </row>
    <row r="2061" spans="1:35" ht="14.25" customHeight="1" x14ac:dyDescent="0.2">
      <c r="A2061" s="1">
        <v>7845</v>
      </c>
      <c r="B2061" s="1" t="s">
        <v>1245</v>
      </c>
      <c r="C2061" s="1" t="s">
        <v>30</v>
      </c>
      <c r="D2061" s="2">
        <v>41986</v>
      </c>
      <c r="E2061" s="1" t="s">
        <v>38</v>
      </c>
      <c r="F2061" s="1" t="s">
        <v>1626</v>
      </c>
      <c r="G2061" s="1">
        <v>45</v>
      </c>
      <c r="H2061" s="1">
        <v>48.94</v>
      </c>
      <c r="I2061" s="1">
        <f t="shared" si="96"/>
        <v>2202.2999999999997</v>
      </c>
      <c r="J2061" t="str">
        <f t="shared" si="97"/>
        <v>High</v>
      </c>
      <c r="K2061" s="1"/>
      <c r="L2061" s="1">
        <v>7.0000000000000007E-2</v>
      </c>
      <c r="M2061" s="1">
        <v>5.86</v>
      </c>
      <c r="N2061" s="1" t="s">
        <v>25</v>
      </c>
      <c r="O2061" s="1" t="s">
        <v>34</v>
      </c>
      <c r="P2061" s="2">
        <v>41987</v>
      </c>
      <c r="Q2061" s="2" t="b">
        <f t="shared" si="98"/>
        <v>0</v>
      </c>
      <c r="V2061" s="2"/>
      <c r="W2061" s="2"/>
      <c r="X2061" s="2"/>
      <c r="Y2061" s="2"/>
      <c r="Z2061" s="2"/>
      <c r="AA2061" s="2"/>
      <c r="AB2061" s="2"/>
      <c r="AC2061" s="2"/>
      <c r="AD2061" s="2"/>
      <c r="AE2061" s="2"/>
      <c r="AF2061" s="2"/>
      <c r="AG2061" s="2"/>
      <c r="AH2061" s="2"/>
      <c r="AI2061" s="2"/>
    </row>
    <row r="2062" spans="1:35" ht="14.25" customHeight="1" x14ac:dyDescent="0.2">
      <c r="A2062" s="1">
        <v>16102</v>
      </c>
      <c r="B2062" s="1" t="s">
        <v>1328</v>
      </c>
      <c r="C2062" s="1" t="s">
        <v>51</v>
      </c>
      <c r="D2062" s="2">
        <v>41986</v>
      </c>
      <c r="E2062" s="1" t="s">
        <v>22</v>
      </c>
      <c r="F2062" s="1" t="s">
        <v>1265</v>
      </c>
      <c r="G2062" s="1">
        <v>25</v>
      </c>
      <c r="H2062" s="1">
        <v>500.98</v>
      </c>
      <c r="I2062" s="1">
        <f t="shared" si="96"/>
        <v>12524.5</v>
      </c>
      <c r="J2062" t="str">
        <f t="shared" si="97"/>
        <v>High</v>
      </c>
      <c r="K2062" s="1"/>
      <c r="L2062" s="1">
        <v>0.02</v>
      </c>
      <c r="M2062" s="1">
        <v>26</v>
      </c>
      <c r="N2062" s="1" t="s">
        <v>45</v>
      </c>
      <c r="O2062" s="1" t="s">
        <v>46</v>
      </c>
      <c r="P2062" s="2">
        <v>41988</v>
      </c>
      <c r="Q2062" s="2" t="b">
        <f t="shared" si="98"/>
        <v>0</v>
      </c>
      <c r="V2062" s="2"/>
      <c r="W2062" s="2"/>
      <c r="X2062" s="2"/>
      <c r="Y2062" s="2"/>
      <c r="Z2062" s="2"/>
      <c r="AA2062" s="2"/>
      <c r="AB2062" s="2"/>
      <c r="AC2062" s="2"/>
      <c r="AD2062" s="2"/>
      <c r="AE2062" s="2"/>
      <c r="AF2062" s="2"/>
      <c r="AG2062" s="2"/>
      <c r="AH2062" s="2"/>
      <c r="AI2062" s="2"/>
    </row>
    <row r="2063" spans="1:35" ht="14.25" customHeight="1" x14ac:dyDescent="0.2">
      <c r="A2063" s="1">
        <v>13120</v>
      </c>
      <c r="B2063" s="1" t="s">
        <v>367</v>
      </c>
      <c r="C2063" s="1" t="s">
        <v>21</v>
      </c>
      <c r="D2063" s="2">
        <v>41987</v>
      </c>
      <c r="E2063" s="1" t="s">
        <v>43</v>
      </c>
      <c r="F2063" s="1" t="s">
        <v>1597</v>
      </c>
      <c r="G2063" s="1">
        <v>46</v>
      </c>
      <c r="H2063" s="1">
        <v>12.95</v>
      </c>
      <c r="I2063" s="1">
        <f t="shared" si="96"/>
        <v>595.69999999999993</v>
      </c>
      <c r="J2063" t="str">
        <f t="shared" si="97"/>
        <v>Low</v>
      </c>
      <c r="K2063" s="1"/>
      <c r="L2063" s="1">
        <v>0.09</v>
      </c>
      <c r="M2063" s="1">
        <v>4.9800000000000004</v>
      </c>
      <c r="N2063" s="1" t="s">
        <v>33</v>
      </c>
      <c r="O2063" s="1" t="s">
        <v>34</v>
      </c>
      <c r="P2063" s="2">
        <v>41994</v>
      </c>
      <c r="Q2063" s="2" t="b">
        <f t="shared" si="98"/>
        <v>0</v>
      </c>
      <c r="V2063" s="2"/>
      <c r="W2063" s="2"/>
      <c r="X2063" s="2"/>
      <c r="Y2063" s="2"/>
      <c r="Z2063" s="2"/>
      <c r="AA2063" s="2"/>
      <c r="AB2063" s="2"/>
      <c r="AC2063" s="2"/>
      <c r="AD2063" s="2"/>
      <c r="AE2063" s="2"/>
      <c r="AF2063" s="2"/>
      <c r="AG2063" s="2"/>
      <c r="AH2063" s="2"/>
      <c r="AI2063" s="2"/>
    </row>
    <row r="2064" spans="1:35" ht="14.25" customHeight="1" x14ac:dyDescent="0.2">
      <c r="A2064" s="1">
        <v>13120</v>
      </c>
      <c r="B2064" s="1" t="s">
        <v>367</v>
      </c>
      <c r="C2064" s="1" t="s">
        <v>21</v>
      </c>
      <c r="D2064" s="2">
        <v>41987</v>
      </c>
      <c r="E2064" s="1" t="s">
        <v>43</v>
      </c>
      <c r="F2064" s="1" t="s">
        <v>659</v>
      </c>
      <c r="G2064" s="1">
        <v>8</v>
      </c>
      <c r="H2064" s="1">
        <v>24.92</v>
      </c>
      <c r="I2064" s="1">
        <f t="shared" si="96"/>
        <v>199.36</v>
      </c>
      <c r="J2064" t="str">
        <f t="shared" si="97"/>
        <v>Low</v>
      </c>
      <c r="K2064" s="1"/>
      <c r="L2064" s="1">
        <v>0</v>
      </c>
      <c r="M2064" s="1">
        <v>12.98</v>
      </c>
      <c r="N2064" s="1" t="s">
        <v>33</v>
      </c>
      <c r="O2064" s="1" t="s">
        <v>34</v>
      </c>
      <c r="P2064" s="2">
        <v>41987</v>
      </c>
      <c r="Q2064" s="2" t="b">
        <f t="shared" si="98"/>
        <v>0</v>
      </c>
      <c r="V2064" s="2"/>
      <c r="W2064" s="2"/>
      <c r="X2064" s="2"/>
      <c r="Y2064" s="2"/>
      <c r="Z2064" s="2"/>
      <c r="AA2064" s="2"/>
      <c r="AB2064" s="2"/>
      <c r="AC2064" s="2"/>
      <c r="AD2064" s="2"/>
      <c r="AE2064" s="2"/>
      <c r="AF2064" s="2"/>
      <c r="AG2064" s="2"/>
      <c r="AH2064" s="2"/>
      <c r="AI2064" s="2"/>
    </row>
    <row r="2065" spans="1:35" ht="14.25" customHeight="1" x14ac:dyDescent="0.2">
      <c r="A2065" s="1">
        <v>38882</v>
      </c>
      <c r="B2065" s="1" t="s">
        <v>1627</v>
      </c>
      <c r="C2065" s="1" t="s">
        <v>21</v>
      </c>
      <c r="D2065" s="2">
        <v>41987</v>
      </c>
      <c r="E2065" s="1" t="s">
        <v>38</v>
      </c>
      <c r="F2065" s="1" t="s">
        <v>375</v>
      </c>
      <c r="G2065" s="1">
        <v>37</v>
      </c>
      <c r="H2065" s="1">
        <v>122.99</v>
      </c>
      <c r="I2065" s="1">
        <f t="shared" si="96"/>
        <v>4550.63</v>
      </c>
      <c r="J2065" t="str">
        <f t="shared" si="97"/>
        <v>High</v>
      </c>
      <c r="K2065" s="1"/>
      <c r="L2065" s="1">
        <v>0.1</v>
      </c>
      <c r="M2065" s="1">
        <v>70.2</v>
      </c>
      <c r="N2065" s="1" t="s">
        <v>45</v>
      </c>
      <c r="O2065" s="1" t="s">
        <v>46</v>
      </c>
      <c r="P2065" s="2">
        <v>41988</v>
      </c>
      <c r="Q2065" s="2" t="b">
        <f t="shared" si="98"/>
        <v>0</v>
      </c>
      <c r="V2065" s="2"/>
      <c r="W2065" s="2"/>
      <c r="X2065" s="2"/>
      <c r="Y2065" s="2"/>
      <c r="Z2065" s="2"/>
      <c r="AA2065" s="2"/>
      <c r="AB2065" s="2"/>
      <c r="AC2065" s="2"/>
      <c r="AD2065" s="2"/>
      <c r="AE2065" s="2"/>
      <c r="AF2065" s="2"/>
      <c r="AG2065" s="2"/>
      <c r="AH2065" s="2"/>
      <c r="AI2065" s="2"/>
    </row>
    <row r="2066" spans="1:35" ht="14.25" customHeight="1" x14ac:dyDescent="0.2">
      <c r="A2066" s="1">
        <v>1891</v>
      </c>
      <c r="B2066" s="1" t="s">
        <v>1628</v>
      </c>
      <c r="C2066" s="1" t="s">
        <v>30</v>
      </c>
      <c r="D2066" s="2">
        <v>41987</v>
      </c>
      <c r="E2066" s="1" t="s">
        <v>43</v>
      </c>
      <c r="F2066" s="1" t="s">
        <v>578</v>
      </c>
      <c r="G2066" s="1">
        <v>3</v>
      </c>
      <c r="H2066" s="1">
        <v>107.53</v>
      </c>
      <c r="I2066" s="1">
        <f t="shared" si="96"/>
        <v>322.59000000000003</v>
      </c>
      <c r="J2066" t="str">
        <f t="shared" si="97"/>
        <v>Low</v>
      </c>
      <c r="K2066" s="1"/>
      <c r="L2066" s="1">
        <v>0.09</v>
      </c>
      <c r="M2066" s="1">
        <v>5.81</v>
      </c>
      <c r="N2066" s="1" t="s">
        <v>33</v>
      </c>
      <c r="O2066" s="1" t="s">
        <v>72</v>
      </c>
      <c r="P2066" s="2">
        <v>41989</v>
      </c>
      <c r="Q2066" s="2" t="b">
        <f t="shared" si="98"/>
        <v>0</v>
      </c>
      <c r="V2066" s="2"/>
      <c r="W2066" s="2"/>
      <c r="X2066" s="2"/>
      <c r="Y2066" s="2"/>
      <c r="Z2066" s="2"/>
      <c r="AA2066" s="2"/>
      <c r="AB2066" s="2"/>
      <c r="AC2066" s="2"/>
      <c r="AD2066" s="2"/>
      <c r="AE2066" s="2"/>
      <c r="AF2066" s="2"/>
      <c r="AG2066" s="2"/>
      <c r="AH2066" s="2"/>
      <c r="AI2066" s="2"/>
    </row>
    <row r="2067" spans="1:35" ht="14.25" customHeight="1" x14ac:dyDescent="0.2">
      <c r="A2067" s="1">
        <v>38882</v>
      </c>
      <c r="B2067" s="1" t="s">
        <v>1627</v>
      </c>
      <c r="C2067" s="1" t="s">
        <v>30</v>
      </c>
      <c r="D2067" s="2">
        <v>41987</v>
      </c>
      <c r="E2067" s="1" t="s">
        <v>38</v>
      </c>
      <c r="F2067" s="1" t="s">
        <v>1629</v>
      </c>
      <c r="G2067" s="1">
        <v>40</v>
      </c>
      <c r="H2067" s="1">
        <v>55.48</v>
      </c>
      <c r="I2067" s="1">
        <f t="shared" si="96"/>
        <v>2219.1999999999998</v>
      </c>
      <c r="J2067" t="str">
        <f t="shared" si="97"/>
        <v>High</v>
      </c>
      <c r="K2067" s="1"/>
      <c r="L2067" s="1">
        <v>0.06</v>
      </c>
      <c r="M2067" s="1">
        <v>4.8499999999999996</v>
      </c>
      <c r="N2067" s="1" t="s">
        <v>33</v>
      </c>
      <c r="O2067" s="1" t="s">
        <v>34</v>
      </c>
      <c r="P2067" s="2">
        <v>41987</v>
      </c>
      <c r="Q2067" s="2" t="b">
        <f t="shared" si="98"/>
        <v>0</v>
      </c>
      <c r="V2067" s="2"/>
      <c r="W2067" s="2"/>
      <c r="X2067" s="2"/>
      <c r="Y2067" s="2"/>
      <c r="Z2067" s="2"/>
      <c r="AA2067" s="2"/>
      <c r="AB2067" s="2"/>
      <c r="AC2067" s="2"/>
      <c r="AD2067" s="2"/>
      <c r="AE2067" s="2"/>
      <c r="AF2067" s="2"/>
      <c r="AG2067" s="2"/>
      <c r="AH2067" s="2"/>
      <c r="AI2067" s="2"/>
    </row>
    <row r="2068" spans="1:35" ht="14.25" customHeight="1" x14ac:dyDescent="0.2">
      <c r="A2068" s="1">
        <v>38400</v>
      </c>
      <c r="B2068" s="1" t="s">
        <v>1630</v>
      </c>
      <c r="C2068" s="1" t="s">
        <v>51</v>
      </c>
      <c r="D2068" s="2">
        <v>41987</v>
      </c>
      <c r="E2068" s="1" t="s">
        <v>22</v>
      </c>
      <c r="F2068" s="1" t="s">
        <v>1434</v>
      </c>
      <c r="G2068" s="1">
        <v>8</v>
      </c>
      <c r="H2068" s="1">
        <v>13.73</v>
      </c>
      <c r="I2068" s="1">
        <f t="shared" si="96"/>
        <v>109.84</v>
      </c>
      <c r="J2068" t="str">
        <f t="shared" si="97"/>
        <v>Low</v>
      </c>
      <c r="K2068" s="1"/>
      <c r="L2068" s="1">
        <v>0.03</v>
      </c>
      <c r="M2068" s="1">
        <v>6.85</v>
      </c>
      <c r="N2068" s="1" t="s">
        <v>25</v>
      </c>
      <c r="O2068" s="1" t="s">
        <v>55</v>
      </c>
      <c r="P2068" s="2">
        <v>41988</v>
      </c>
      <c r="Q2068" s="2" t="b">
        <f t="shared" si="98"/>
        <v>0</v>
      </c>
      <c r="V2068" s="2"/>
      <c r="W2068" s="2"/>
      <c r="X2068" s="2"/>
      <c r="Y2068" s="2"/>
      <c r="Z2068" s="2"/>
      <c r="AA2068" s="2"/>
      <c r="AB2068" s="2"/>
      <c r="AC2068" s="2"/>
      <c r="AD2068" s="2"/>
      <c r="AE2068" s="2"/>
      <c r="AF2068" s="2"/>
      <c r="AG2068" s="2"/>
      <c r="AH2068" s="2"/>
      <c r="AI2068" s="2"/>
    </row>
    <row r="2069" spans="1:35" ht="14.25" customHeight="1" x14ac:dyDescent="0.2">
      <c r="A2069" s="1">
        <v>54468</v>
      </c>
      <c r="B2069" s="1" t="s">
        <v>938</v>
      </c>
      <c r="C2069" s="1" t="s">
        <v>30</v>
      </c>
      <c r="D2069" s="2">
        <v>41987</v>
      </c>
      <c r="E2069" s="1" t="s">
        <v>31</v>
      </c>
      <c r="F2069" s="1" t="s">
        <v>1023</v>
      </c>
      <c r="G2069" s="1">
        <v>15</v>
      </c>
      <c r="H2069" s="1">
        <v>2.61</v>
      </c>
      <c r="I2069" s="1">
        <f t="shared" si="96"/>
        <v>39.15</v>
      </c>
      <c r="J2069" t="str">
        <f t="shared" si="97"/>
        <v>Low</v>
      </c>
      <c r="K2069" s="1"/>
      <c r="L2069" s="1">
        <v>0.03</v>
      </c>
      <c r="M2069" s="1">
        <v>0.5</v>
      </c>
      <c r="N2069" s="1" t="s">
        <v>33</v>
      </c>
      <c r="O2069" s="1" t="s">
        <v>34</v>
      </c>
      <c r="P2069" s="2">
        <v>41988</v>
      </c>
      <c r="Q2069" s="2" t="b">
        <f t="shared" si="98"/>
        <v>0</v>
      </c>
      <c r="V2069" s="2"/>
      <c r="W2069" s="2"/>
      <c r="X2069" s="2"/>
      <c r="Y2069" s="2"/>
      <c r="Z2069" s="2"/>
      <c r="AA2069" s="2"/>
      <c r="AB2069" s="2"/>
      <c r="AC2069" s="2"/>
      <c r="AD2069" s="2"/>
      <c r="AE2069" s="2"/>
      <c r="AF2069" s="2"/>
      <c r="AG2069" s="2"/>
      <c r="AH2069" s="2"/>
      <c r="AI2069" s="2"/>
    </row>
    <row r="2070" spans="1:35" ht="14.25" customHeight="1" x14ac:dyDescent="0.2">
      <c r="A2070" s="1">
        <v>54468</v>
      </c>
      <c r="B2070" s="1" t="s">
        <v>938</v>
      </c>
      <c r="C2070" s="1" t="s">
        <v>51</v>
      </c>
      <c r="D2070" s="2">
        <v>41987</v>
      </c>
      <c r="E2070" s="1" t="s">
        <v>31</v>
      </c>
      <c r="F2070" s="1" t="s">
        <v>1496</v>
      </c>
      <c r="G2070" s="1">
        <v>35</v>
      </c>
      <c r="H2070" s="1">
        <v>11.66</v>
      </c>
      <c r="I2070" s="1">
        <f t="shared" si="96"/>
        <v>408.1</v>
      </c>
      <c r="J2070" t="str">
        <f t="shared" si="97"/>
        <v>Low</v>
      </c>
      <c r="K2070" s="1"/>
      <c r="L2070" s="1">
        <v>0.01</v>
      </c>
      <c r="M2070" s="1">
        <v>7.95</v>
      </c>
      <c r="N2070" s="1" t="s">
        <v>33</v>
      </c>
      <c r="O2070" s="1" t="s">
        <v>84</v>
      </c>
      <c r="P2070" s="2">
        <v>41988</v>
      </c>
      <c r="Q2070" s="2" t="b">
        <f t="shared" si="98"/>
        <v>0</v>
      </c>
      <c r="V2070" s="2"/>
      <c r="W2070" s="2"/>
      <c r="X2070" s="2"/>
      <c r="Y2070" s="2"/>
      <c r="Z2070" s="2"/>
      <c r="AA2070" s="2"/>
      <c r="AB2070" s="2"/>
      <c r="AC2070" s="2"/>
      <c r="AD2070" s="2"/>
      <c r="AE2070" s="2"/>
      <c r="AF2070" s="2"/>
      <c r="AG2070" s="2"/>
      <c r="AH2070" s="2"/>
      <c r="AI2070" s="2"/>
    </row>
    <row r="2071" spans="1:35" ht="14.25" customHeight="1" x14ac:dyDescent="0.2">
      <c r="A2071" s="1">
        <v>5765</v>
      </c>
      <c r="B2071" s="1" t="s">
        <v>740</v>
      </c>
      <c r="C2071" s="1" t="s">
        <v>30</v>
      </c>
      <c r="D2071" s="2">
        <v>41987</v>
      </c>
      <c r="E2071" s="1" t="s">
        <v>43</v>
      </c>
      <c r="F2071" s="1" t="s">
        <v>1513</v>
      </c>
      <c r="G2071" s="1">
        <v>23</v>
      </c>
      <c r="H2071" s="1">
        <v>35.44</v>
      </c>
      <c r="I2071" s="1">
        <f t="shared" si="96"/>
        <v>815.11999999999989</v>
      </c>
      <c r="J2071" t="str">
        <f t="shared" si="97"/>
        <v>Low</v>
      </c>
      <c r="K2071" s="1"/>
      <c r="L2071" s="1">
        <v>0.04</v>
      </c>
      <c r="M2071" s="1">
        <v>19.989999999999998</v>
      </c>
      <c r="N2071" s="1" t="s">
        <v>33</v>
      </c>
      <c r="O2071" s="1" t="s">
        <v>34</v>
      </c>
      <c r="P2071" s="2">
        <v>41994</v>
      </c>
      <c r="Q2071" s="2" t="b">
        <f t="shared" si="98"/>
        <v>0</v>
      </c>
      <c r="V2071" s="2"/>
      <c r="W2071" s="2"/>
      <c r="X2071" s="2"/>
      <c r="Y2071" s="2"/>
      <c r="Z2071" s="2"/>
      <c r="AA2071" s="2"/>
      <c r="AB2071" s="2"/>
      <c r="AC2071" s="2"/>
      <c r="AD2071" s="2"/>
      <c r="AE2071" s="2"/>
      <c r="AF2071" s="2"/>
      <c r="AG2071" s="2"/>
      <c r="AH2071" s="2"/>
      <c r="AI2071" s="2"/>
    </row>
    <row r="2072" spans="1:35" ht="14.25" customHeight="1" x14ac:dyDescent="0.2">
      <c r="A2072" s="1">
        <v>59556</v>
      </c>
      <c r="B2072" s="1" t="s">
        <v>1631</v>
      </c>
      <c r="C2072" s="1" t="s">
        <v>21</v>
      </c>
      <c r="D2072" s="2">
        <v>41988</v>
      </c>
      <c r="E2072" s="1" t="s">
        <v>22</v>
      </c>
      <c r="F2072" s="1" t="s">
        <v>1187</v>
      </c>
      <c r="G2072" s="1">
        <v>27</v>
      </c>
      <c r="H2072" s="1">
        <v>1.48</v>
      </c>
      <c r="I2072" s="1">
        <f t="shared" si="96"/>
        <v>39.96</v>
      </c>
      <c r="J2072" t="str">
        <f t="shared" si="97"/>
        <v>Low</v>
      </c>
      <c r="K2072" s="1"/>
      <c r="L2072" s="1">
        <v>0</v>
      </c>
      <c r="M2072" s="1">
        <v>0.7</v>
      </c>
      <c r="N2072" s="1" t="s">
        <v>33</v>
      </c>
      <c r="O2072" s="1" t="s">
        <v>55</v>
      </c>
      <c r="P2072" s="2">
        <v>41990</v>
      </c>
      <c r="Q2072" s="2" t="b">
        <f t="shared" si="98"/>
        <v>0</v>
      </c>
      <c r="V2072" s="2"/>
      <c r="W2072" s="2"/>
      <c r="X2072" s="2"/>
      <c r="Y2072" s="2"/>
      <c r="Z2072" s="2"/>
      <c r="AA2072" s="2"/>
      <c r="AB2072" s="2"/>
      <c r="AC2072" s="2"/>
      <c r="AD2072" s="2"/>
      <c r="AE2072" s="2"/>
      <c r="AF2072" s="2"/>
      <c r="AG2072" s="2"/>
      <c r="AH2072" s="2"/>
      <c r="AI2072" s="2"/>
    </row>
    <row r="2073" spans="1:35" ht="14.25" customHeight="1" x14ac:dyDescent="0.2">
      <c r="A2073" s="1">
        <v>59556</v>
      </c>
      <c r="B2073" s="1" t="s">
        <v>1631</v>
      </c>
      <c r="C2073" s="1" t="s">
        <v>30</v>
      </c>
      <c r="D2073" s="2">
        <v>41988</v>
      </c>
      <c r="E2073" s="1" t="s">
        <v>22</v>
      </c>
      <c r="F2073" s="1" t="s">
        <v>441</v>
      </c>
      <c r="G2073" s="1">
        <v>5</v>
      </c>
      <c r="H2073" s="1">
        <v>205.99</v>
      </c>
      <c r="I2073" s="1">
        <f t="shared" si="96"/>
        <v>1029.95</v>
      </c>
      <c r="J2073" t="str">
        <f t="shared" si="97"/>
        <v>High</v>
      </c>
      <c r="K2073" s="1"/>
      <c r="L2073" s="1">
        <v>0</v>
      </c>
      <c r="M2073" s="1">
        <v>8.99</v>
      </c>
      <c r="N2073" s="1" t="s">
        <v>33</v>
      </c>
      <c r="O2073" s="1" t="s">
        <v>34</v>
      </c>
      <c r="P2073" s="2">
        <v>41989</v>
      </c>
      <c r="Q2073" s="2" t="b">
        <f t="shared" si="98"/>
        <v>0</v>
      </c>
      <c r="V2073" s="2"/>
      <c r="W2073" s="2"/>
      <c r="X2073" s="2"/>
      <c r="Y2073" s="2"/>
      <c r="Z2073" s="2"/>
      <c r="AA2073" s="2"/>
      <c r="AB2073" s="2"/>
      <c r="AC2073" s="2"/>
      <c r="AD2073" s="2"/>
      <c r="AE2073" s="2"/>
      <c r="AF2073" s="2"/>
      <c r="AG2073" s="2"/>
      <c r="AH2073" s="2"/>
      <c r="AI2073" s="2"/>
    </row>
    <row r="2074" spans="1:35" ht="14.25" customHeight="1" x14ac:dyDescent="0.2">
      <c r="A2074" s="1">
        <v>58144</v>
      </c>
      <c r="B2074" s="1" t="s">
        <v>1632</v>
      </c>
      <c r="C2074" s="1" t="s">
        <v>51</v>
      </c>
      <c r="D2074" s="2">
        <v>41989</v>
      </c>
      <c r="E2074" s="1" t="s">
        <v>43</v>
      </c>
      <c r="F2074" s="1" t="s">
        <v>1633</v>
      </c>
      <c r="G2074" s="1">
        <v>29</v>
      </c>
      <c r="H2074" s="1">
        <v>26.38</v>
      </c>
      <c r="I2074" s="1">
        <f t="shared" si="96"/>
        <v>765.02</v>
      </c>
      <c r="J2074" t="str">
        <f t="shared" si="97"/>
        <v>Low</v>
      </c>
      <c r="K2074" s="1"/>
      <c r="L2074" s="1">
        <v>0.01</v>
      </c>
      <c r="M2074" s="1">
        <v>5.86</v>
      </c>
      <c r="N2074" s="1" t="s">
        <v>33</v>
      </c>
      <c r="O2074" s="1" t="s">
        <v>34</v>
      </c>
      <c r="P2074" s="2">
        <v>41996</v>
      </c>
      <c r="Q2074" s="2" t="b">
        <f t="shared" si="98"/>
        <v>0</v>
      </c>
      <c r="V2074" s="2"/>
      <c r="W2074" s="2"/>
      <c r="X2074" s="2"/>
      <c r="Y2074" s="2"/>
      <c r="Z2074" s="2"/>
      <c r="AA2074" s="2"/>
      <c r="AB2074" s="2"/>
      <c r="AC2074" s="2"/>
      <c r="AD2074" s="2"/>
      <c r="AE2074" s="2"/>
      <c r="AF2074" s="2"/>
      <c r="AG2074" s="2"/>
      <c r="AH2074" s="2"/>
      <c r="AI2074" s="2"/>
    </row>
    <row r="2075" spans="1:35" ht="14.25" customHeight="1" x14ac:dyDescent="0.2">
      <c r="A2075" s="1">
        <v>3110</v>
      </c>
      <c r="B2075" s="1" t="s">
        <v>1634</v>
      </c>
      <c r="C2075" s="1" t="s">
        <v>30</v>
      </c>
      <c r="D2075" s="2">
        <v>41989</v>
      </c>
      <c r="E2075" s="1" t="s">
        <v>31</v>
      </c>
      <c r="F2075" s="1" t="s">
        <v>1140</v>
      </c>
      <c r="G2075" s="1">
        <v>13</v>
      </c>
      <c r="H2075" s="1">
        <v>119.99</v>
      </c>
      <c r="I2075" s="1">
        <f t="shared" si="96"/>
        <v>1559.87</v>
      </c>
      <c r="J2075" t="str">
        <f t="shared" si="97"/>
        <v>High</v>
      </c>
      <c r="K2075" s="1"/>
      <c r="L2075" s="1">
        <v>0.04</v>
      </c>
      <c r="M2075" s="1">
        <v>14</v>
      </c>
      <c r="N2075" s="1" t="s">
        <v>45</v>
      </c>
      <c r="O2075" s="1" t="s">
        <v>46</v>
      </c>
      <c r="P2075" s="2">
        <v>41991</v>
      </c>
      <c r="Q2075" s="2" t="b">
        <f t="shared" si="98"/>
        <v>0</v>
      </c>
      <c r="V2075" s="2"/>
      <c r="W2075" s="2"/>
      <c r="X2075" s="2"/>
      <c r="Y2075" s="2"/>
      <c r="Z2075" s="2"/>
      <c r="AA2075" s="2"/>
      <c r="AB2075" s="2"/>
      <c r="AC2075" s="2"/>
      <c r="AD2075" s="2"/>
      <c r="AE2075" s="2"/>
      <c r="AF2075" s="2"/>
      <c r="AG2075" s="2"/>
      <c r="AH2075" s="2"/>
      <c r="AI2075" s="2"/>
    </row>
    <row r="2076" spans="1:35" ht="14.25" customHeight="1" x14ac:dyDescent="0.2">
      <c r="A2076" s="1">
        <v>19300</v>
      </c>
      <c r="B2076" s="1" t="s">
        <v>1635</v>
      </c>
      <c r="C2076" s="1" t="s">
        <v>21</v>
      </c>
      <c r="D2076" s="2">
        <v>41989</v>
      </c>
      <c r="E2076" s="1" t="s">
        <v>38</v>
      </c>
      <c r="F2076" s="1" t="s">
        <v>99</v>
      </c>
      <c r="G2076" s="1">
        <v>10</v>
      </c>
      <c r="H2076" s="1">
        <v>7.64</v>
      </c>
      <c r="I2076" s="1">
        <f t="shared" si="96"/>
        <v>76.399999999999991</v>
      </c>
      <c r="J2076" t="str">
        <f t="shared" si="97"/>
        <v>Low</v>
      </c>
      <c r="K2076" s="1"/>
      <c r="L2076" s="1">
        <v>0.1</v>
      </c>
      <c r="M2076" s="1">
        <v>5.83</v>
      </c>
      <c r="N2076" s="1" t="s">
        <v>33</v>
      </c>
      <c r="O2076" s="1" t="s">
        <v>55</v>
      </c>
      <c r="P2076" s="2">
        <v>41990</v>
      </c>
      <c r="Q2076" s="2" t="b">
        <f t="shared" si="98"/>
        <v>0</v>
      </c>
      <c r="V2076" s="2"/>
      <c r="W2076" s="2"/>
      <c r="X2076" s="2"/>
      <c r="Y2076" s="2"/>
      <c r="Z2076" s="2"/>
      <c r="AA2076" s="2"/>
      <c r="AB2076" s="2"/>
      <c r="AC2076" s="2"/>
      <c r="AD2076" s="2"/>
      <c r="AE2076" s="2"/>
      <c r="AF2076" s="2"/>
      <c r="AG2076" s="2"/>
      <c r="AH2076" s="2"/>
      <c r="AI2076" s="2"/>
    </row>
    <row r="2077" spans="1:35" ht="14.25" customHeight="1" x14ac:dyDescent="0.2">
      <c r="A2077" s="1">
        <v>930</v>
      </c>
      <c r="B2077" s="1" t="s">
        <v>1428</v>
      </c>
      <c r="C2077" s="1" t="s">
        <v>51</v>
      </c>
      <c r="D2077" s="2">
        <v>41989</v>
      </c>
      <c r="E2077" s="1" t="s">
        <v>38</v>
      </c>
      <c r="F2077" s="1" t="s">
        <v>1453</v>
      </c>
      <c r="G2077" s="1">
        <v>22</v>
      </c>
      <c r="H2077" s="1">
        <v>41.32</v>
      </c>
      <c r="I2077" s="1">
        <f t="shared" si="96"/>
        <v>909.04</v>
      </c>
      <c r="J2077" t="str">
        <f t="shared" si="97"/>
        <v>Low</v>
      </c>
      <c r="K2077" s="1"/>
      <c r="L2077" s="1">
        <v>0.03</v>
      </c>
      <c r="M2077" s="1">
        <v>58.66</v>
      </c>
      <c r="N2077" s="1" t="s">
        <v>25</v>
      </c>
      <c r="O2077" s="1" t="s">
        <v>72</v>
      </c>
      <c r="P2077" s="2">
        <v>41990</v>
      </c>
      <c r="Q2077" s="2" t="b">
        <f t="shared" si="98"/>
        <v>0</v>
      </c>
      <c r="V2077" s="2"/>
      <c r="W2077" s="2"/>
      <c r="X2077" s="2"/>
      <c r="Y2077" s="2"/>
      <c r="Z2077" s="2"/>
      <c r="AA2077" s="2"/>
      <c r="AB2077" s="2"/>
      <c r="AC2077" s="2"/>
      <c r="AD2077" s="2"/>
      <c r="AE2077" s="2"/>
      <c r="AF2077" s="2"/>
      <c r="AG2077" s="2"/>
      <c r="AH2077" s="2"/>
      <c r="AI2077" s="2"/>
    </row>
    <row r="2078" spans="1:35" ht="14.25" customHeight="1" x14ac:dyDescent="0.2">
      <c r="A2078" s="1">
        <v>930</v>
      </c>
      <c r="B2078" s="1" t="s">
        <v>1428</v>
      </c>
      <c r="C2078" s="1" t="s">
        <v>30</v>
      </c>
      <c r="D2078" s="2">
        <v>41989</v>
      </c>
      <c r="E2078" s="1" t="s">
        <v>38</v>
      </c>
      <c r="F2078" s="1" t="s">
        <v>344</v>
      </c>
      <c r="G2078" s="1">
        <v>11</v>
      </c>
      <c r="H2078" s="1">
        <v>6.88</v>
      </c>
      <c r="I2078" s="1">
        <f t="shared" si="96"/>
        <v>75.679999999999993</v>
      </c>
      <c r="J2078" t="str">
        <f t="shared" si="97"/>
        <v>Low</v>
      </c>
      <c r="K2078" s="1"/>
      <c r="L2078" s="1">
        <v>0</v>
      </c>
      <c r="M2078" s="1">
        <v>2</v>
      </c>
      <c r="N2078" s="1" t="s">
        <v>33</v>
      </c>
      <c r="O2078" s="1" t="s">
        <v>55</v>
      </c>
      <c r="P2078" s="2">
        <v>41989</v>
      </c>
      <c r="Q2078" s="2" t="b">
        <f t="shared" si="98"/>
        <v>0</v>
      </c>
      <c r="V2078" s="2"/>
      <c r="W2078" s="2"/>
      <c r="X2078" s="2"/>
      <c r="Y2078" s="2"/>
      <c r="Z2078" s="2"/>
      <c r="AA2078" s="2"/>
      <c r="AB2078" s="2"/>
      <c r="AC2078" s="2"/>
      <c r="AD2078" s="2"/>
      <c r="AE2078" s="2"/>
      <c r="AF2078" s="2"/>
      <c r="AG2078" s="2"/>
      <c r="AH2078" s="2"/>
      <c r="AI2078" s="2"/>
    </row>
    <row r="2079" spans="1:35" ht="14.25" customHeight="1" x14ac:dyDescent="0.2">
      <c r="A2079" s="1">
        <v>25027</v>
      </c>
      <c r="B2079" s="1" t="s">
        <v>476</v>
      </c>
      <c r="C2079" s="1" t="s">
        <v>21</v>
      </c>
      <c r="D2079" s="2">
        <v>41989</v>
      </c>
      <c r="E2079" s="1" t="s">
        <v>101</v>
      </c>
      <c r="F2079" s="1" t="s">
        <v>1189</v>
      </c>
      <c r="G2079" s="1">
        <v>25</v>
      </c>
      <c r="H2079" s="1">
        <v>146.34</v>
      </c>
      <c r="I2079" s="1">
        <f t="shared" si="96"/>
        <v>3658.5</v>
      </c>
      <c r="J2079" t="str">
        <f t="shared" si="97"/>
        <v>High</v>
      </c>
      <c r="K2079" s="1"/>
      <c r="L2079" s="1">
        <v>0.06</v>
      </c>
      <c r="M2079" s="1">
        <v>43.75</v>
      </c>
      <c r="N2079" s="1" t="s">
        <v>45</v>
      </c>
      <c r="O2079" s="1" t="s">
        <v>63</v>
      </c>
      <c r="P2079" s="2">
        <v>41991</v>
      </c>
      <c r="Q2079" s="2" t="b">
        <f t="shared" si="98"/>
        <v>0</v>
      </c>
      <c r="V2079" s="2"/>
      <c r="W2079" s="2"/>
      <c r="X2079" s="2"/>
      <c r="Y2079" s="2"/>
      <c r="Z2079" s="2"/>
      <c r="AA2079" s="2"/>
      <c r="AB2079" s="2"/>
      <c r="AC2079" s="2"/>
      <c r="AD2079" s="2"/>
      <c r="AE2079" s="2"/>
      <c r="AF2079" s="2"/>
      <c r="AG2079" s="2"/>
      <c r="AH2079" s="2"/>
      <c r="AI2079" s="2"/>
    </row>
    <row r="2080" spans="1:35" ht="14.25" customHeight="1" x14ac:dyDescent="0.2">
      <c r="A2080" s="1">
        <v>48192</v>
      </c>
      <c r="B2080" s="1" t="s">
        <v>539</v>
      </c>
      <c r="C2080" s="1" t="s">
        <v>21</v>
      </c>
      <c r="D2080" s="2">
        <v>41989</v>
      </c>
      <c r="E2080" s="1" t="s">
        <v>38</v>
      </c>
      <c r="F2080" s="1" t="s">
        <v>883</v>
      </c>
      <c r="G2080" s="1">
        <v>15</v>
      </c>
      <c r="H2080" s="1">
        <v>140.97999999999999</v>
      </c>
      <c r="I2080" s="1">
        <f t="shared" si="96"/>
        <v>2114.6999999999998</v>
      </c>
      <c r="J2080" t="str">
        <f t="shared" si="97"/>
        <v>High</v>
      </c>
      <c r="K2080" s="1"/>
      <c r="L2080" s="1">
        <v>0</v>
      </c>
      <c r="M2080" s="1">
        <v>36.090000000000003</v>
      </c>
      <c r="N2080" s="1" t="s">
        <v>45</v>
      </c>
      <c r="O2080" s="1" t="s">
        <v>63</v>
      </c>
      <c r="P2080" s="2">
        <v>41990</v>
      </c>
      <c r="Q2080" s="2" t="b">
        <f t="shared" si="98"/>
        <v>0</v>
      </c>
      <c r="V2080" s="2"/>
      <c r="W2080" s="2"/>
      <c r="X2080" s="2"/>
      <c r="Y2080" s="2"/>
      <c r="Z2080" s="2"/>
      <c r="AA2080" s="2"/>
      <c r="AB2080" s="2"/>
      <c r="AC2080" s="2"/>
      <c r="AD2080" s="2"/>
      <c r="AE2080" s="2"/>
      <c r="AF2080" s="2"/>
      <c r="AG2080" s="2"/>
      <c r="AH2080" s="2"/>
      <c r="AI2080" s="2"/>
    </row>
    <row r="2081" spans="1:35" ht="14.25" customHeight="1" x14ac:dyDescent="0.2">
      <c r="A2081" s="1">
        <v>46341</v>
      </c>
      <c r="B2081" s="1" t="s">
        <v>1002</v>
      </c>
      <c r="C2081" s="1" t="s">
        <v>21</v>
      </c>
      <c r="D2081" s="2">
        <v>41990</v>
      </c>
      <c r="E2081" s="1" t="s">
        <v>31</v>
      </c>
      <c r="F2081" s="1" t="s">
        <v>245</v>
      </c>
      <c r="G2081" s="1">
        <v>23</v>
      </c>
      <c r="H2081" s="1">
        <v>1.68</v>
      </c>
      <c r="I2081" s="1">
        <f t="shared" si="96"/>
        <v>38.64</v>
      </c>
      <c r="J2081" t="str">
        <f t="shared" si="97"/>
        <v>Low</v>
      </c>
      <c r="K2081" s="1"/>
      <c r="L2081" s="1">
        <v>0.1</v>
      </c>
      <c r="M2081" s="1">
        <v>1.57</v>
      </c>
      <c r="N2081" s="1" t="s">
        <v>33</v>
      </c>
      <c r="O2081" s="1" t="s">
        <v>55</v>
      </c>
      <c r="P2081" s="2">
        <v>41991</v>
      </c>
      <c r="Q2081" s="2" t="b">
        <f t="shared" si="98"/>
        <v>0</v>
      </c>
      <c r="V2081" s="2"/>
      <c r="W2081" s="2"/>
      <c r="X2081" s="2"/>
      <c r="Y2081" s="2"/>
      <c r="Z2081" s="2"/>
      <c r="AA2081" s="2"/>
      <c r="AB2081" s="2"/>
      <c r="AC2081" s="2"/>
      <c r="AD2081" s="2"/>
      <c r="AE2081" s="2"/>
      <c r="AF2081" s="2"/>
      <c r="AG2081" s="2"/>
      <c r="AH2081" s="2"/>
      <c r="AI2081" s="2"/>
    </row>
    <row r="2082" spans="1:35" ht="14.25" customHeight="1" x14ac:dyDescent="0.2">
      <c r="A2082" s="1">
        <v>23936</v>
      </c>
      <c r="B2082" s="1" t="s">
        <v>537</v>
      </c>
      <c r="C2082" s="1" t="s">
        <v>30</v>
      </c>
      <c r="D2082" s="2">
        <v>41990</v>
      </c>
      <c r="E2082" s="1" t="s">
        <v>101</v>
      </c>
      <c r="F2082" s="1" t="s">
        <v>148</v>
      </c>
      <c r="G2082" s="1">
        <v>27</v>
      </c>
      <c r="H2082" s="1">
        <v>2.6</v>
      </c>
      <c r="I2082" s="1">
        <f t="shared" si="96"/>
        <v>70.2</v>
      </c>
      <c r="J2082" t="str">
        <f t="shared" si="97"/>
        <v>Low</v>
      </c>
      <c r="K2082" s="1"/>
      <c r="L2082" s="1">
        <v>0.09</v>
      </c>
      <c r="M2082" s="1">
        <v>2.4</v>
      </c>
      <c r="N2082" s="1" t="s">
        <v>33</v>
      </c>
      <c r="O2082" s="1" t="s">
        <v>55</v>
      </c>
      <c r="P2082" s="2">
        <v>41992</v>
      </c>
      <c r="Q2082" s="2" t="b">
        <f t="shared" si="98"/>
        <v>0</v>
      </c>
      <c r="V2082" s="2"/>
      <c r="W2082" s="2"/>
      <c r="X2082" s="2"/>
      <c r="Y2082" s="2"/>
      <c r="Z2082" s="2"/>
      <c r="AA2082" s="2"/>
      <c r="AB2082" s="2"/>
      <c r="AC2082" s="2"/>
      <c r="AD2082" s="2"/>
      <c r="AE2082" s="2"/>
      <c r="AF2082" s="2"/>
      <c r="AG2082" s="2"/>
      <c r="AH2082" s="2"/>
      <c r="AI2082" s="2"/>
    </row>
    <row r="2083" spans="1:35" ht="14.25" customHeight="1" x14ac:dyDescent="0.2">
      <c r="A2083" s="1">
        <v>15111</v>
      </c>
      <c r="B2083" s="1" t="s">
        <v>1636</v>
      </c>
      <c r="C2083" s="1" t="s">
        <v>30</v>
      </c>
      <c r="D2083" s="2">
        <v>41990</v>
      </c>
      <c r="E2083" s="1" t="s">
        <v>22</v>
      </c>
      <c r="F2083" s="1" t="s">
        <v>1637</v>
      </c>
      <c r="G2083" s="1">
        <v>13</v>
      </c>
      <c r="H2083" s="1">
        <v>81.319999999999993</v>
      </c>
      <c r="I2083" s="1">
        <f t="shared" si="96"/>
        <v>1057.1599999999999</v>
      </c>
      <c r="J2083" t="str">
        <f t="shared" si="97"/>
        <v>High</v>
      </c>
      <c r="K2083" s="1"/>
      <c r="L2083" s="1">
        <v>0.1</v>
      </c>
      <c r="M2083" s="1">
        <v>0.99</v>
      </c>
      <c r="N2083" s="1" t="s">
        <v>33</v>
      </c>
      <c r="O2083" s="1" t="s">
        <v>34</v>
      </c>
      <c r="P2083" s="2">
        <v>41992</v>
      </c>
      <c r="Q2083" s="2" t="b">
        <f t="shared" si="98"/>
        <v>0</v>
      </c>
      <c r="V2083" s="2"/>
      <c r="W2083" s="2"/>
      <c r="X2083" s="2"/>
      <c r="Y2083" s="2"/>
      <c r="Z2083" s="2"/>
      <c r="AA2083" s="2"/>
      <c r="AB2083" s="2"/>
      <c r="AC2083" s="2"/>
      <c r="AD2083" s="2"/>
      <c r="AE2083" s="2"/>
      <c r="AF2083" s="2"/>
      <c r="AG2083" s="2"/>
      <c r="AH2083" s="2"/>
      <c r="AI2083" s="2"/>
    </row>
    <row r="2084" spans="1:35" ht="14.25" customHeight="1" x14ac:dyDescent="0.2">
      <c r="A2084" s="1">
        <v>22947</v>
      </c>
      <c r="B2084" s="1" t="s">
        <v>1638</v>
      </c>
      <c r="C2084" s="1" t="s">
        <v>30</v>
      </c>
      <c r="D2084" s="2">
        <v>41991</v>
      </c>
      <c r="E2084" s="1" t="s">
        <v>43</v>
      </c>
      <c r="F2084" s="1" t="s">
        <v>435</v>
      </c>
      <c r="G2084" s="1">
        <v>19</v>
      </c>
      <c r="H2084" s="1">
        <v>12.22</v>
      </c>
      <c r="I2084" s="1">
        <f t="shared" si="96"/>
        <v>232.18</v>
      </c>
      <c r="J2084" t="str">
        <f t="shared" si="97"/>
        <v>Low</v>
      </c>
      <c r="K2084" s="1"/>
      <c r="L2084" s="1">
        <v>0.09</v>
      </c>
      <c r="M2084" s="1">
        <v>2.85</v>
      </c>
      <c r="N2084" s="1" t="s">
        <v>33</v>
      </c>
      <c r="O2084" s="1" t="s">
        <v>84</v>
      </c>
      <c r="P2084" s="2">
        <v>41998</v>
      </c>
      <c r="Q2084" s="2" t="b">
        <f t="shared" si="98"/>
        <v>0</v>
      </c>
      <c r="V2084" s="2"/>
      <c r="W2084" s="2"/>
      <c r="X2084" s="2"/>
      <c r="Y2084" s="2"/>
      <c r="Z2084" s="2"/>
      <c r="AA2084" s="2"/>
      <c r="AB2084" s="2"/>
      <c r="AC2084" s="2"/>
      <c r="AD2084" s="2"/>
      <c r="AE2084" s="2"/>
      <c r="AF2084" s="2"/>
      <c r="AG2084" s="2"/>
      <c r="AH2084" s="2"/>
      <c r="AI2084" s="2"/>
    </row>
    <row r="2085" spans="1:35" ht="14.25" customHeight="1" x14ac:dyDescent="0.2">
      <c r="A2085" s="1">
        <v>51975</v>
      </c>
      <c r="B2085" s="1" t="s">
        <v>1200</v>
      </c>
      <c r="C2085" s="1" t="s">
        <v>21</v>
      </c>
      <c r="D2085" s="2">
        <v>41991</v>
      </c>
      <c r="E2085" s="1" t="s">
        <v>43</v>
      </c>
      <c r="F2085" s="1" t="s">
        <v>1639</v>
      </c>
      <c r="G2085" s="1">
        <v>12</v>
      </c>
      <c r="H2085" s="1">
        <v>115.99</v>
      </c>
      <c r="I2085" s="1">
        <f t="shared" si="96"/>
        <v>1391.8799999999999</v>
      </c>
      <c r="J2085" t="str">
        <f t="shared" si="97"/>
        <v>High</v>
      </c>
      <c r="K2085" s="1"/>
      <c r="L2085" s="1">
        <v>0.1</v>
      </c>
      <c r="M2085" s="1">
        <v>2.5</v>
      </c>
      <c r="N2085" s="1" t="s">
        <v>33</v>
      </c>
      <c r="O2085" s="1" t="s">
        <v>34</v>
      </c>
      <c r="P2085" s="2">
        <v>41995</v>
      </c>
      <c r="Q2085" s="2" t="b">
        <f t="shared" si="98"/>
        <v>0</v>
      </c>
      <c r="V2085" s="2"/>
      <c r="W2085" s="2"/>
      <c r="X2085" s="2"/>
      <c r="Y2085" s="2"/>
      <c r="Z2085" s="2"/>
      <c r="AA2085" s="2"/>
      <c r="AB2085" s="2"/>
      <c r="AC2085" s="2"/>
      <c r="AD2085" s="2"/>
      <c r="AE2085" s="2"/>
      <c r="AF2085" s="2"/>
      <c r="AG2085" s="2"/>
      <c r="AH2085" s="2"/>
      <c r="AI2085" s="2"/>
    </row>
    <row r="2086" spans="1:35" ht="14.25" customHeight="1" x14ac:dyDescent="0.2">
      <c r="A2086" s="1">
        <v>47203</v>
      </c>
      <c r="B2086" s="1" t="s">
        <v>473</v>
      </c>
      <c r="C2086" s="1" t="s">
        <v>30</v>
      </c>
      <c r="D2086" s="2">
        <v>41991</v>
      </c>
      <c r="E2086" s="1" t="s">
        <v>38</v>
      </c>
      <c r="F2086" s="1" t="s">
        <v>687</v>
      </c>
      <c r="G2086" s="1">
        <v>8</v>
      </c>
      <c r="H2086" s="1">
        <v>15.98</v>
      </c>
      <c r="I2086" s="1">
        <f t="shared" si="96"/>
        <v>127.84</v>
      </c>
      <c r="J2086" t="str">
        <f t="shared" si="97"/>
        <v>Low</v>
      </c>
      <c r="K2086" s="1"/>
      <c r="L2086" s="1">
        <v>0.04</v>
      </c>
      <c r="M2086" s="1">
        <v>4</v>
      </c>
      <c r="N2086" s="1" t="s">
        <v>33</v>
      </c>
      <c r="O2086" s="1" t="s">
        <v>34</v>
      </c>
      <c r="P2086" s="2">
        <v>41992</v>
      </c>
      <c r="Q2086" s="2" t="b">
        <f t="shared" si="98"/>
        <v>0</v>
      </c>
      <c r="V2086" s="2"/>
      <c r="W2086" s="2"/>
      <c r="X2086" s="2"/>
      <c r="Y2086" s="2"/>
      <c r="Z2086" s="2"/>
      <c r="AA2086" s="2"/>
      <c r="AB2086" s="2"/>
      <c r="AC2086" s="2"/>
      <c r="AD2086" s="2"/>
      <c r="AE2086" s="2"/>
      <c r="AF2086" s="2"/>
      <c r="AG2086" s="2"/>
      <c r="AH2086" s="2"/>
      <c r="AI2086" s="2"/>
    </row>
    <row r="2087" spans="1:35" ht="14.25" customHeight="1" x14ac:dyDescent="0.2">
      <c r="A2087" s="1">
        <v>47203</v>
      </c>
      <c r="B2087" s="1" t="s">
        <v>473</v>
      </c>
      <c r="C2087" s="1" t="s">
        <v>51</v>
      </c>
      <c r="D2087" s="2">
        <v>41991</v>
      </c>
      <c r="E2087" s="1" t="s">
        <v>38</v>
      </c>
      <c r="F2087" s="1" t="s">
        <v>1640</v>
      </c>
      <c r="G2087" s="1">
        <v>44</v>
      </c>
      <c r="H2087" s="1">
        <v>22.84</v>
      </c>
      <c r="I2087" s="1">
        <f t="shared" si="96"/>
        <v>1004.96</v>
      </c>
      <c r="J2087" t="str">
        <f t="shared" si="97"/>
        <v>High</v>
      </c>
      <c r="K2087" s="1"/>
      <c r="L2087" s="1">
        <v>0.06</v>
      </c>
      <c r="M2087" s="1">
        <v>5.47</v>
      </c>
      <c r="N2087" s="1" t="s">
        <v>33</v>
      </c>
      <c r="O2087" s="1" t="s">
        <v>34</v>
      </c>
      <c r="P2087" s="2">
        <v>41993</v>
      </c>
      <c r="Q2087" s="2" t="b">
        <f t="shared" si="98"/>
        <v>0</v>
      </c>
      <c r="V2087" s="2"/>
      <c r="W2087" s="2"/>
      <c r="X2087" s="2"/>
      <c r="Y2087" s="2"/>
      <c r="Z2087" s="2"/>
      <c r="AA2087" s="2"/>
      <c r="AB2087" s="2"/>
      <c r="AC2087" s="2"/>
      <c r="AD2087" s="2"/>
      <c r="AE2087" s="2"/>
      <c r="AF2087" s="2"/>
      <c r="AG2087" s="2"/>
      <c r="AH2087" s="2"/>
      <c r="AI2087" s="2"/>
    </row>
    <row r="2088" spans="1:35" ht="14.25" customHeight="1" x14ac:dyDescent="0.2">
      <c r="A2088" s="1">
        <v>31847</v>
      </c>
      <c r="B2088" s="1" t="s">
        <v>227</v>
      </c>
      <c r="C2088" s="1" t="s">
        <v>30</v>
      </c>
      <c r="D2088" s="2">
        <v>41991</v>
      </c>
      <c r="E2088" s="1" t="s">
        <v>43</v>
      </c>
      <c r="F2088" s="1" t="s">
        <v>750</v>
      </c>
      <c r="G2088" s="1">
        <v>46</v>
      </c>
      <c r="H2088" s="1">
        <v>39.979999999999997</v>
      </c>
      <c r="I2088" s="1">
        <f t="shared" si="96"/>
        <v>1839.08</v>
      </c>
      <c r="J2088" t="str">
        <f t="shared" si="97"/>
        <v>High</v>
      </c>
      <c r="K2088" s="1"/>
      <c r="L2088" s="1">
        <v>0.1</v>
      </c>
      <c r="M2088" s="1">
        <v>4</v>
      </c>
      <c r="N2088" s="1" t="s">
        <v>33</v>
      </c>
      <c r="O2088" s="1" t="s">
        <v>34</v>
      </c>
      <c r="P2088" s="2">
        <v>41995</v>
      </c>
      <c r="Q2088" s="2" t="b">
        <f t="shared" si="98"/>
        <v>0</v>
      </c>
      <c r="V2088" s="2"/>
      <c r="W2088" s="2"/>
      <c r="X2088" s="2"/>
      <c r="Y2088" s="2"/>
      <c r="Z2088" s="2"/>
      <c r="AA2088" s="2"/>
      <c r="AB2088" s="2"/>
      <c r="AC2088" s="2"/>
      <c r="AD2088" s="2"/>
      <c r="AE2088" s="2"/>
      <c r="AF2088" s="2"/>
      <c r="AG2088" s="2"/>
      <c r="AH2088" s="2"/>
      <c r="AI2088" s="2"/>
    </row>
    <row r="2089" spans="1:35" ht="14.25" customHeight="1" x14ac:dyDescent="0.2">
      <c r="A2089" s="1">
        <v>47207</v>
      </c>
      <c r="B2089" s="1" t="s">
        <v>1481</v>
      </c>
      <c r="C2089" s="1" t="s">
        <v>30</v>
      </c>
      <c r="D2089" s="2">
        <v>41991</v>
      </c>
      <c r="E2089" s="1" t="s">
        <v>43</v>
      </c>
      <c r="F2089" s="1" t="s">
        <v>975</v>
      </c>
      <c r="G2089" s="1">
        <v>15</v>
      </c>
      <c r="H2089" s="1">
        <v>30.98</v>
      </c>
      <c r="I2089" s="1">
        <f t="shared" si="96"/>
        <v>464.7</v>
      </c>
      <c r="J2089" t="str">
        <f t="shared" si="97"/>
        <v>Low</v>
      </c>
      <c r="K2089" s="1"/>
      <c r="L2089" s="1">
        <v>0.09</v>
      </c>
      <c r="M2089" s="1">
        <v>6.5</v>
      </c>
      <c r="N2089" s="1" t="s">
        <v>25</v>
      </c>
      <c r="O2089" s="1" t="s">
        <v>34</v>
      </c>
      <c r="P2089" s="2">
        <v>41995</v>
      </c>
      <c r="Q2089" s="2" t="b">
        <f t="shared" si="98"/>
        <v>0</v>
      </c>
      <c r="V2089" s="2"/>
      <c r="W2089" s="2"/>
      <c r="X2089" s="2"/>
      <c r="Y2089" s="2"/>
      <c r="Z2089" s="2"/>
      <c r="AA2089" s="2"/>
      <c r="AB2089" s="2"/>
      <c r="AC2089" s="2"/>
      <c r="AD2089" s="2"/>
      <c r="AE2089" s="2"/>
      <c r="AF2089" s="2"/>
      <c r="AG2089" s="2"/>
      <c r="AH2089" s="2"/>
      <c r="AI2089" s="2"/>
    </row>
    <row r="2090" spans="1:35" ht="14.25" customHeight="1" x14ac:dyDescent="0.2">
      <c r="A2090" s="1">
        <v>359</v>
      </c>
      <c r="B2090" s="1" t="s">
        <v>343</v>
      </c>
      <c r="C2090" s="1" t="s">
        <v>51</v>
      </c>
      <c r="D2090" s="2">
        <v>41991</v>
      </c>
      <c r="E2090" s="1" t="s">
        <v>101</v>
      </c>
      <c r="F2090" s="1" t="s">
        <v>1317</v>
      </c>
      <c r="G2090" s="1">
        <v>30</v>
      </c>
      <c r="H2090" s="1">
        <v>124.49</v>
      </c>
      <c r="I2090" s="1">
        <f t="shared" si="96"/>
        <v>3734.7</v>
      </c>
      <c r="J2090" t="str">
        <f t="shared" si="97"/>
        <v>High</v>
      </c>
      <c r="K2090" s="1"/>
      <c r="L2090" s="1">
        <v>0.08</v>
      </c>
      <c r="M2090" s="1">
        <v>51.94</v>
      </c>
      <c r="N2090" s="1" t="s">
        <v>45</v>
      </c>
      <c r="O2090" s="1" t="s">
        <v>63</v>
      </c>
      <c r="P2090" s="2">
        <v>41992</v>
      </c>
      <c r="Q2090" s="2" t="b">
        <f t="shared" si="98"/>
        <v>0</v>
      </c>
      <c r="V2090" s="2"/>
      <c r="W2090" s="2"/>
      <c r="X2090" s="2"/>
      <c r="Y2090" s="2"/>
      <c r="Z2090" s="2"/>
      <c r="AA2090" s="2"/>
      <c r="AB2090" s="2"/>
      <c r="AC2090" s="2"/>
      <c r="AD2090" s="2"/>
      <c r="AE2090" s="2"/>
      <c r="AF2090" s="2"/>
      <c r="AG2090" s="2"/>
      <c r="AH2090" s="2"/>
      <c r="AI2090" s="2"/>
    </row>
    <row r="2091" spans="1:35" ht="14.25" customHeight="1" x14ac:dyDescent="0.2">
      <c r="A2091" s="1">
        <v>26240</v>
      </c>
      <c r="B2091" s="1" t="s">
        <v>243</v>
      </c>
      <c r="C2091" s="1" t="s">
        <v>30</v>
      </c>
      <c r="D2091" s="2">
        <v>41992</v>
      </c>
      <c r="E2091" s="1" t="s">
        <v>38</v>
      </c>
      <c r="F2091" s="1" t="s">
        <v>499</v>
      </c>
      <c r="G2091" s="1">
        <v>38</v>
      </c>
      <c r="H2091" s="1">
        <v>39.479999999999997</v>
      </c>
      <c r="I2091" s="1">
        <f t="shared" si="96"/>
        <v>1500.2399999999998</v>
      </c>
      <c r="J2091" t="str">
        <f t="shared" si="97"/>
        <v>High</v>
      </c>
      <c r="K2091" s="1"/>
      <c r="L2091" s="1">
        <v>0.04</v>
      </c>
      <c r="M2091" s="1">
        <v>1.99</v>
      </c>
      <c r="N2091" s="1" t="s">
        <v>33</v>
      </c>
      <c r="O2091" s="1" t="s">
        <v>84</v>
      </c>
      <c r="P2091" s="2">
        <v>41995</v>
      </c>
      <c r="Q2091" s="2" t="b">
        <f t="shared" si="98"/>
        <v>0</v>
      </c>
      <c r="V2091" s="2"/>
      <c r="W2091" s="2"/>
      <c r="X2091" s="2"/>
      <c r="Y2091" s="2"/>
      <c r="Z2091" s="2"/>
      <c r="AA2091" s="2"/>
      <c r="AB2091" s="2"/>
      <c r="AC2091" s="2"/>
      <c r="AD2091" s="2"/>
      <c r="AE2091" s="2"/>
      <c r="AF2091" s="2"/>
      <c r="AG2091" s="2"/>
      <c r="AH2091" s="2"/>
      <c r="AI2091" s="2"/>
    </row>
    <row r="2092" spans="1:35" ht="14.25" customHeight="1" x14ac:dyDescent="0.2">
      <c r="A2092" s="1">
        <v>26240</v>
      </c>
      <c r="B2092" s="1" t="s">
        <v>243</v>
      </c>
      <c r="C2092" s="1" t="s">
        <v>30</v>
      </c>
      <c r="D2092" s="2">
        <v>41992</v>
      </c>
      <c r="E2092" s="1" t="s">
        <v>38</v>
      </c>
      <c r="F2092" s="1" t="s">
        <v>1641</v>
      </c>
      <c r="G2092" s="1">
        <v>39</v>
      </c>
      <c r="H2092" s="1">
        <v>3.7</v>
      </c>
      <c r="I2092" s="1">
        <f t="shared" si="96"/>
        <v>144.30000000000001</v>
      </c>
      <c r="J2092" t="str">
        <f t="shared" si="97"/>
        <v>Low</v>
      </c>
      <c r="K2092" s="1"/>
      <c r="L2092" s="1">
        <v>0.04</v>
      </c>
      <c r="M2092" s="1">
        <v>1.61</v>
      </c>
      <c r="N2092" s="1" t="s">
        <v>33</v>
      </c>
      <c r="O2092" s="1" t="s">
        <v>55</v>
      </c>
      <c r="P2092" s="2">
        <v>41993</v>
      </c>
      <c r="Q2092" s="2" t="b">
        <f t="shared" si="98"/>
        <v>0</v>
      </c>
      <c r="V2092" s="2"/>
      <c r="W2092" s="2"/>
      <c r="X2092" s="2"/>
      <c r="Y2092" s="2"/>
      <c r="Z2092" s="2"/>
      <c r="AA2092" s="2"/>
      <c r="AB2092" s="2"/>
      <c r="AC2092" s="2"/>
      <c r="AD2092" s="2"/>
      <c r="AE2092" s="2"/>
      <c r="AF2092" s="2"/>
      <c r="AG2092" s="2"/>
      <c r="AH2092" s="2"/>
      <c r="AI2092" s="2"/>
    </row>
    <row r="2093" spans="1:35" ht="14.25" customHeight="1" x14ac:dyDescent="0.2">
      <c r="A2093" s="1">
        <v>38240</v>
      </c>
      <c r="B2093" s="1" t="s">
        <v>1481</v>
      </c>
      <c r="C2093" s="1" t="s">
        <v>21</v>
      </c>
      <c r="D2093" s="2">
        <v>41992</v>
      </c>
      <c r="E2093" s="1" t="s">
        <v>31</v>
      </c>
      <c r="F2093" s="1" t="s">
        <v>222</v>
      </c>
      <c r="G2093" s="1">
        <v>4</v>
      </c>
      <c r="H2093" s="1">
        <v>8.6</v>
      </c>
      <c r="I2093" s="1">
        <f t="shared" si="96"/>
        <v>34.4</v>
      </c>
      <c r="J2093" t="str">
        <f t="shared" si="97"/>
        <v>Low</v>
      </c>
      <c r="K2093" s="1"/>
      <c r="L2093" s="1">
        <v>0.04</v>
      </c>
      <c r="M2093" s="1">
        <v>6.19</v>
      </c>
      <c r="N2093" s="1" t="s">
        <v>33</v>
      </c>
      <c r="O2093" s="1" t="s">
        <v>34</v>
      </c>
      <c r="P2093" s="2">
        <v>41992</v>
      </c>
      <c r="Q2093" s="2" t="b">
        <f t="shared" si="98"/>
        <v>0</v>
      </c>
      <c r="V2093" s="2"/>
      <c r="W2093" s="2"/>
      <c r="X2093" s="2"/>
      <c r="Y2093" s="2"/>
      <c r="Z2093" s="2"/>
      <c r="AA2093" s="2"/>
      <c r="AB2093" s="2"/>
      <c r="AC2093" s="2"/>
      <c r="AD2093" s="2"/>
      <c r="AE2093" s="2"/>
      <c r="AF2093" s="2"/>
      <c r="AG2093" s="2"/>
      <c r="AH2093" s="2"/>
      <c r="AI2093" s="2"/>
    </row>
    <row r="2094" spans="1:35" ht="14.25" customHeight="1" x14ac:dyDescent="0.2">
      <c r="A2094" s="1">
        <v>41607</v>
      </c>
      <c r="B2094" s="1" t="s">
        <v>1642</v>
      </c>
      <c r="C2094" s="1" t="s">
        <v>21</v>
      </c>
      <c r="D2094" s="2">
        <v>41992</v>
      </c>
      <c r="E2094" s="1" t="s">
        <v>101</v>
      </c>
      <c r="F2094" s="1" t="s">
        <v>552</v>
      </c>
      <c r="G2094" s="1">
        <v>36</v>
      </c>
      <c r="H2094" s="1">
        <v>120.98</v>
      </c>
      <c r="I2094" s="1">
        <f t="shared" si="96"/>
        <v>4355.28</v>
      </c>
      <c r="J2094" t="str">
        <f t="shared" si="97"/>
        <v>High</v>
      </c>
      <c r="K2094" s="1"/>
      <c r="L2094" s="1">
        <v>0.1</v>
      </c>
      <c r="M2094" s="1">
        <v>9.07</v>
      </c>
      <c r="N2094" s="1" t="s">
        <v>33</v>
      </c>
      <c r="O2094" s="1" t="s">
        <v>34</v>
      </c>
      <c r="P2094" s="2">
        <v>41994</v>
      </c>
      <c r="Q2094" s="2" t="b">
        <f t="shared" si="98"/>
        <v>0</v>
      </c>
      <c r="V2094" s="2"/>
      <c r="W2094" s="2"/>
      <c r="X2094" s="2"/>
      <c r="Y2094" s="2"/>
      <c r="Z2094" s="2"/>
      <c r="AA2094" s="2"/>
      <c r="AB2094" s="2"/>
      <c r="AC2094" s="2"/>
      <c r="AD2094" s="2"/>
      <c r="AE2094" s="2"/>
      <c r="AF2094" s="2"/>
      <c r="AG2094" s="2"/>
      <c r="AH2094" s="2"/>
      <c r="AI2094" s="2"/>
    </row>
    <row r="2095" spans="1:35" ht="14.25" customHeight="1" x14ac:dyDescent="0.2">
      <c r="A2095" s="1">
        <v>6369</v>
      </c>
      <c r="B2095" s="1" t="s">
        <v>1028</v>
      </c>
      <c r="C2095" s="1" t="s">
        <v>30</v>
      </c>
      <c r="D2095" s="2">
        <v>41992</v>
      </c>
      <c r="E2095" s="1" t="s">
        <v>31</v>
      </c>
      <c r="F2095" s="1" t="s">
        <v>1643</v>
      </c>
      <c r="G2095" s="1">
        <v>30</v>
      </c>
      <c r="H2095" s="1">
        <v>550.98</v>
      </c>
      <c r="I2095" s="1">
        <f t="shared" si="96"/>
        <v>16529.400000000001</v>
      </c>
      <c r="J2095" t="str">
        <f t="shared" si="97"/>
        <v>High</v>
      </c>
      <c r="K2095" s="1"/>
      <c r="L2095" s="1">
        <v>0.1</v>
      </c>
      <c r="M2095" s="1">
        <v>45.7</v>
      </c>
      <c r="N2095" s="1" t="s">
        <v>45</v>
      </c>
      <c r="O2095" s="1" t="s">
        <v>63</v>
      </c>
      <c r="P2095" s="2">
        <v>41994</v>
      </c>
      <c r="Q2095" s="2" t="b">
        <f t="shared" si="98"/>
        <v>0</v>
      </c>
      <c r="V2095" s="2"/>
      <c r="W2095" s="2"/>
      <c r="X2095" s="2"/>
      <c r="Y2095" s="2"/>
      <c r="Z2095" s="2"/>
      <c r="AA2095" s="2"/>
      <c r="AB2095" s="2"/>
      <c r="AC2095" s="2"/>
      <c r="AD2095" s="2"/>
      <c r="AE2095" s="2"/>
      <c r="AF2095" s="2"/>
      <c r="AG2095" s="2"/>
      <c r="AH2095" s="2"/>
      <c r="AI2095" s="2"/>
    </row>
    <row r="2096" spans="1:35" ht="14.25" customHeight="1" x14ac:dyDescent="0.2">
      <c r="A2096" s="1">
        <v>40356</v>
      </c>
      <c r="B2096" s="1" t="s">
        <v>229</v>
      </c>
      <c r="C2096" s="1" t="s">
        <v>21</v>
      </c>
      <c r="D2096" s="2">
        <v>41992</v>
      </c>
      <c r="E2096" s="1" t="s">
        <v>22</v>
      </c>
      <c r="F2096" s="1" t="s">
        <v>502</v>
      </c>
      <c r="G2096" s="1">
        <v>48</v>
      </c>
      <c r="H2096" s="1">
        <v>4.0599999999999996</v>
      </c>
      <c r="I2096" s="1">
        <f t="shared" si="96"/>
        <v>194.88</v>
      </c>
      <c r="J2096" t="str">
        <f t="shared" si="97"/>
        <v>Low</v>
      </c>
      <c r="K2096" s="1"/>
      <c r="L2096" s="1">
        <v>0.05</v>
      </c>
      <c r="M2096" s="1">
        <v>6.89</v>
      </c>
      <c r="N2096" s="1" t="s">
        <v>25</v>
      </c>
      <c r="O2096" s="1" t="s">
        <v>34</v>
      </c>
      <c r="P2096" s="2">
        <v>41994</v>
      </c>
      <c r="Q2096" s="2" t="b">
        <f t="shared" si="98"/>
        <v>0</v>
      </c>
      <c r="V2096" s="2"/>
      <c r="W2096" s="2"/>
      <c r="X2096" s="2"/>
      <c r="Y2096" s="2"/>
      <c r="Z2096" s="2"/>
      <c r="AA2096" s="2"/>
      <c r="AB2096" s="2"/>
      <c r="AC2096" s="2"/>
      <c r="AD2096" s="2"/>
      <c r="AE2096" s="2"/>
      <c r="AF2096" s="2"/>
      <c r="AG2096" s="2"/>
      <c r="AH2096" s="2"/>
      <c r="AI2096" s="2"/>
    </row>
    <row r="2097" spans="1:35" ht="14.25" customHeight="1" x14ac:dyDescent="0.2">
      <c r="A2097" s="1">
        <v>36033</v>
      </c>
      <c r="B2097" s="1" t="s">
        <v>641</v>
      </c>
      <c r="C2097" s="1" t="s">
        <v>30</v>
      </c>
      <c r="D2097" s="2">
        <v>41992</v>
      </c>
      <c r="E2097" s="1" t="s">
        <v>22</v>
      </c>
      <c r="F2097" s="1" t="s">
        <v>481</v>
      </c>
      <c r="G2097" s="1">
        <v>15</v>
      </c>
      <c r="H2097" s="1">
        <v>4.9800000000000004</v>
      </c>
      <c r="I2097" s="1">
        <f t="shared" si="96"/>
        <v>74.7</v>
      </c>
      <c r="J2097" t="str">
        <f t="shared" si="97"/>
        <v>Low</v>
      </c>
      <c r="K2097" s="1"/>
      <c r="L2097" s="1">
        <v>0.06</v>
      </c>
      <c r="M2097" s="1">
        <v>4.62</v>
      </c>
      <c r="N2097" s="1" t="s">
        <v>25</v>
      </c>
      <c r="O2097" s="1" t="s">
        <v>84</v>
      </c>
      <c r="P2097" s="2">
        <v>41992</v>
      </c>
      <c r="Q2097" s="2" t="b">
        <f t="shared" si="98"/>
        <v>0</v>
      </c>
      <c r="V2097" s="2"/>
      <c r="W2097" s="2"/>
      <c r="X2097" s="2"/>
      <c r="Y2097" s="2"/>
      <c r="Z2097" s="2"/>
      <c r="AA2097" s="2"/>
      <c r="AB2097" s="2"/>
      <c r="AC2097" s="2"/>
      <c r="AD2097" s="2"/>
      <c r="AE2097" s="2"/>
      <c r="AF2097" s="2"/>
      <c r="AG2097" s="2"/>
      <c r="AH2097" s="2"/>
      <c r="AI2097" s="2"/>
    </row>
    <row r="2098" spans="1:35" ht="14.25" customHeight="1" x14ac:dyDescent="0.2">
      <c r="A2098" s="1">
        <v>38240</v>
      </c>
      <c r="B2098" s="1" t="s">
        <v>1481</v>
      </c>
      <c r="C2098" s="1" t="s">
        <v>51</v>
      </c>
      <c r="D2098" s="2">
        <v>41992</v>
      </c>
      <c r="E2098" s="1" t="s">
        <v>31</v>
      </c>
      <c r="F2098" s="1" t="s">
        <v>193</v>
      </c>
      <c r="G2098" s="1">
        <v>42</v>
      </c>
      <c r="H2098" s="1">
        <v>40.98</v>
      </c>
      <c r="I2098" s="1">
        <f t="shared" si="96"/>
        <v>1721.1599999999999</v>
      </c>
      <c r="J2098" t="str">
        <f t="shared" si="97"/>
        <v>High</v>
      </c>
      <c r="K2098" s="1"/>
      <c r="L2098" s="1">
        <v>0.09</v>
      </c>
      <c r="M2098" s="1">
        <v>6.5</v>
      </c>
      <c r="N2098" s="1" t="s">
        <v>33</v>
      </c>
      <c r="O2098" s="1" t="s">
        <v>34</v>
      </c>
      <c r="P2098" s="2">
        <v>41994</v>
      </c>
      <c r="Q2098" s="2" t="b">
        <f t="shared" si="98"/>
        <v>0</v>
      </c>
      <c r="V2098" s="2"/>
      <c r="W2098" s="2"/>
      <c r="X2098" s="2"/>
      <c r="Y2098" s="2"/>
      <c r="Z2098" s="2"/>
      <c r="AA2098" s="2"/>
      <c r="AB2098" s="2"/>
      <c r="AC2098" s="2"/>
      <c r="AD2098" s="2"/>
      <c r="AE2098" s="2"/>
      <c r="AF2098" s="2"/>
      <c r="AG2098" s="2"/>
      <c r="AH2098" s="2"/>
      <c r="AI2098" s="2"/>
    </row>
    <row r="2099" spans="1:35" ht="14.25" customHeight="1" x14ac:dyDescent="0.2">
      <c r="A2099" s="1">
        <v>10624</v>
      </c>
      <c r="B2099" s="1" t="s">
        <v>167</v>
      </c>
      <c r="C2099" s="1" t="s">
        <v>21</v>
      </c>
      <c r="D2099" s="2">
        <v>41993</v>
      </c>
      <c r="E2099" s="1" t="s">
        <v>38</v>
      </c>
      <c r="F2099" s="1" t="s">
        <v>615</v>
      </c>
      <c r="G2099" s="1">
        <v>23</v>
      </c>
      <c r="H2099" s="1">
        <v>47.98</v>
      </c>
      <c r="I2099" s="1">
        <f t="shared" si="96"/>
        <v>1103.54</v>
      </c>
      <c r="J2099" t="str">
        <f t="shared" si="97"/>
        <v>High</v>
      </c>
      <c r="K2099" s="1"/>
      <c r="L2099" s="1">
        <v>0.06</v>
      </c>
      <c r="M2099" s="1">
        <v>3.61</v>
      </c>
      <c r="N2099" s="1" t="s">
        <v>33</v>
      </c>
      <c r="O2099" s="1" t="s">
        <v>84</v>
      </c>
      <c r="P2099" s="2">
        <v>41995</v>
      </c>
      <c r="Q2099" s="2" t="b">
        <f t="shared" si="98"/>
        <v>0</v>
      </c>
      <c r="V2099" s="2"/>
      <c r="W2099" s="2"/>
      <c r="X2099" s="2"/>
      <c r="Y2099" s="2"/>
      <c r="Z2099" s="2"/>
      <c r="AA2099" s="2"/>
      <c r="AB2099" s="2"/>
      <c r="AC2099" s="2"/>
      <c r="AD2099" s="2"/>
      <c r="AE2099" s="2"/>
      <c r="AF2099" s="2"/>
      <c r="AG2099" s="2"/>
      <c r="AH2099" s="2"/>
      <c r="AI2099" s="2"/>
    </row>
    <row r="2100" spans="1:35" ht="14.25" customHeight="1" x14ac:dyDescent="0.2">
      <c r="A2100" s="1">
        <v>1411</v>
      </c>
      <c r="B2100" s="1" t="s">
        <v>1414</v>
      </c>
      <c r="C2100" s="1" t="s">
        <v>30</v>
      </c>
      <c r="D2100" s="2">
        <v>41993</v>
      </c>
      <c r="E2100" s="1" t="s">
        <v>31</v>
      </c>
      <c r="F2100" s="1" t="s">
        <v>672</v>
      </c>
      <c r="G2100" s="1">
        <v>39</v>
      </c>
      <c r="H2100" s="1">
        <v>160.97999999999999</v>
      </c>
      <c r="I2100" s="1">
        <f t="shared" si="96"/>
        <v>6278.2199999999993</v>
      </c>
      <c r="J2100" t="str">
        <f t="shared" si="97"/>
        <v>High</v>
      </c>
      <c r="K2100" s="1"/>
      <c r="L2100" s="1">
        <v>0.09</v>
      </c>
      <c r="M2100" s="1">
        <v>35.020000000000003</v>
      </c>
      <c r="N2100" s="1" t="s">
        <v>45</v>
      </c>
      <c r="O2100" s="1" t="s">
        <v>63</v>
      </c>
      <c r="P2100" s="2">
        <v>41994</v>
      </c>
      <c r="Q2100" s="2" t="b">
        <f t="shared" si="98"/>
        <v>0</v>
      </c>
      <c r="V2100" s="2"/>
      <c r="W2100" s="2"/>
      <c r="X2100" s="2"/>
      <c r="Y2100" s="2"/>
      <c r="Z2100" s="2"/>
      <c r="AA2100" s="2"/>
      <c r="AB2100" s="2"/>
      <c r="AC2100" s="2"/>
      <c r="AD2100" s="2"/>
      <c r="AE2100" s="2"/>
      <c r="AF2100" s="2"/>
      <c r="AG2100" s="2"/>
      <c r="AH2100" s="2"/>
      <c r="AI2100" s="2"/>
    </row>
    <row r="2101" spans="1:35" ht="14.25" customHeight="1" x14ac:dyDescent="0.2">
      <c r="A2101" s="1">
        <v>20965</v>
      </c>
      <c r="B2101" s="1" t="s">
        <v>1461</v>
      </c>
      <c r="C2101" s="1" t="s">
        <v>21</v>
      </c>
      <c r="D2101" s="2">
        <v>41993</v>
      </c>
      <c r="E2101" s="1" t="s">
        <v>38</v>
      </c>
      <c r="F2101" s="1" t="s">
        <v>768</v>
      </c>
      <c r="G2101" s="1">
        <v>38</v>
      </c>
      <c r="H2101" s="1">
        <v>59.76</v>
      </c>
      <c r="I2101" s="1">
        <f t="shared" si="96"/>
        <v>2270.88</v>
      </c>
      <c r="J2101" t="str">
        <f t="shared" si="97"/>
        <v>High</v>
      </c>
      <c r="K2101" s="1"/>
      <c r="L2101" s="1">
        <v>0.06</v>
      </c>
      <c r="M2101" s="1">
        <v>9.7100000000000009</v>
      </c>
      <c r="N2101" s="1" t="s">
        <v>33</v>
      </c>
      <c r="O2101" s="1" t="s">
        <v>34</v>
      </c>
      <c r="P2101" s="2">
        <v>41996</v>
      </c>
      <c r="Q2101" s="2" t="b">
        <f t="shared" si="98"/>
        <v>0</v>
      </c>
      <c r="V2101" s="2"/>
      <c r="W2101" s="2"/>
      <c r="X2101" s="2"/>
      <c r="Y2101" s="2"/>
      <c r="Z2101" s="2"/>
      <c r="AA2101" s="2"/>
      <c r="AB2101" s="2"/>
      <c r="AC2101" s="2"/>
      <c r="AD2101" s="2"/>
      <c r="AE2101" s="2"/>
      <c r="AF2101" s="2"/>
      <c r="AG2101" s="2"/>
      <c r="AH2101" s="2"/>
      <c r="AI2101" s="2"/>
    </row>
    <row r="2102" spans="1:35" ht="14.25" customHeight="1" x14ac:dyDescent="0.2">
      <c r="A2102" s="1">
        <v>20965</v>
      </c>
      <c r="B2102" s="1" t="s">
        <v>1461</v>
      </c>
      <c r="C2102" s="1" t="s">
        <v>30</v>
      </c>
      <c r="D2102" s="2">
        <v>41993</v>
      </c>
      <c r="E2102" s="1" t="s">
        <v>38</v>
      </c>
      <c r="F2102" s="1" t="s">
        <v>1620</v>
      </c>
      <c r="G2102" s="1">
        <v>8</v>
      </c>
      <c r="H2102" s="1">
        <v>195.99</v>
      </c>
      <c r="I2102" s="1">
        <f t="shared" si="96"/>
        <v>1567.92</v>
      </c>
      <c r="J2102" t="str">
        <f t="shared" si="97"/>
        <v>High</v>
      </c>
      <c r="K2102" s="1"/>
      <c r="L2102" s="1">
        <v>7.0000000000000007E-2</v>
      </c>
      <c r="M2102" s="1">
        <v>4.2</v>
      </c>
      <c r="N2102" s="1" t="s">
        <v>33</v>
      </c>
      <c r="O2102" s="1" t="s">
        <v>34</v>
      </c>
      <c r="P2102" s="2">
        <v>41996</v>
      </c>
      <c r="Q2102" s="2" t="b">
        <f t="shared" si="98"/>
        <v>0</v>
      </c>
      <c r="V2102" s="2"/>
      <c r="W2102" s="2"/>
      <c r="X2102" s="2"/>
      <c r="Y2102" s="2"/>
      <c r="Z2102" s="2"/>
      <c r="AA2102" s="2"/>
      <c r="AB2102" s="2"/>
      <c r="AC2102" s="2"/>
      <c r="AD2102" s="2"/>
      <c r="AE2102" s="2"/>
      <c r="AF2102" s="2"/>
      <c r="AG2102" s="2"/>
      <c r="AH2102" s="2"/>
      <c r="AI2102" s="2"/>
    </row>
    <row r="2103" spans="1:35" ht="14.25" customHeight="1" x14ac:dyDescent="0.2">
      <c r="A2103" s="1">
        <v>1411</v>
      </c>
      <c r="B2103" s="1" t="s">
        <v>1414</v>
      </c>
      <c r="C2103" s="1" t="s">
        <v>51</v>
      </c>
      <c r="D2103" s="2">
        <v>41993</v>
      </c>
      <c r="E2103" s="1" t="s">
        <v>31</v>
      </c>
      <c r="F2103" s="1" t="s">
        <v>568</v>
      </c>
      <c r="G2103" s="1">
        <v>47</v>
      </c>
      <c r="H2103" s="1">
        <v>175.99</v>
      </c>
      <c r="I2103" s="1">
        <f t="shared" si="96"/>
        <v>8271.5300000000007</v>
      </c>
      <c r="J2103" t="str">
        <f t="shared" si="97"/>
        <v>High</v>
      </c>
      <c r="K2103" s="1"/>
      <c r="L2103" s="1">
        <v>0.09</v>
      </c>
      <c r="M2103" s="1">
        <v>4.99</v>
      </c>
      <c r="N2103" s="1" t="s">
        <v>33</v>
      </c>
      <c r="O2103" s="1" t="s">
        <v>34</v>
      </c>
      <c r="P2103" s="2">
        <v>41995</v>
      </c>
      <c r="Q2103" s="2" t="b">
        <f t="shared" si="98"/>
        <v>0</v>
      </c>
      <c r="V2103" s="2"/>
      <c r="W2103" s="2"/>
      <c r="X2103" s="2"/>
      <c r="Y2103" s="2"/>
      <c r="Z2103" s="2"/>
      <c r="AA2103" s="2"/>
      <c r="AB2103" s="2"/>
      <c r="AC2103" s="2"/>
      <c r="AD2103" s="2"/>
      <c r="AE2103" s="2"/>
      <c r="AF2103" s="2"/>
      <c r="AG2103" s="2"/>
      <c r="AH2103" s="2"/>
      <c r="AI2103" s="2"/>
    </row>
    <row r="2104" spans="1:35" ht="14.25" customHeight="1" x14ac:dyDescent="0.2">
      <c r="A2104" s="1">
        <v>6562</v>
      </c>
      <c r="B2104" s="1" t="s">
        <v>977</v>
      </c>
      <c r="C2104" s="1" t="s">
        <v>21</v>
      </c>
      <c r="D2104" s="2">
        <v>41993</v>
      </c>
      <c r="E2104" s="1" t="s">
        <v>38</v>
      </c>
      <c r="F2104" s="1" t="s">
        <v>1604</v>
      </c>
      <c r="G2104" s="1">
        <v>12</v>
      </c>
      <c r="H2104" s="1">
        <v>1360.14</v>
      </c>
      <c r="I2104" s="1">
        <f t="shared" si="96"/>
        <v>16321.68</v>
      </c>
      <c r="J2104" t="str">
        <f t="shared" si="97"/>
        <v>High</v>
      </c>
      <c r="K2104" s="1"/>
      <c r="L2104" s="1">
        <v>0.02</v>
      </c>
      <c r="M2104" s="1">
        <v>14.7</v>
      </c>
      <c r="N2104" s="1" t="s">
        <v>45</v>
      </c>
      <c r="O2104" s="1" t="s">
        <v>46</v>
      </c>
      <c r="P2104" s="2">
        <v>41995</v>
      </c>
      <c r="Q2104" s="2" t="b">
        <f t="shared" si="98"/>
        <v>0</v>
      </c>
      <c r="V2104" s="2"/>
      <c r="W2104" s="2"/>
      <c r="X2104" s="2"/>
      <c r="Y2104" s="2"/>
      <c r="Z2104" s="2"/>
      <c r="AA2104" s="2"/>
      <c r="AB2104" s="2"/>
      <c r="AC2104" s="2"/>
      <c r="AD2104" s="2"/>
      <c r="AE2104" s="2"/>
      <c r="AF2104" s="2"/>
      <c r="AG2104" s="2"/>
      <c r="AH2104" s="2"/>
      <c r="AI2104" s="2"/>
    </row>
    <row r="2105" spans="1:35" ht="14.25" customHeight="1" x14ac:dyDescent="0.2">
      <c r="A2105" s="1">
        <v>42852</v>
      </c>
      <c r="B2105" s="1" t="s">
        <v>977</v>
      </c>
      <c r="C2105" s="1" t="s">
        <v>30</v>
      </c>
      <c r="D2105" s="2">
        <v>41993</v>
      </c>
      <c r="E2105" s="1" t="s">
        <v>22</v>
      </c>
      <c r="F2105" s="1" t="s">
        <v>888</v>
      </c>
      <c r="G2105" s="1">
        <v>13</v>
      </c>
      <c r="H2105" s="1">
        <v>9.06</v>
      </c>
      <c r="I2105" s="1">
        <f t="shared" si="96"/>
        <v>117.78</v>
      </c>
      <c r="J2105" t="str">
        <f t="shared" si="97"/>
        <v>Low</v>
      </c>
      <c r="K2105" s="1"/>
      <c r="L2105" s="1">
        <v>0.02</v>
      </c>
      <c r="M2105" s="1">
        <v>9.86</v>
      </c>
      <c r="N2105" s="1" t="s">
        <v>33</v>
      </c>
      <c r="O2105" s="1" t="s">
        <v>34</v>
      </c>
      <c r="P2105" s="2">
        <v>41995</v>
      </c>
      <c r="Q2105" s="2" t="b">
        <f t="shared" si="98"/>
        <v>0</v>
      </c>
      <c r="V2105" s="2"/>
      <c r="W2105" s="2"/>
      <c r="X2105" s="2"/>
      <c r="Y2105" s="2"/>
      <c r="Z2105" s="2"/>
      <c r="AA2105" s="2"/>
      <c r="AB2105" s="2"/>
      <c r="AC2105" s="2"/>
      <c r="AD2105" s="2"/>
      <c r="AE2105" s="2"/>
      <c r="AF2105" s="2"/>
      <c r="AG2105" s="2"/>
      <c r="AH2105" s="2"/>
      <c r="AI2105" s="2"/>
    </row>
    <row r="2106" spans="1:35" ht="14.25" customHeight="1" x14ac:dyDescent="0.2">
      <c r="A2106" s="1">
        <v>13830</v>
      </c>
      <c r="B2106" s="1" t="s">
        <v>1644</v>
      </c>
      <c r="C2106" s="1" t="s">
        <v>51</v>
      </c>
      <c r="D2106" s="2">
        <v>41994</v>
      </c>
      <c r="E2106" s="1" t="s">
        <v>31</v>
      </c>
      <c r="F2106" s="1" t="s">
        <v>210</v>
      </c>
      <c r="G2106" s="1">
        <v>27</v>
      </c>
      <c r="H2106" s="1">
        <v>90.48</v>
      </c>
      <c r="I2106" s="1">
        <f t="shared" si="96"/>
        <v>2442.96</v>
      </c>
      <c r="J2106" t="str">
        <f t="shared" si="97"/>
        <v>High</v>
      </c>
      <c r="K2106" s="1"/>
      <c r="L2106" s="1">
        <v>0</v>
      </c>
      <c r="M2106" s="1">
        <v>19.989999999999998</v>
      </c>
      <c r="N2106" s="1" t="s">
        <v>33</v>
      </c>
      <c r="O2106" s="1" t="s">
        <v>34</v>
      </c>
      <c r="P2106" s="2">
        <v>41997</v>
      </c>
      <c r="Q2106" s="2" t="b">
        <f t="shared" si="98"/>
        <v>0</v>
      </c>
      <c r="V2106" s="2"/>
      <c r="W2106" s="2"/>
      <c r="X2106" s="2"/>
      <c r="Y2106" s="2"/>
      <c r="Z2106" s="2"/>
      <c r="AA2106" s="2"/>
      <c r="AB2106" s="2"/>
      <c r="AC2106" s="2"/>
      <c r="AD2106" s="2"/>
      <c r="AE2106" s="2"/>
      <c r="AF2106" s="2"/>
      <c r="AG2106" s="2"/>
      <c r="AH2106" s="2"/>
      <c r="AI2106" s="2"/>
    </row>
    <row r="2107" spans="1:35" ht="14.25" customHeight="1" x14ac:dyDescent="0.2">
      <c r="A2107" s="1">
        <v>3458</v>
      </c>
      <c r="B2107" s="1" t="s">
        <v>1622</v>
      </c>
      <c r="C2107" s="1" t="s">
        <v>51</v>
      </c>
      <c r="D2107" s="2">
        <v>41994</v>
      </c>
      <c r="E2107" s="1" t="s">
        <v>31</v>
      </c>
      <c r="F2107" s="1" t="s">
        <v>724</v>
      </c>
      <c r="G2107" s="1">
        <v>41</v>
      </c>
      <c r="H2107" s="1">
        <v>15.28</v>
      </c>
      <c r="I2107" s="1">
        <f t="shared" si="96"/>
        <v>626.48</v>
      </c>
      <c r="J2107" t="str">
        <f t="shared" si="97"/>
        <v>Low</v>
      </c>
      <c r="K2107" s="1"/>
      <c r="L2107" s="1">
        <v>0.03</v>
      </c>
      <c r="M2107" s="1">
        <v>1.99</v>
      </c>
      <c r="N2107" s="1" t="s">
        <v>33</v>
      </c>
      <c r="O2107" s="1" t="s">
        <v>84</v>
      </c>
      <c r="P2107" s="2">
        <v>41996</v>
      </c>
      <c r="Q2107" s="2" t="b">
        <f t="shared" si="98"/>
        <v>0</v>
      </c>
      <c r="V2107" s="2"/>
      <c r="W2107" s="2"/>
      <c r="X2107" s="2"/>
      <c r="Y2107" s="2"/>
      <c r="Z2107" s="2"/>
      <c r="AA2107" s="2"/>
      <c r="AB2107" s="2"/>
      <c r="AC2107" s="2"/>
      <c r="AD2107" s="2"/>
      <c r="AE2107" s="2"/>
      <c r="AF2107" s="2"/>
      <c r="AG2107" s="2"/>
      <c r="AH2107" s="2"/>
      <c r="AI2107" s="2"/>
    </row>
    <row r="2108" spans="1:35" ht="14.25" customHeight="1" x14ac:dyDescent="0.2">
      <c r="A2108" s="1">
        <v>3458</v>
      </c>
      <c r="B2108" s="1" t="s">
        <v>1622</v>
      </c>
      <c r="C2108" s="1" t="s">
        <v>30</v>
      </c>
      <c r="D2108" s="2">
        <v>41994</v>
      </c>
      <c r="E2108" s="1" t="s">
        <v>31</v>
      </c>
      <c r="F2108" s="1" t="s">
        <v>817</v>
      </c>
      <c r="G2108" s="1">
        <v>28</v>
      </c>
      <c r="H2108" s="1">
        <v>1.76</v>
      </c>
      <c r="I2108" s="1">
        <f t="shared" si="96"/>
        <v>49.28</v>
      </c>
      <c r="J2108" t="str">
        <f t="shared" si="97"/>
        <v>Low</v>
      </c>
      <c r="K2108" s="1"/>
      <c r="L2108" s="1">
        <v>0.09</v>
      </c>
      <c r="M2108" s="1">
        <v>0.7</v>
      </c>
      <c r="N2108" s="1" t="s">
        <v>33</v>
      </c>
      <c r="O2108" s="1" t="s">
        <v>55</v>
      </c>
      <c r="P2108" s="2">
        <v>41997</v>
      </c>
      <c r="Q2108" s="2" t="b">
        <f t="shared" si="98"/>
        <v>0</v>
      </c>
      <c r="V2108" s="2"/>
      <c r="W2108" s="2"/>
      <c r="X2108" s="2"/>
      <c r="Y2108" s="2"/>
      <c r="Z2108" s="2"/>
      <c r="AA2108" s="2"/>
      <c r="AB2108" s="2"/>
      <c r="AC2108" s="2"/>
      <c r="AD2108" s="2"/>
      <c r="AE2108" s="2"/>
      <c r="AF2108" s="2"/>
      <c r="AG2108" s="2"/>
      <c r="AH2108" s="2"/>
      <c r="AI2108" s="2"/>
    </row>
    <row r="2109" spans="1:35" ht="14.25" customHeight="1" x14ac:dyDescent="0.2">
      <c r="A2109" s="1">
        <v>37888</v>
      </c>
      <c r="B2109" s="1" t="s">
        <v>1645</v>
      </c>
      <c r="C2109" s="1" t="s">
        <v>30</v>
      </c>
      <c r="D2109" s="2">
        <v>41995</v>
      </c>
      <c r="E2109" s="1" t="s">
        <v>38</v>
      </c>
      <c r="F2109" s="1" t="s">
        <v>830</v>
      </c>
      <c r="G2109" s="1">
        <v>31</v>
      </c>
      <c r="H2109" s="1">
        <v>20.98</v>
      </c>
      <c r="I2109" s="1">
        <f t="shared" si="96"/>
        <v>650.38</v>
      </c>
      <c r="J2109" t="str">
        <f t="shared" si="97"/>
        <v>Low</v>
      </c>
      <c r="K2109" s="1"/>
      <c r="L2109" s="1">
        <v>0.09</v>
      </c>
      <c r="M2109" s="1">
        <v>1.49</v>
      </c>
      <c r="N2109" s="1" t="s">
        <v>33</v>
      </c>
      <c r="O2109" s="1" t="s">
        <v>34</v>
      </c>
      <c r="P2109" s="2">
        <v>41997</v>
      </c>
      <c r="Q2109" s="2" t="b">
        <f t="shared" si="98"/>
        <v>0</v>
      </c>
      <c r="V2109" s="2"/>
      <c r="W2109" s="2"/>
      <c r="X2109" s="2"/>
      <c r="Y2109" s="2"/>
      <c r="Z2109" s="2"/>
      <c r="AA2109" s="2"/>
      <c r="AB2109" s="2"/>
      <c r="AC2109" s="2"/>
      <c r="AD2109" s="2"/>
      <c r="AE2109" s="2"/>
      <c r="AF2109" s="2"/>
      <c r="AG2109" s="2"/>
      <c r="AH2109" s="2"/>
      <c r="AI2109" s="2"/>
    </row>
    <row r="2110" spans="1:35" ht="14.25" customHeight="1" x14ac:dyDescent="0.2">
      <c r="A2110" s="1">
        <v>59845</v>
      </c>
      <c r="B2110" s="1" t="s">
        <v>1356</v>
      </c>
      <c r="C2110" s="1" t="s">
        <v>51</v>
      </c>
      <c r="D2110" s="2">
        <v>41995</v>
      </c>
      <c r="E2110" s="1" t="s">
        <v>43</v>
      </c>
      <c r="F2110" s="1" t="s">
        <v>1056</v>
      </c>
      <c r="G2110" s="1">
        <v>42</v>
      </c>
      <c r="H2110" s="1">
        <v>4.71</v>
      </c>
      <c r="I2110" s="1">
        <f t="shared" si="96"/>
        <v>197.82</v>
      </c>
      <c r="J2110" t="str">
        <f t="shared" si="97"/>
        <v>Low</v>
      </c>
      <c r="K2110" s="1"/>
      <c r="L2110" s="1">
        <v>0.04</v>
      </c>
      <c r="M2110" s="1">
        <v>0.7</v>
      </c>
      <c r="N2110" s="1" t="s">
        <v>33</v>
      </c>
      <c r="O2110" s="1" t="s">
        <v>55</v>
      </c>
      <c r="P2110" s="2">
        <v>41999</v>
      </c>
      <c r="Q2110" s="2" t="b">
        <f t="shared" si="98"/>
        <v>0</v>
      </c>
      <c r="V2110" s="2"/>
      <c r="W2110" s="2"/>
      <c r="X2110" s="2"/>
      <c r="Y2110" s="2"/>
      <c r="Z2110" s="2"/>
      <c r="AA2110" s="2"/>
      <c r="AB2110" s="2"/>
      <c r="AC2110" s="2"/>
      <c r="AD2110" s="2"/>
      <c r="AE2110" s="2"/>
      <c r="AF2110" s="2"/>
      <c r="AG2110" s="2"/>
      <c r="AH2110" s="2"/>
      <c r="AI2110" s="2"/>
    </row>
    <row r="2111" spans="1:35" ht="14.25" customHeight="1" x14ac:dyDescent="0.2">
      <c r="A2111" s="1">
        <v>59845</v>
      </c>
      <c r="B2111" s="1" t="s">
        <v>1356</v>
      </c>
      <c r="C2111" s="1" t="s">
        <v>51</v>
      </c>
      <c r="D2111" s="2">
        <v>41995</v>
      </c>
      <c r="E2111" s="1" t="s">
        <v>43</v>
      </c>
      <c r="F2111" s="1" t="s">
        <v>254</v>
      </c>
      <c r="G2111" s="1">
        <v>28</v>
      </c>
      <c r="H2111" s="1">
        <v>4.2</v>
      </c>
      <c r="I2111" s="1">
        <f t="shared" si="96"/>
        <v>117.60000000000001</v>
      </c>
      <c r="J2111" t="str">
        <f t="shared" si="97"/>
        <v>Low</v>
      </c>
      <c r="K2111" s="1"/>
      <c r="L2111" s="1">
        <v>0.06</v>
      </c>
      <c r="M2111" s="1">
        <v>2.2599999999999998</v>
      </c>
      <c r="N2111" s="1" t="s">
        <v>33</v>
      </c>
      <c r="O2111" s="1" t="s">
        <v>55</v>
      </c>
      <c r="P2111" s="2">
        <v>42000</v>
      </c>
      <c r="Q2111" s="2" t="b">
        <f t="shared" si="98"/>
        <v>0</v>
      </c>
      <c r="V2111" s="2"/>
      <c r="W2111" s="2"/>
      <c r="X2111" s="2"/>
      <c r="Y2111" s="2"/>
      <c r="Z2111" s="2"/>
      <c r="AA2111" s="2"/>
      <c r="AB2111" s="2"/>
      <c r="AC2111" s="2"/>
      <c r="AD2111" s="2"/>
      <c r="AE2111" s="2"/>
      <c r="AF2111" s="2"/>
      <c r="AG2111" s="2"/>
      <c r="AH2111" s="2"/>
      <c r="AI2111" s="2"/>
    </row>
    <row r="2112" spans="1:35" ht="14.25" customHeight="1" x14ac:dyDescent="0.2">
      <c r="A2112" s="1">
        <v>22279</v>
      </c>
      <c r="B2112" s="1" t="s">
        <v>1646</v>
      </c>
      <c r="C2112" s="1" t="s">
        <v>30</v>
      </c>
      <c r="D2112" s="2">
        <v>41995</v>
      </c>
      <c r="E2112" s="1" t="s">
        <v>22</v>
      </c>
      <c r="F2112" s="1" t="s">
        <v>1647</v>
      </c>
      <c r="G2112" s="1">
        <v>43</v>
      </c>
      <c r="H2112" s="1">
        <v>54.96</v>
      </c>
      <c r="I2112" s="1">
        <f t="shared" si="96"/>
        <v>2363.2800000000002</v>
      </c>
      <c r="J2112" t="str">
        <f t="shared" si="97"/>
        <v>High</v>
      </c>
      <c r="K2112" s="1"/>
      <c r="L2112" s="1">
        <v>0.03</v>
      </c>
      <c r="M2112" s="1">
        <v>10.75</v>
      </c>
      <c r="N2112" s="1" t="s">
        <v>33</v>
      </c>
      <c r="O2112" s="1" t="s">
        <v>34</v>
      </c>
      <c r="P2112" s="2">
        <v>41998</v>
      </c>
      <c r="Q2112" s="2" t="b">
        <f t="shared" si="98"/>
        <v>0</v>
      </c>
      <c r="V2112" s="2"/>
      <c r="W2112" s="2"/>
      <c r="X2112" s="2"/>
      <c r="Y2112" s="2"/>
      <c r="Z2112" s="2"/>
      <c r="AA2112" s="2"/>
      <c r="AB2112" s="2"/>
      <c r="AC2112" s="2"/>
      <c r="AD2112" s="2"/>
      <c r="AE2112" s="2"/>
      <c r="AF2112" s="2"/>
      <c r="AG2112" s="2"/>
      <c r="AH2112" s="2"/>
      <c r="AI2112" s="2"/>
    </row>
    <row r="2113" spans="1:35" ht="14.25" customHeight="1" x14ac:dyDescent="0.2">
      <c r="A2113" s="1">
        <v>36934</v>
      </c>
      <c r="B2113" s="1" t="s">
        <v>1648</v>
      </c>
      <c r="C2113" s="1" t="s">
        <v>30</v>
      </c>
      <c r="D2113" s="2">
        <v>41995</v>
      </c>
      <c r="E2113" s="1" t="s">
        <v>101</v>
      </c>
      <c r="F2113" s="1" t="s">
        <v>331</v>
      </c>
      <c r="G2113" s="1">
        <v>7</v>
      </c>
      <c r="H2113" s="1">
        <v>150.97999999999999</v>
      </c>
      <c r="I2113" s="1">
        <f t="shared" si="96"/>
        <v>1056.8599999999999</v>
      </c>
      <c r="J2113" t="str">
        <f t="shared" si="97"/>
        <v>High</v>
      </c>
      <c r="K2113" s="1"/>
      <c r="L2113" s="1">
        <v>0.02</v>
      </c>
      <c r="M2113" s="1">
        <v>13.99</v>
      </c>
      <c r="N2113" s="1" t="s">
        <v>25</v>
      </c>
      <c r="O2113" s="1" t="s">
        <v>72</v>
      </c>
      <c r="P2113" s="2">
        <v>41997</v>
      </c>
      <c r="Q2113" s="2" t="b">
        <f t="shared" si="98"/>
        <v>0</v>
      </c>
      <c r="V2113" s="2"/>
      <c r="W2113" s="2"/>
      <c r="X2113" s="2"/>
      <c r="Y2113" s="2"/>
      <c r="Z2113" s="2"/>
      <c r="AA2113" s="2"/>
      <c r="AB2113" s="2"/>
      <c r="AC2113" s="2"/>
      <c r="AD2113" s="2"/>
      <c r="AE2113" s="2"/>
      <c r="AF2113" s="2"/>
      <c r="AG2113" s="2"/>
      <c r="AH2113" s="2"/>
      <c r="AI2113" s="2"/>
    </row>
    <row r="2114" spans="1:35" ht="14.25" customHeight="1" x14ac:dyDescent="0.2">
      <c r="A2114" s="1">
        <v>36934</v>
      </c>
      <c r="B2114" s="1" t="s">
        <v>1648</v>
      </c>
      <c r="C2114" s="1" t="s">
        <v>51</v>
      </c>
      <c r="D2114" s="2">
        <v>41995</v>
      </c>
      <c r="E2114" s="1" t="s">
        <v>101</v>
      </c>
      <c r="F2114" s="1" t="s">
        <v>874</v>
      </c>
      <c r="G2114" s="1">
        <v>2</v>
      </c>
      <c r="H2114" s="1">
        <v>5.43</v>
      </c>
      <c r="I2114" s="1">
        <f t="shared" ref="I2114:I2177" si="99">G2114*H2114</f>
        <v>10.86</v>
      </c>
      <c r="J2114" t="str">
        <f t="shared" ref="J2114:J2177" si="100">IF(I2114&lt;1000,"Low","High")</f>
        <v>Low</v>
      </c>
      <c r="K2114" s="1"/>
      <c r="L2114" s="1">
        <v>0.1</v>
      </c>
      <c r="M2114" s="1">
        <v>0.95</v>
      </c>
      <c r="N2114" s="1" t="s">
        <v>33</v>
      </c>
      <c r="O2114" s="1" t="s">
        <v>55</v>
      </c>
      <c r="P2114" s="2">
        <v>41997</v>
      </c>
      <c r="Q2114" s="2" t="b">
        <f t="shared" ref="Q2114:Q2154" si="101">AND(N2114="Express Air",O2114="Large Box")</f>
        <v>0</v>
      </c>
      <c r="V2114" s="2"/>
      <c r="W2114" s="2"/>
      <c r="X2114" s="2"/>
      <c r="Y2114" s="2"/>
      <c r="Z2114" s="2"/>
      <c r="AA2114" s="2"/>
      <c r="AB2114" s="2"/>
      <c r="AC2114" s="2"/>
      <c r="AD2114" s="2"/>
      <c r="AE2114" s="2"/>
      <c r="AF2114" s="2"/>
      <c r="AG2114" s="2"/>
      <c r="AH2114" s="2"/>
      <c r="AI2114" s="2"/>
    </row>
    <row r="2115" spans="1:35" ht="14.25" customHeight="1" x14ac:dyDescent="0.2">
      <c r="A2115" s="1">
        <v>36934</v>
      </c>
      <c r="B2115" s="1" t="s">
        <v>1648</v>
      </c>
      <c r="C2115" s="1" t="s">
        <v>51</v>
      </c>
      <c r="D2115" s="2">
        <v>41995</v>
      </c>
      <c r="E2115" s="1" t="s">
        <v>101</v>
      </c>
      <c r="F2115" s="1" t="s">
        <v>237</v>
      </c>
      <c r="G2115" s="1">
        <v>45</v>
      </c>
      <c r="H2115" s="1">
        <v>179.29</v>
      </c>
      <c r="I2115" s="1">
        <f t="shared" si="99"/>
        <v>8068.0499999999993</v>
      </c>
      <c r="J2115" t="str">
        <f t="shared" si="100"/>
        <v>High</v>
      </c>
      <c r="K2115" s="1"/>
      <c r="L2115" s="1">
        <v>0.01</v>
      </c>
      <c r="M2115" s="1">
        <v>29.21</v>
      </c>
      <c r="N2115" s="1" t="s">
        <v>45</v>
      </c>
      <c r="O2115" s="1" t="s">
        <v>63</v>
      </c>
      <c r="P2115" s="2">
        <v>41996</v>
      </c>
      <c r="Q2115" s="2" t="b">
        <f t="shared" si="101"/>
        <v>0</v>
      </c>
      <c r="V2115" s="2"/>
      <c r="W2115" s="2"/>
      <c r="X2115" s="2"/>
      <c r="Y2115" s="2"/>
      <c r="Z2115" s="2"/>
      <c r="AA2115" s="2"/>
      <c r="AB2115" s="2"/>
      <c r="AC2115" s="2"/>
      <c r="AD2115" s="2"/>
      <c r="AE2115" s="2"/>
      <c r="AF2115" s="2"/>
      <c r="AG2115" s="2"/>
      <c r="AH2115" s="2"/>
      <c r="AI2115" s="2"/>
    </row>
    <row r="2116" spans="1:35" ht="14.25" customHeight="1" x14ac:dyDescent="0.2">
      <c r="A2116" s="1">
        <v>36677</v>
      </c>
      <c r="B2116" s="1" t="s">
        <v>1649</v>
      </c>
      <c r="C2116" s="1" t="s">
        <v>21</v>
      </c>
      <c r="D2116" s="2">
        <v>41996</v>
      </c>
      <c r="E2116" s="1" t="s">
        <v>43</v>
      </c>
      <c r="F2116" s="1" t="s">
        <v>1650</v>
      </c>
      <c r="G2116" s="1">
        <v>38</v>
      </c>
      <c r="H2116" s="1">
        <v>599.99</v>
      </c>
      <c r="I2116" s="1">
        <f t="shared" si="99"/>
        <v>22799.62</v>
      </c>
      <c r="J2116" t="str">
        <f t="shared" si="100"/>
        <v>High</v>
      </c>
      <c r="K2116" s="1"/>
      <c r="L2116" s="1">
        <v>0</v>
      </c>
      <c r="M2116" s="1">
        <v>24.49</v>
      </c>
      <c r="N2116" s="1" t="s">
        <v>33</v>
      </c>
      <c r="O2116" s="1" t="s">
        <v>26</v>
      </c>
      <c r="P2116" s="2">
        <v>41998</v>
      </c>
      <c r="Q2116" s="2" t="b">
        <f t="shared" si="101"/>
        <v>0</v>
      </c>
      <c r="V2116" s="2"/>
      <c r="W2116" s="2"/>
      <c r="X2116" s="2"/>
      <c r="Y2116" s="2"/>
      <c r="Z2116" s="2"/>
      <c r="AA2116" s="2"/>
      <c r="AB2116" s="2"/>
      <c r="AC2116" s="2"/>
      <c r="AD2116" s="2"/>
      <c r="AE2116" s="2"/>
      <c r="AF2116" s="2"/>
      <c r="AG2116" s="2"/>
      <c r="AH2116" s="2"/>
      <c r="AI2116" s="2"/>
    </row>
    <row r="2117" spans="1:35" ht="14.25" customHeight="1" x14ac:dyDescent="0.2">
      <c r="A2117" s="1">
        <v>10434</v>
      </c>
      <c r="B2117" s="1" t="s">
        <v>778</v>
      </c>
      <c r="C2117" s="1" t="s">
        <v>30</v>
      </c>
      <c r="D2117" s="2">
        <v>41996</v>
      </c>
      <c r="E2117" s="1" t="s">
        <v>31</v>
      </c>
      <c r="F2117" s="1" t="s">
        <v>894</v>
      </c>
      <c r="G2117" s="1">
        <v>2</v>
      </c>
      <c r="H2117" s="1">
        <v>180.98</v>
      </c>
      <c r="I2117" s="1">
        <f t="shared" si="99"/>
        <v>361.96</v>
      </c>
      <c r="J2117" t="str">
        <f t="shared" si="100"/>
        <v>Low</v>
      </c>
      <c r="K2117" s="1"/>
      <c r="L2117" s="1">
        <v>0.06</v>
      </c>
      <c r="M2117" s="1">
        <v>26.2</v>
      </c>
      <c r="N2117" s="1" t="s">
        <v>45</v>
      </c>
      <c r="O2117" s="1" t="s">
        <v>46</v>
      </c>
      <c r="P2117" s="2">
        <v>41997</v>
      </c>
      <c r="Q2117" s="2" t="b">
        <f t="shared" si="101"/>
        <v>0</v>
      </c>
      <c r="V2117" s="2"/>
      <c r="W2117" s="2"/>
      <c r="X2117" s="2"/>
      <c r="Y2117" s="2"/>
      <c r="Z2117" s="2"/>
      <c r="AA2117" s="2"/>
      <c r="AB2117" s="2"/>
      <c r="AC2117" s="2"/>
      <c r="AD2117" s="2"/>
      <c r="AE2117" s="2"/>
      <c r="AF2117" s="2"/>
      <c r="AG2117" s="2"/>
      <c r="AH2117" s="2"/>
      <c r="AI2117" s="2"/>
    </row>
    <row r="2118" spans="1:35" ht="14.25" customHeight="1" x14ac:dyDescent="0.2">
      <c r="A2118" s="1">
        <v>9248</v>
      </c>
      <c r="B2118" s="1" t="s">
        <v>1461</v>
      </c>
      <c r="C2118" s="1" t="s">
        <v>21</v>
      </c>
      <c r="D2118" s="2">
        <v>41996</v>
      </c>
      <c r="E2118" s="1" t="s">
        <v>22</v>
      </c>
      <c r="F2118" s="1" t="s">
        <v>412</v>
      </c>
      <c r="G2118" s="1">
        <v>41</v>
      </c>
      <c r="H2118" s="1">
        <v>71.37</v>
      </c>
      <c r="I2118" s="1">
        <f t="shared" si="99"/>
        <v>2926.17</v>
      </c>
      <c r="J2118" t="str">
        <f t="shared" si="100"/>
        <v>High</v>
      </c>
      <c r="K2118" s="1"/>
      <c r="L2118" s="1">
        <v>0.09</v>
      </c>
      <c r="M2118" s="1">
        <v>69</v>
      </c>
      <c r="N2118" s="1" t="s">
        <v>33</v>
      </c>
      <c r="O2118" s="1" t="s">
        <v>26</v>
      </c>
      <c r="P2118" s="2">
        <v>41997</v>
      </c>
      <c r="Q2118" s="2" t="b">
        <f t="shared" si="101"/>
        <v>0</v>
      </c>
      <c r="V2118" s="2"/>
      <c r="W2118" s="2"/>
      <c r="X2118" s="2"/>
      <c r="Y2118" s="2"/>
      <c r="Z2118" s="2"/>
      <c r="AA2118" s="2"/>
      <c r="AB2118" s="2"/>
      <c r="AC2118" s="2"/>
      <c r="AD2118" s="2"/>
      <c r="AE2118" s="2"/>
      <c r="AF2118" s="2"/>
      <c r="AG2118" s="2"/>
      <c r="AH2118" s="2"/>
      <c r="AI2118" s="2"/>
    </row>
    <row r="2119" spans="1:35" ht="14.25" customHeight="1" x14ac:dyDescent="0.2">
      <c r="A2119" s="1">
        <v>36834</v>
      </c>
      <c r="B2119" s="1" t="s">
        <v>1228</v>
      </c>
      <c r="C2119" s="1" t="s">
        <v>51</v>
      </c>
      <c r="D2119" s="2">
        <v>41997</v>
      </c>
      <c r="E2119" s="1" t="s">
        <v>43</v>
      </c>
      <c r="F2119" s="1" t="s">
        <v>565</v>
      </c>
      <c r="G2119" s="1">
        <v>11</v>
      </c>
      <c r="H2119" s="1">
        <v>170.98</v>
      </c>
      <c r="I2119" s="1">
        <f t="shared" si="99"/>
        <v>1880.78</v>
      </c>
      <c r="J2119" t="str">
        <f t="shared" si="100"/>
        <v>High</v>
      </c>
      <c r="K2119" s="1"/>
      <c r="L2119" s="1">
        <v>0.01</v>
      </c>
      <c r="M2119" s="1">
        <v>35.89</v>
      </c>
      <c r="N2119" s="1" t="s">
        <v>45</v>
      </c>
      <c r="O2119" s="1" t="s">
        <v>63</v>
      </c>
      <c r="P2119" s="2">
        <v>41999</v>
      </c>
      <c r="Q2119" s="2" t="b">
        <f t="shared" si="101"/>
        <v>0</v>
      </c>
      <c r="V2119" s="2"/>
      <c r="W2119" s="2"/>
      <c r="X2119" s="2"/>
      <c r="Y2119" s="2"/>
      <c r="Z2119" s="2"/>
      <c r="AA2119" s="2"/>
      <c r="AB2119" s="2"/>
      <c r="AC2119" s="2"/>
      <c r="AD2119" s="2"/>
      <c r="AE2119" s="2"/>
      <c r="AF2119" s="2"/>
      <c r="AG2119" s="2"/>
      <c r="AH2119" s="2"/>
      <c r="AI2119" s="2"/>
    </row>
    <row r="2120" spans="1:35" ht="14.25" customHeight="1" x14ac:dyDescent="0.2">
      <c r="A2120" s="1">
        <v>18689</v>
      </c>
      <c r="B2120" s="1" t="s">
        <v>1509</v>
      </c>
      <c r="C2120" s="1" t="s">
        <v>30</v>
      </c>
      <c r="D2120" s="2">
        <v>41997</v>
      </c>
      <c r="E2120" s="1" t="s">
        <v>22</v>
      </c>
      <c r="F2120" s="1" t="s">
        <v>456</v>
      </c>
      <c r="G2120" s="1">
        <v>38</v>
      </c>
      <c r="H2120" s="1">
        <v>7.1</v>
      </c>
      <c r="I2120" s="1">
        <f t="shared" si="99"/>
        <v>269.8</v>
      </c>
      <c r="J2120" t="str">
        <f t="shared" si="100"/>
        <v>Low</v>
      </c>
      <c r="K2120" s="1"/>
      <c r="L2120" s="1">
        <v>0.01</v>
      </c>
      <c r="M2120" s="1">
        <v>6.05</v>
      </c>
      <c r="N2120" s="1" t="s">
        <v>33</v>
      </c>
      <c r="O2120" s="1" t="s">
        <v>34</v>
      </c>
      <c r="P2120" s="2">
        <v>41998</v>
      </c>
      <c r="Q2120" s="2" t="b">
        <f t="shared" si="101"/>
        <v>0</v>
      </c>
      <c r="V2120" s="2"/>
      <c r="W2120" s="2"/>
      <c r="X2120" s="2"/>
      <c r="Y2120" s="2"/>
      <c r="Z2120" s="2"/>
      <c r="AA2120" s="2"/>
      <c r="AB2120" s="2"/>
      <c r="AC2120" s="2"/>
      <c r="AD2120" s="2"/>
      <c r="AE2120" s="2"/>
      <c r="AF2120" s="2"/>
      <c r="AG2120" s="2"/>
      <c r="AH2120" s="2"/>
      <c r="AI2120" s="2"/>
    </row>
    <row r="2121" spans="1:35" ht="14.25" customHeight="1" x14ac:dyDescent="0.2">
      <c r="A2121" s="1">
        <v>18689</v>
      </c>
      <c r="B2121" s="1" t="s">
        <v>1509</v>
      </c>
      <c r="C2121" s="1" t="s">
        <v>51</v>
      </c>
      <c r="D2121" s="2">
        <v>41997</v>
      </c>
      <c r="E2121" s="1" t="s">
        <v>22</v>
      </c>
      <c r="F2121" s="1" t="s">
        <v>269</v>
      </c>
      <c r="G2121" s="1">
        <v>10</v>
      </c>
      <c r="H2121" s="1">
        <v>18.97</v>
      </c>
      <c r="I2121" s="1">
        <f t="shared" si="99"/>
        <v>189.7</v>
      </c>
      <c r="J2121" t="str">
        <f t="shared" si="100"/>
        <v>Low</v>
      </c>
      <c r="K2121" s="1"/>
      <c r="L2121" s="1">
        <v>0.05</v>
      </c>
      <c r="M2121" s="1">
        <v>9.0299999999999994</v>
      </c>
      <c r="N2121" s="1" t="s">
        <v>33</v>
      </c>
      <c r="O2121" s="1" t="s">
        <v>34</v>
      </c>
      <c r="P2121" s="2">
        <v>41998</v>
      </c>
      <c r="Q2121" s="2" t="b">
        <f t="shared" si="101"/>
        <v>0</v>
      </c>
      <c r="V2121" s="2"/>
      <c r="W2121" s="2"/>
      <c r="X2121" s="2"/>
      <c r="Y2121" s="2"/>
      <c r="Z2121" s="2"/>
      <c r="AA2121" s="2"/>
      <c r="AB2121" s="2"/>
      <c r="AC2121" s="2"/>
      <c r="AD2121" s="2"/>
      <c r="AE2121" s="2"/>
      <c r="AF2121" s="2"/>
      <c r="AG2121" s="2"/>
      <c r="AH2121" s="2"/>
      <c r="AI2121" s="2"/>
    </row>
    <row r="2122" spans="1:35" ht="14.25" customHeight="1" x14ac:dyDescent="0.2">
      <c r="A2122" s="1">
        <v>44577</v>
      </c>
      <c r="B2122" s="1" t="s">
        <v>934</v>
      </c>
      <c r="C2122" s="1" t="s">
        <v>51</v>
      </c>
      <c r="D2122" s="2">
        <v>41998</v>
      </c>
      <c r="E2122" s="1" t="s">
        <v>22</v>
      </c>
      <c r="F2122" s="1" t="s">
        <v>1317</v>
      </c>
      <c r="G2122" s="1">
        <v>38</v>
      </c>
      <c r="H2122" s="1">
        <v>124.49</v>
      </c>
      <c r="I2122" s="1">
        <f t="shared" si="99"/>
        <v>4730.62</v>
      </c>
      <c r="J2122" t="str">
        <f t="shared" si="100"/>
        <v>High</v>
      </c>
      <c r="K2122" s="1"/>
      <c r="L2122" s="1">
        <v>0.01</v>
      </c>
      <c r="M2122" s="1">
        <v>51.94</v>
      </c>
      <c r="N2122" s="1" t="s">
        <v>45</v>
      </c>
      <c r="O2122" s="1" t="s">
        <v>63</v>
      </c>
      <c r="P2122" s="2">
        <v>41999</v>
      </c>
      <c r="Q2122" s="2" t="b">
        <f t="shared" si="101"/>
        <v>0</v>
      </c>
      <c r="V2122" s="2"/>
      <c r="W2122" s="2"/>
      <c r="X2122" s="2"/>
      <c r="Y2122" s="2"/>
      <c r="Z2122" s="2"/>
      <c r="AA2122" s="2"/>
      <c r="AB2122" s="2"/>
      <c r="AC2122" s="2"/>
      <c r="AD2122" s="2"/>
      <c r="AE2122" s="2"/>
      <c r="AF2122" s="2"/>
      <c r="AG2122" s="2"/>
      <c r="AH2122" s="2"/>
      <c r="AI2122" s="2"/>
    </row>
    <row r="2123" spans="1:35" ht="14.25" customHeight="1" x14ac:dyDescent="0.2">
      <c r="A2123" s="1">
        <v>47876</v>
      </c>
      <c r="B2123" s="1" t="s">
        <v>934</v>
      </c>
      <c r="C2123" s="1" t="s">
        <v>21</v>
      </c>
      <c r="D2123" s="2">
        <v>41998</v>
      </c>
      <c r="E2123" s="1" t="s">
        <v>31</v>
      </c>
      <c r="F2123" s="1" t="s">
        <v>882</v>
      </c>
      <c r="G2123" s="1">
        <v>8</v>
      </c>
      <c r="H2123" s="1">
        <v>46.89</v>
      </c>
      <c r="I2123" s="1">
        <f t="shared" si="99"/>
        <v>375.12</v>
      </c>
      <c r="J2123" t="str">
        <f t="shared" si="100"/>
        <v>Low</v>
      </c>
      <c r="K2123" s="1"/>
      <c r="L2123" s="1">
        <v>0.04</v>
      </c>
      <c r="M2123" s="1">
        <v>5.0999999999999996</v>
      </c>
      <c r="N2123" s="1" t="s">
        <v>33</v>
      </c>
      <c r="O2123" s="1" t="s">
        <v>72</v>
      </c>
      <c r="P2123" s="2">
        <v>42000</v>
      </c>
      <c r="Q2123" s="2" t="b">
        <f t="shared" si="101"/>
        <v>0</v>
      </c>
      <c r="V2123" s="2"/>
      <c r="W2123" s="2"/>
      <c r="X2123" s="2"/>
      <c r="Y2123" s="2"/>
      <c r="Z2123" s="2"/>
      <c r="AA2123" s="2"/>
      <c r="AB2123" s="2"/>
      <c r="AC2123" s="2"/>
      <c r="AD2123" s="2"/>
      <c r="AE2123" s="2"/>
      <c r="AF2123" s="2"/>
      <c r="AG2123" s="2"/>
      <c r="AH2123" s="2"/>
      <c r="AI2123" s="2"/>
    </row>
    <row r="2124" spans="1:35" ht="14.25" customHeight="1" x14ac:dyDescent="0.2">
      <c r="A2124" s="1">
        <v>21442</v>
      </c>
      <c r="B2124" s="1" t="s">
        <v>288</v>
      </c>
      <c r="C2124" s="1" t="s">
        <v>51</v>
      </c>
      <c r="D2124" s="2">
        <v>41998</v>
      </c>
      <c r="E2124" s="1" t="s">
        <v>43</v>
      </c>
      <c r="F2124" s="1" t="s">
        <v>1465</v>
      </c>
      <c r="G2124" s="1">
        <v>48</v>
      </c>
      <c r="H2124" s="1">
        <v>58.14</v>
      </c>
      <c r="I2124" s="1">
        <f t="shared" si="99"/>
        <v>2790.7200000000003</v>
      </c>
      <c r="J2124" t="str">
        <f t="shared" si="100"/>
        <v>High</v>
      </c>
      <c r="K2124" s="1"/>
      <c r="L2124" s="1">
        <v>0.02</v>
      </c>
      <c r="M2124" s="1">
        <v>36.61</v>
      </c>
      <c r="N2124" s="1" t="s">
        <v>45</v>
      </c>
      <c r="O2124" s="1" t="s">
        <v>63</v>
      </c>
      <c r="P2124" s="2">
        <v>42005</v>
      </c>
      <c r="Q2124" s="2" t="b">
        <f t="shared" si="101"/>
        <v>0</v>
      </c>
      <c r="V2124" s="2"/>
      <c r="W2124" s="2"/>
      <c r="X2124" s="2"/>
      <c r="Y2124" s="2"/>
      <c r="Z2124" s="2"/>
      <c r="AA2124" s="2"/>
      <c r="AB2124" s="2"/>
      <c r="AC2124" s="2"/>
      <c r="AD2124" s="2"/>
      <c r="AE2124" s="2"/>
      <c r="AF2124" s="2"/>
      <c r="AG2124" s="2"/>
      <c r="AH2124" s="2"/>
      <c r="AI2124" s="2"/>
    </row>
    <row r="2125" spans="1:35" ht="14.25" customHeight="1" x14ac:dyDescent="0.2">
      <c r="A2125" s="1">
        <v>21442</v>
      </c>
      <c r="B2125" s="1" t="s">
        <v>288</v>
      </c>
      <c r="C2125" s="1" t="s">
        <v>51</v>
      </c>
      <c r="D2125" s="2">
        <v>41998</v>
      </c>
      <c r="E2125" s="1" t="s">
        <v>43</v>
      </c>
      <c r="F2125" s="1" t="s">
        <v>638</v>
      </c>
      <c r="G2125" s="1">
        <v>48</v>
      </c>
      <c r="H2125" s="1">
        <v>15.57</v>
      </c>
      <c r="I2125" s="1">
        <f t="shared" si="99"/>
        <v>747.36</v>
      </c>
      <c r="J2125" t="str">
        <f t="shared" si="100"/>
        <v>Low</v>
      </c>
      <c r="K2125" s="1"/>
      <c r="L2125" s="1">
        <v>0.03</v>
      </c>
      <c r="M2125" s="1">
        <v>1.39</v>
      </c>
      <c r="N2125" s="1" t="s">
        <v>33</v>
      </c>
      <c r="O2125" s="1" t="s">
        <v>34</v>
      </c>
      <c r="P2125" s="2">
        <v>42005</v>
      </c>
      <c r="Q2125" s="2" t="b">
        <f t="shared" si="101"/>
        <v>0</v>
      </c>
      <c r="V2125" s="2"/>
      <c r="W2125" s="2"/>
      <c r="X2125" s="2"/>
      <c r="Y2125" s="2"/>
      <c r="Z2125" s="2"/>
      <c r="AA2125" s="2"/>
      <c r="AB2125" s="2"/>
      <c r="AC2125" s="2"/>
      <c r="AD2125" s="2"/>
      <c r="AE2125" s="2"/>
      <c r="AF2125" s="2"/>
      <c r="AG2125" s="2"/>
      <c r="AH2125" s="2"/>
      <c r="AI2125" s="2"/>
    </row>
    <row r="2126" spans="1:35" ht="14.25" customHeight="1" x14ac:dyDescent="0.2">
      <c r="A2126" s="1">
        <v>45986</v>
      </c>
      <c r="B2126" s="1" t="s">
        <v>1651</v>
      </c>
      <c r="C2126" s="1" t="s">
        <v>51</v>
      </c>
      <c r="D2126" s="2">
        <v>41998</v>
      </c>
      <c r="E2126" s="1" t="s">
        <v>43</v>
      </c>
      <c r="F2126" s="1" t="s">
        <v>864</v>
      </c>
      <c r="G2126" s="1">
        <v>20</v>
      </c>
      <c r="H2126" s="1">
        <v>3.69</v>
      </c>
      <c r="I2126" s="1">
        <f t="shared" si="99"/>
        <v>73.8</v>
      </c>
      <c r="J2126" t="str">
        <f t="shared" si="100"/>
        <v>Low</v>
      </c>
      <c r="K2126" s="1"/>
      <c r="L2126" s="1">
        <v>0.08</v>
      </c>
      <c r="M2126" s="1">
        <v>2.5</v>
      </c>
      <c r="N2126" s="1" t="s">
        <v>33</v>
      </c>
      <c r="O2126" s="1" t="s">
        <v>34</v>
      </c>
      <c r="P2126" s="2">
        <v>42003</v>
      </c>
      <c r="Q2126" s="2" t="b">
        <f t="shared" si="101"/>
        <v>0</v>
      </c>
      <c r="V2126" s="2"/>
      <c r="W2126" s="2"/>
      <c r="X2126" s="2"/>
      <c r="Y2126" s="2"/>
      <c r="Z2126" s="2"/>
      <c r="AA2126" s="2"/>
      <c r="AB2126" s="2"/>
      <c r="AC2126" s="2"/>
      <c r="AD2126" s="2"/>
      <c r="AE2126" s="2"/>
      <c r="AF2126" s="2"/>
      <c r="AG2126" s="2"/>
      <c r="AH2126" s="2"/>
      <c r="AI2126" s="2"/>
    </row>
    <row r="2127" spans="1:35" ht="14.25" customHeight="1" x14ac:dyDescent="0.2">
      <c r="A2127" s="1">
        <v>11777</v>
      </c>
      <c r="B2127" s="1" t="s">
        <v>688</v>
      </c>
      <c r="C2127" s="1" t="s">
        <v>21</v>
      </c>
      <c r="D2127" s="2">
        <v>41998</v>
      </c>
      <c r="E2127" s="1" t="s">
        <v>43</v>
      </c>
      <c r="F2127" s="1" t="s">
        <v>417</v>
      </c>
      <c r="G2127" s="1">
        <v>39</v>
      </c>
      <c r="H2127" s="1">
        <v>17.7</v>
      </c>
      <c r="I2127" s="1">
        <f t="shared" si="99"/>
        <v>690.3</v>
      </c>
      <c r="J2127" t="str">
        <f t="shared" si="100"/>
        <v>Low</v>
      </c>
      <c r="K2127" s="1"/>
      <c r="L2127" s="1">
        <v>7.0000000000000007E-2</v>
      </c>
      <c r="M2127" s="1">
        <v>9.4700000000000006</v>
      </c>
      <c r="N2127" s="1" t="s">
        <v>33</v>
      </c>
      <c r="O2127" s="1" t="s">
        <v>34</v>
      </c>
      <c r="P2127" s="2">
        <v>42005</v>
      </c>
      <c r="Q2127" s="2" t="b">
        <f t="shared" si="101"/>
        <v>0</v>
      </c>
      <c r="V2127" s="2"/>
      <c r="W2127" s="2"/>
      <c r="X2127" s="2"/>
      <c r="Y2127" s="2"/>
      <c r="Z2127" s="2"/>
      <c r="AA2127" s="2"/>
      <c r="AB2127" s="2"/>
      <c r="AC2127" s="2"/>
      <c r="AD2127" s="2"/>
      <c r="AE2127" s="2"/>
      <c r="AF2127" s="2"/>
      <c r="AG2127" s="2"/>
      <c r="AH2127" s="2"/>
      <c r="AI2127" s="2"/>
    </row>
    <row r="2128" spans="1:35" ht="14.25" customHeight="1" x14ac:dyDescent="0.2">
      <c r="A2128" s="1">
        <v>44576</v>
      </c>
      <c r="B2128" s="1" t="s">
        <v>194</v>
      </c>
      <c r="C2128" s="1" t="s">
        <v>21</v>
      </c>
      <c r="D2128" s="2">
        <v>41998</v>
      </c>
      <c r="E2128" s="1" t="s">
        <v>22</v>
      </c>
      <c r="F2128" s="1" t="s">
        <v>1343</v>
      </c>
      <c r="G2128" s="1">
        <v>30</v>
      </c>
      <c r="H2128" s="1">
        <v>65.989999999999995</v>
      </c>
      <c r="I2128" s="1">
        <f t="shared" si="99"/>
        <v>1979.6999999999998</v>
      </c>
      <c r="J2128" t="str">
        <f t="shared" si="100"/>
        <v>High</v>
      </c>
      <c r="K2128" s="1"/>
      <c r="L2128" s="1">
        <v>0.02</v>
      </c>
      <c r="M2128" s="1">
        <v>5.31</v>
      </c>
      <c r="N2128" s="1" t="s">
        <v>33</v>
      </c>
      <c r="O2128" s="1" t="s">
        <v>34</v>
      </c>
      <c r="P2128" s="2">
        <v>41999</v>
      </c>
      <c r="Q2128" s="2" t="b">
        <f t="shared" si="101"/>
        <v>0</v>
      </c>
      <c r="V2128" s="2"/>
      <c r="W2128" s="2"/>
      <c r="X2128" s="2"/>
      <c r="Y2128" s="2"/>
      <c r="Z2128" s="2"/>
      <c r="AA2128" s="2"/>
      <c r="AB2128" s="2"/>
      <c r="AC2128" s="2"/>
      <c r="AD2128" s="2"/>
      <c r="AE2128" s="2"/>
      <c r="AF2128" s="2"/>
      <c r="AG2128" s="2"/>
      <c r="AH2128" s="2"/>
      <c r="AI2128" s="2"/>
    </row>
    <row r="2129" spans="1:35" ht="14.25" customHeight="1" x14ac:dyDescent="0.2">
      <c r="A2129" s="1">
        <v>20262</v>
      </c>
      <c r="B2129" s="1" t="s">
        <v>1365</v>
      </c>
      <c r="C2129" s="1" t="s">
        <v>21</v>
      </c>
      <c r="D2129" s="2">
        <v>41999</v>
      </c>
      <c r="E2129" s="1" t="s">
        <v>22</v>
      </c>
      <c r="F2129" s="1" t="s">
        <v>140</v>
      </c>
      <c r="G2129" s="1">
        <v>27</v>
      </c>
      <c r="H2129" s="1">
        <v>22.72</v>
      </c>
      <c r="I2129" s="1">
        <f t="shared" si="99"/>
        <v>613.43999999999994</v>
      </c>
      <c r="J2129" t="str">
        <f t="shared" si="100"/>
        <v>Low</v>
      </c>
      <c r="K2129" s="1"/>
      <c r="L2129" s="1">
        <v>0.02</v>
      </c>
      <c r="M2129" s="1">
        <v>8.99</v>
      </c>
      <c r="N2129" s="1" t="s">
        <v>33</v>
      </c>
      <c r="O2129" s="1" t="s">
        <v>84</v>
      </c>
      <c r="P2129" s="2">
        <v>41999</v>
      </c>
      <c r="Q2129" s="2" t="b">
        <f t="shared" si="101"/>
        <v>0</v>
      </c>
      <c r="V2129" s="2"/>
      <c r="W2129" s="2"/>
      <c r="X2129" s="2"/>
      <c r="Y2129" s="2"/>
      <c r="Z2129" s="2"/>
      <c r="AA2129" s="2"/>
      <c r="AB2129" s="2"/>
      <c r="AC2129" s="2"/>
      <c r="AD2129" s="2"/>
      <c r="AE2129" s="2"/>
      <c r="AF2129" s="2"/>
      <c r="AG2129" s="2"/>
      <c r="AH2129" s="2"/>
      <c r="AI2129" s="2"/>
    </row>
    <row r="2130" spans="1:35" ht="14.25" customHeight="1" x14ac:dyDescent="0.2">
      <c r="A2130" s="1">
        <v>37734</v>
      </c>
      <c r="B2130" s="1" t="s">
        <v>1013</v>
      </c>
      <c r="C2130" s="1" t="s">
        <v>30</v>
      </c>
      <c r="D2130" s="2">
        <v>41999</v>
      </c>
      <c r="E2130" s="1" t="s">
        <v>38</v>
      </c>
      <c r="F2130" s="1" t="s">
        <v>754</v>
      </c>
      <c r="G2130" s="1">
        <v>15</v>
      </c>
      <c r="H2130" s="1">
        <v>100.97</v>
      </c>
      <c r="I2130" s="1">
        <f t="shared" si="99"/>
        <v>1514.55</v>
      </c>
      <c r="J2130" t="str">
        <f t="shared" si="100"/>
        <v>High</v>
      </c>
      <c r="K2130" s="1"/>
      <c r="L2130" s="1">
        <v>0.08</v>
      </c>
      <c r="M2130" s="1">
        <v>7.18</v>
      </c>
      <c r="N2130" s="1" t="s">
        <v>33</v>
      </c>
      <c r="O2130" s="1" t="s">
        <v>34</v>
      </c>
      <c r="P2130" s="2">
        <v>42000</v>
      </c>
      <c r="Q2130" s="2" t="b">
        <f t="shared" si="101"/>
        <v>0</v>
      </c>
      <c r="V2130" s="2"/>
      <c r="W2130" s="2"/>
      <c r="X2130" s="2"/>
      <c r="Y2130" s="2"/>
      <c r="Z2130" s="2"/>
      <c r="AA2130" s="2"/>
      <c r="AB2130" s="2"/>
      <c r="AC2130" s="2"/>
      <c r="AD2130" s="2"/>
      <c r="AE2130" s="2"/>
      <c r="AF2130" s="2"/>
      <c r="AG2130" s="2"/>
      <c r="AH2130" s="2"/>
      <c r="AI2130" s="2"/>
    </row>
    <row r="2131" spans="1:35" ht="14.25" customHeight="1" x14ac:dyDescent="0.2">
      <c r="A2131" s="1">
        <v>37734</v>
      </c>
      <c r="B2131" s="1" t="s">
        <v>1013</v>
      </c>
      <c r="C2131" s="1" t="s">
        <v>21</v>
      </c>
      <c r="D2131" s="2">
        <v>41999</v>
      </c>
      <c r="E2131" s="1" t="s">
        <v>38</v>
      </c>
      <c r="F2131" s="1" t="s">
        <v>1331</v>
      </c>
      <c r="G2131" s="1">
        <v>42</v>
      </c>
      <c r="H2131" s="1">
        <v>13.4</v>
      </c>
      <c r="I2131" s="1">
        <f t="shared" si="99"/>
        <v>562.80000000000007</v>
      </c>
      <c r="J2131" t="str">
        <f t="shared" si="100"/>
        <v>Low</v>
      </c>
      <c r="K2131" s="1"/>
      <c r="L2131" s="1">
        <v>0</v>
      </c>
      <c r="M2131" s="1">
        <v>4.95</v>
      </c>
      <c r="N2131" s="1" t="s">
        <v>33</v>
      </c>
      <c r="O2131" s="1" t="s">
        <v>84</v>
      </c>
      <c r="P2131" s="2">
        <v>42000</v>
      </c>
      <c r="Q2131" s="2" t="b">
        <f t="shared" si="101"/>
        <v>0</v>
      </c>
      <c r="V2131" s="2"/>
      <c r="W2131" s="2"/>
      <c r="X2131" s="2"/>
      <c r="Y2131" s="2"/>
      <c r="Z2131" s="2"/>
      <c r="AA2131" s="2"/>
      <c r="AB2131" s="2"/>
      <c r="AC2131" s="2"/>
      <c r="AD2131" s="2"/>
      <c r="AE2131" s="2"/>
      <c r="AF2131" s="2"/>
      <c r="AG2131" s="2"/>
      <c r="AH2131" s="2"/>
      <c r="AI2131" s="2"/>
    </row>
    <row r="2132" spans="1:35" ht="14.25" customHeight="1" x14ac:dyDescent="0.2">
      <c r="A2132" s="1">
        <v>32101</v>
      </c>
      <c r="B2132" s="1" t="s">
        <v>345</v>
      </c>
      <c r="C2132" s="1" t="s">
        <v>30</v>
      </c>
      <c r="D2132" s="2">
        <v>41999</v>
      </c>
      <c r="E2132" s="1" t="s">
        <v>43</v>
      </c>
      <c r="F2132" s="1" t="s">
        <v>44</v>
      </c>
      <c r="G2132" s="1">
        <v>48</v>
      </c>
      <c r="H2132" s="1">
        <v>291.73</v>
      </c>
      <c r="I2132" s="1">
        <f t="shared" si="99"/>
        <v>14003.04</v>
      </c>
      <c r="J2132" t="str">
        <f t="shared" si="100"/>
        <v>High</v>
      </c>
      <c r="K2132" s="1"/>
      <c r="L2132" s="1">
        <v>0.04</v>
      </c>
      <c r="M2132" s="1">
        <v>48.8</v>
      </c>
      <c r="N2132" s="1" t="s">
        <v>45</v>
      </c>
      <c r="O2132" s="1" t="s">
        <v>46</v>
      </c>
      <c r="P2132" s="2">
        <v>42003</v>
      </c>
      <c r="Q2132" s="2" t="b">
        <f t="shared" si="101"/>
        <v>0</v>
      </c>
      <c r="V2132" s="2"/>
      <c r="W2132" s="2"/>
      <c r="X2132" s="2"/>
      <c r="Y2132" s="2"/>
      <c r="Z2132" s="2"/>
      <c r="AA2132" s="2"/>
      <c r="AB2132" s="2"/>
      <c r="AC2132" s="2"/>
      <c r="AD2132" s="2"/>
      <c r="AE2132" s="2"/>
      <c r="AF2132" s="2"/>
      <c r="AG2132" s="2"/>
      <c r="AH2132" s="2"/>
      <c r="AI2132" s="2"/>
    </row>
    <row r="2133" spans="1:35" ht="14.25" customHeight="1" x14ac:dyDescent="0.2">
      <c r="A2133" s="1">
        <v>53382</v>
      </c>
      <c r="B2133" s="1" t="s">
        <v>1405</v>
      </c>
      <c r="C2133" s="1" t="s">
        <v>30</v>
      </c>
      <c r="D2133" s="2">
        <v>42000</v>
      </c>
      <c r="E2133" s="1" t="s">
        <v>22</v>
      </c>
      <c r="F2133" s="1" t="s">
        <v>600</v>
      </c>
      <c r="G2133" s="1">
        <v>13</v>
      </c>
      <c r="H2133" s="1">
        <v>3.25</v>
      </c>
      <c r="I2133" s="1">
        <f t="shared" si="99"/>
        <v>42.25</v>
      </c>
      <c r="J2133" t="str">
        <f t="shared" si="100"/>
        <v>Low</v>
      </c>
      <c r="K2133" s="1"/>
      <c r="L2133" s="1">
        <v>0.1</v>
      </c>
      <c r="M2133" s="1">
        <v>49</v>
      </c>
      <c r="N2133" s="1" t="s">
        <v>33</v>
      </c>
      <c r="O2133" s="1" t="s">
        <v>26</v>
      </c>
      <c r="P2133" s="2">
        <v>42001</v>
      </c>
      <c r="Q2133" s="2" t="b">
        <f t="shared" si="101"/>
        <v>0</v>
      </c>
      <c r="V2133" s="2"/>
      <c r="W2133" s="2"/>
      <c r="X2133" s="2"/>
      <c r="Y2133" s="2"/>
      <c r="Z2133" s="2"/>
      <c r="AA2133" s="2"/>
      <c r="AB2133" s="2"/>
      <c r="AC2133" s="2"/>
      <c r="AD2133" s="2"/>
      <c r="AE2133" s="2"/>
      <c r="AF2133" s="2"/>
      <c r="AG2133" s="2"/>
      <c r="AH2133" s="2"/>
      <c r="AI2133" s="2"/>
    </row>
    <row r="2134" spans="1:35" ht="14.25" customHeight="1" x14ac:dyDescent="0.2">
      <c r="A2134" s="1">
        <v>53382</v>
      </c>
      <c r="B2134" s="1" t="s">
        <v>1405</v>
      </c>
      <c r="C2134" s="1" t="s">
        <v>30</v>
      </c>
      <c r="D2134" s="2">
        <v>42000</v>
      </c>
      <c r="E2134" s="1" t="s">
        <v>22</v>
      </c>
      <c r="F2134" s="1" t="s">
        <v>523</v>
      </c>
      <c r="G2134" s="1">
        <v>15</v>
      </c>
      <c r="H2134" s="1">
        <v>300.98</v>
      </c>
      <c r="I2134" s="1">
        <f t="shared" si="99"/>
        <v>4514.7000000000007</v>
      </c>
      <c r="J2134" t="str">
        <f t="shared" si="100"/>
        <v>High</v>
      </c>
      <c r="K2134" s="1"/>
      <c r="L2134" s="1">
        <v>0</v>
      </c>
      <c r="M2134" s="1">
        <v>64.73</v>
      </c>
      <c r="N2134" s="1" t="s">
        <v>45</v>
      </c>
      <c r="O2134" s="1" t="s">
        <v>46</v>
      </c>
      <c r="P2134" s="2">
        <v>42001</v>
      </c>
      <c r="Q2134" s="2" t="b">
        <f t="shared" si="101"/>
        <v>0</v>
      </c>
      <c r="V2134" s="2"/>
      <c r="W2134" s="2"/>
      <c r="X2134" s="2"/>
      <c r="Y2134" s="2"/>
      <c r="Z2134" s="2"/>
      <c r="AA2134" s="2"/>
      <c r="AB2134" s="2"/>
      <c r="AC2134" s="2"/>
      <c r="AD2134" s="2"/>
      <c r="AE2134" s="2"/>
      <c r="AF2134" s="2"/>
      <c r="AG2134" s="2"/>
      <c r="AH2134" s="2"/>
      <c r="AI2134" s="2"/>
    </row>
    <row r="2135" spans="1:35" ht="14.25" customHeight="1" x14ac:dyDescent="0.2">
      <c r="A2135" s="1">
        <v>13824</v>
      </c>
      <c r="B2135" s="1" t="s">
        <v>1085</v>
      </c>
      <c r="C2135" s="1" t="s">
        <v>51</v>
      </c>
      <c r="D2135" s="2">
        <v>42000</v>
      </c>
      <c r="E2135" s="1" t="s">
        <v>43</v>
      </c>
      <c r="F2135" s="1" t="s">
        <v>305</v>
      </c>
      <c r="G2135" s="1">
        <v>19</v>
      </c>
      <c r="H2135" s="1">
        <v>2.89</v>
      </c>
      <c r="I2135" s="1">
        <f t="shared" si="99"/>
        <v>54.910000000000004</v>
      </c>
      <c r="J2135" t="str">
        <f t="shared" si="100"/>
        <v>Low</v>
      </c>
      <c r="K2135" s="1"/>
      <c r="L2135" s="1">
        <v>0.05</v>
      </c>
      <c r="M2135" s="1">
        <v>0.5</v>
      </c>
      <c r="N2135" s="1" t="s">
        <v>33</v>
      </c>
      <c r="O2135" s="1" t="s">
        <v>34</v>
      </c>
      <c r="P2135" s="2">
        <v>42007</v>
      </c>
      <c r="Q2135" s="2" t="b">
        <f t="shared" si="101"/>
        <v>0</v>
      </c>
      <c r="V2135" s="2"/>
      <c r="W2135" s="2"/>
      <c r="X2135" s="2"/>
      <c r="Y2135" s="2"/>
      <c r="Z2135" s="2"/>
      <c r="AA2135" s="2"/>
      <c r="AB2135" s="2"/>
      <c r="AC2135" s="2"/>
      <c r="AD2135" s="2"/>
      <c r="AE2135" s="2"/>
      <c r="AF2135" s="2"/>
      <c r="AG2135" s="2"/>
      <c r="AH2135" s="2"/>
      <c r="AI2135" s="2"/>
    </row>
    <row r="2136" spans="1:35" ht="14.25" customHeight="1" x14ac:dyDescent="0.2">
      <c r="A2136" s="1">
        <v>40485</v>
      </c>
      <c r="B2136" s="1" t="s">
        <v>484</v>
      </c>
      <c r="C2136" s="1" t="s">
        <v>21</v>
      </c>
      <c r="D2136" s="2">
        <v>42000</v>
      </c>
      <c r="E2136" s="1" t="s">
        <v>22</v>
      </c>
      <c r="F2136" s="1" t="s">
        <v>495</v>
      </c>
      <c r="G2136" s="1">
        <v>36</v>
      </c>
      <c r="H2136" s="1">
        <v>5.98</v>
      </c>
      <c r="I2136" s="1">
        <f t="shared" si="99"/>
        <v>215.28000000000003</v>
      </c>
      <c r="J2136" t="str">
        <f t="shared" si="100"/>
        <v>Low</v>
      </c>
      <c r="K2136" s="1"/>
      <c r="L2136" s="1">
        <v>0.05</v>
      </c>
      <c r="M2136" s="1">
        <v>5.46</v>
      </c>
      <c r="N2136" s="1" t="s">
        <v>33</v>
      </c>
      <c r="O2136" s="1" t="s">
        <v>34</v>
      </c>
      <c r="P2136" s="2">
        <v>42000</v>
      </c>
      <c r="Q2136" s="2" t="b">
        <f t="shared" si="101"/>
        <v>0</v>
      </c>
      <c r="V2136" s="2"/>
      <c r="W2136" s="2"/>
      <c r="X2136" s="2"/>
      <c r="Y2136" s="2"/>
      <c r="Z2136" s="2"/>
      <c r="AA2136" s="2"/>
      <c r="AB2136" s="2"/>
      <c r="AC2136" s="2"/>
      <c r="AD2136" s="2"/>
      <c r="AE2136" s="2"/>
      <c r="AF2136" s="2"/>
      <c r="AG2136" s="2"/>
      <c r="AH2136" s="2"/>
      <c r="AI2136" s="2"/>
    </row>
    <row r="2137" spans="1:35" ht="14.25" customHeight="1" x14ac:dyDescent="0.2">
      <c r="A2137" s="1">
        <v>40485</v>
      </c>
      <c r="B2137" s="1" t="s">
        <v>484</v>
      </c>
      <c r="C2137" s="1" t="s">
        <v>21</v>
      </c>
      <c r="D2137" s="2">
        <v>42000</v>
      </c>
      <c r="E2137" s="1" t="s">
        <v>22</v>
      </c>
      <c r="F2137" s="1" t="s">
        <v>408</v>
      </c>
      <c r="G2137" s="1">
        <v>7</v>
      </c>
      <c r="H2137" s="1">
        <v>65.989999999999995</v>
      </c>
      <c r="I2137" s="1">
        <f t="shared" si="99"/>
        <v>461.92999999999995</v>
      </c>
      <c r="J2137" t="str">
        <f t="shared" si="100"/>
        <v>Low</v>
      </c>
      <c r="K2137" s="1"/>
      <c r="L2137" s="1">
        <v>0.01</v>
      </c>
      <c r="M2137" s="1">
        <v>3.99</v>
      </c>
      <c r="N2137" s="1" t="s">
        <v>33</v>
      </c>
      <c r="O2137" s="1" t="s">
        <v>34</v>
      </c>
      <c r="P2137" s="2">
        <v>42001</v>
      </c>
      <c r="Q2137" s="2" t="b">
        <f t="shared" si="101"/>
        <v>0</v>
      </c>
      <c r="V2137" s="2"/>
      <c r="W2137" s="2"/>
      <c r="X2137" s="2"/>
      <c r="Y2137" s="2"/>
      <c r="Z2137" s="2"/>
      <c r="AA2137" s="2"/>
      <c r="AB2137" s="2"/>
      <c r="AC2137" s="2"/>
      <c r="AD2137" s="2"/>
      <c r="AE2137" s="2"/>
      <c r="AF2137" s="2"/>
      <c r="AG2137" s="2"/>
      <c r="AH2137" s="2"/>
      <c r="AI2137" s="2"/>
    </row>
    <row r="2138" spans="1:35" ht="14.25" customHeight="1" x14ac:dyDescent="0.2">
      <c r="A2138" s="1">
        <v>4550</v>
      </c>
      <c r="B2138" s="1" t="s">
        <v>1067</v>
      </c>
      <c r="C2138" s="1" t="s">
        <v>21</v>
      </c>
      <c r="D2138" s="2">
        <v>42001</v>
      </c>
      <c r="E2138" s="1" t="s">
        <v>31</v>
      </c>
      <c r="F2138" s="1" t="s">
        <v>1652</v>
      </c>
      <c r="G2138" s="1">
        <v>32</v>
      </c>
      <c r="H2138" s="1">
        <v>119.99</v>
      </c>
      <c r="I2138" s="1">
        <f t="shared" si="99"/>
        <v>3839.68</v>
      </c>
      <c r="J2138" t="str">
        <f t="shared" si="100"/>
        <v>High</v>
      </c>
      <c r="K2138" s="1"/>
      <c r="L2138" s="1">
        <v>7.0000000000000007E-2</v>
      </c>
      <c r="M2138" s="1">
        <v>16.8</v>
      </c>
      <c r="N2138" s="1" t="s">
        <v>45</v>
      </c>
      <c r="O2138" s="1" t="s">
        <v>63</v>
      </c>
      <c r="P2138" s="2">
        <v>42003</v>
      </c>
      <c r="Q2138" s="2" t="b">
        <f t="shared" si="101"/>
        <v>0</v>
      </c>
      <c r="V2138" s="2"/>
      <c r="W2138" s="2"/>
      <c r="X2138" s="2"/>
      <c r="Y2138" s="2"/>
      <c r="Z2138" s="2"/>
      <c r="AA2138" s="2"/>
      <c r="AB2138" s="2"/>
      <c r="AC2138" s="2"/>
      <c r="AD2138" s="2"/>
      <c r="AE2138" s="2"/>
      <c r="AF2138" s="2"/>
      <c r="AG2138" s="2"/>
      <c r="AH2138" s="2"/>
      <c r="AI2138" s="2"/>
    </row>
    <row r="2139" spans="1:35" ht="14.25" customHeight="1" x14ac:dyDescent="0.2">
      <c r="A2139" s="1">
        <v>11206</v>
      </c>
      <c r="B2139" s="1" t="s">
        <v>653</v>
      </c>
      <c r="C2139" s="1" t="s">
        <v>21</v>
      </c>
      <c r="D2139" s="2">
        <v>42001</v>
      </c>
      <c r="E2139" s="1" t="s">
        <v>43</v>
      </c>
      <c r="F2139" s="1" t="s">
        <v>723</v>
      </c>
      <c r="G2139" s="1">
        <v>6</v>
      </c>
      <c r="H2139" s="1">
        <v>28.53</v>
      </c>
      <c r="I2139" s="1">
        <f t="shared" si="99"/>
        <v>171.18</v>
      </c>
      <c r="J2139" t="str">
        <f t="shared" si="100"/>
        <v>Low</v>
      </c>
      <c r="K2139" s="1"/>
      <c r="L2139" s="1">
        <v>0.03</v>
      </c>
      <c r="M2139" s="1">
        <v>1.49</v>
      </c>
      <c r="N2139" s="1" t="s">
        <v>33</v>
      </c>
      <c r="O2139" s="1" t="s">
        <v>34</v>
      </c>
      <c r="P2139" s="2">
        <v>42005</v>
      </c>
      <c r="Q2139" s="2" t="b">
        <f t="shared" si="101"/>
        <v>0</v>
      </c>
      <c r="V2139" s="2"/>
      <c r="W2139" s="2"/>
      <c r="X2139" s="2"/>
      <c r="Y2139" s="2"/>
      <c r="Z2139" s="2"/>
      <c r="AA2139" s="2"/>
      <c r="AB2139" s="2"/>
      <c r="AC2139" s="2"/>
      <c r="AD2139" s="2"/>
      <c r="AE2139" s="2"/>
      <c r="AF2139" s="2"/>
      <c r="AG2139" s="2"/>
      <c r="AH2139" s="2"/>
      <c r="AI2139" s="2"/>
    </row>
    <row r="2140" spans="1:35" ht="14.25" customHeight="1" x14ac:dyDescent="0.2">
      <c r="A2140" s="1">
        <v>30725</v>
      </c>
      <c r="B2140" s="1" t="s">
        <v>610</v>
      </c>
      <c r="C2140" s="1" t="s">
        <v>21</v>
      </c>
      <c r="D2140" s="2">
        <v>42001</v>
      </c>
      <c r="E2140" s="1" t="s">
        <v>101</v>
      </c>
      <c r="F2140" s="1" t="s">
        <v>1103</v>
      </c>
      <c r="G2140" s="1">
        <v>39</v>
      </c>
      <c r="H2140" s="1">
        <v>449.99</v>
      </c>
      <c r="I2140" s="1">
        <f t="shared" si="99"/>
        <v>17549.61</v>
      </c>
      <c r="J2140" t="str">
        <f t="shared" si="100"/>
        <v>High</v>
      </c>
      <c r="K2140" s="1"/>
      <c r="L2140" s="1">
        <v>0.08</v>
      </c>
      <c r="M2140" s="1">
        <v>49</v>
      </c>
      <c r="N2140" s="1" t="s">
        <v>45</v>
      </c>
      <c r="O2140" s="1" t="s">
        <v>46</v>
      </c>
      <c r="P2140" s="2">
        <v>42002</v>
      </c>
      <c r="Q2140" s="2" t="b">
        <f t="shared" si="101"/>
        <v>0</v>
      </c>
      <c r="V2140" s="2"/>
      <c r="W2140" s="2"/>
      <c r="X2140" s="2"/>
      <c r="Y2140" s="2"/>
      <c r="Z2140" s="2"/>
      <c r="AA2140" s="2"/>
      <c r="AB2140" s="2"/>
      <c r="AC2140" s="2"/>
      <c r="AD2140" s="2"/>
      <c r="AE2140" s="2"/>
      <c r="AF2140" s="2"/>
      <c r="AG2140" s="2"/>
      <c r="AH2140" s="2"/>
      <c r="AI2140" s="2"/>
    </row>
    <row r="2141" spans="1:35" ht="14.25" customHeight="1" x14ac:dyDescent="0.2">
      <c r="A2141" s="1">
        <v>59937</v>
      </c>
      <c r="B2141" s="1" t="s">
        <v>1473</v>
      </c>
      <c r="C2141" s="1" t="s">
        <v>51</v>
      </c>
      <c r="D2141" s="2">
        <v>42001</v>
      </c>
      <c r="E2141" s="1" t="s">
        <v>31</v>
      </c>
      <c r="F2141" s="1" t="s">
        <v>1653</v>
      </c>
      <c r="G2141" s="1">
        <v>7</v>
      </c>
      <c r="H2141" s="1">
        <v>30.98</v>
      </c>
      <c r="I2141" s="1">
        <f t="shared" si="99"/>
        <v>216.86</v>
      </c>
      <c r="J2141" t="str">
        <f t="shared" si="100"/>
        <v>Low</v>
      </c>
      <c r="K2141" s="1"/>
      <c r="L2141" s="1">
        <v>0.02</v>
      </c>
      <c r="M2141" s="1">
        <v>17.079999999999998</v>
      </c>
      <c r="N2141" s="1" t="s">
        <v>33</v>
      </c>
      <c r="O2141" s="1" t="s">
        <v>34</v>
      </c>
      <c r="P2141" s="2">
        <v>42002</v>
      </c>
      <c r="Q2141" s="2" t="b">
        <f t="shared" si="101"/>
        <v>0</v>
      </c>
      <c r="V2141" s="2"/>
      <c r="W2141" s="2"/>
      <c r="X2141" s="2"/>
      <c r="Y2141" s="2"/>
      <c r="Z2141" s="2"/>
      <c r="AA2141" s="2"/>
      <c r="AB2141" s="2"/>
      <c r="AC2141" s="2"/>
      <c r="AD2141" s="2"/>
      <c r="AE2141" s="2"/>
      <c r="AF2141" s="2"/>
      <c r="AG2141" s="2"/>
      <c r="AH2141" s="2"/>
      <c r="AI2141" s="2"/>
    </row>
    <row r="2142" spans="1:35" ht="14.25" customHeight="1" x14ac:dyDescent="0.2">
      <c r="A2142" s="1">
        <v>11206</v>
      </c>
      <c r="B2142" s="1" t="s">
        <v>653</v>
      </c>
      <c r="C2142" s="1" t="s">
        <v>51</v>
      </c>
      <c r="D2142" s="2">
        <v>42001</v>
      </c>
      <c r="E2142" s="1" t="s">
        <v>43</v>
      </c>
      <c r="F2142" s="1" t="s">
        <v>508</v>
      </c>
      <c r="G2142" s="1">
        <v>26</v>
      </c>
      <c r="H2142" s="1">
        <v>49.99</v>
      </c>
      <c r="I2142" s="1">
        <f t="shared" si="99"/>
        <v>1299.74</v>
      </c>
      <c r="J2142" t="str">
        <f t="shared" si="100"/>
        <v>High</v>
      </c>
      <c r="K2142" s="1"/>
      <c r="L2142" s="1">
        <v>0.09</v>
      </c>
      <c r="M2142" s="1">
        <v>19.989999999999998</v>
      </c>
      <c r="N2142" s="1" t="s">
        <v>33</v>
      </c>
      <c r="O2142" s="1" t="s">
        <v>34</v>
      </c>
      <c r="P2142" s="2">
        <v>42003</v>
      </c>
      <c r="Q2142" s="2" t="b">
        <f t="shared" si="101"/>
        <v>0</v>
      </c>
      <c r="V2142" s="2"/>
      <c r="W2142" s="2"/>
      <c r="X2142" s="2"/>
      <c r="Y2142" s="2"/>
      <c r="Z2142" s="2"/>
      <c r="AA2142" s="2"/>
      <c r="AB2142" s="2"/>
      <c r="AC2142" s="2"/>
      <c r="AD2142" s="2"/>
      <c r="AE2142" s="2"/>
      <c r="AF2142" s="2"/>
      <c r="AG2142" s="2"/>
      <c r="AH2142" s="2"/>
      <c r="AI2142" s="2"/>
    </row>
    <row r="2143" spans="1:35" ht="14.25" customHeight="1" x14ac:dyDescent="0.2">
      <c r="A2143" s="1">
        <v>44962</v>
      </c>
      <c r="B2143" s="1" t="s">
        <v>208</v>
      </c>
      <c r="C2143" s="1" t="s">
        <v>51</v>
      </c>
      <c r="D2143" s="2">
        <v>42001</v>
      </c>
      <c r="E2143" s="1" t="s">
        <v>101</v>
      </c>
      <c r="F2143" s="1" t="s">
        <v>1654</v>
      </c>
      <c r="G2143" s="1">
        <v>27</v>
      </c>
      <c r="H2143" s="1">
        <v>22.24</v>
      </c>
      <c r="I2143" s="1">
        <f t="shared" si="99"/>
        <v>600.4799999999999</v>
      </c>
      <c r="J2143" t="str">
        <f t="shared" si="100"/>
        <v>Low</v>
      </c>
      <c r="K2143" s="1"/>
      <c r="L2143" s="1">
        <v>0.06</v>
      </c>
      <c r="M2143" s="1">
        <v>1.99</v>
      </c>
      <c r="N2143" s="1" t="s">
        <v>33</v>
      </c>
      <c r="O2143" s="1" t="s">
        <v>84</v>
      </c>
      <c r="P2143" s="2">
        <v>42003</v>
      </c>
      <c r="Q2143" s="2" t="b">
        <f t="shared" si="101"/>
        <v>0</v>
      </c>
      <c r="V2143" s="2"/>
      <c r="W2143" s="2"/>
      <c r="X2143" s="2"/>
      <c r="Y2143" s="2"/>
      <c r="Z2143" s="2"/>
      <c r="AA2143" s="2"/>
      <c r="AB2143" s="2"/>
      <c r="AC2143" s="2"/>
      <c r="AD2143" s="2"/>
      <c r="AE2143" s="2"/>
      <c r="AF2143" s="2"/>
      <c r="AG2143" s="2"/>
      <c r="AH2143" s="2"/>
      <c r="AI2143" s="2"/>
    </row>
    <row r="2144" spans="1:35" ht="14.25" customHeight="1" x14ac:dyDescent="0.2">
      <c r="A2144" s="1">
        <v>47201</v>
      </c>
      <c r="B2144" s="1" t="s">
        <v>1655</v>
      </c>
      <c r="C2144" s="1" t="s">
        <v>21</v>
      </c>
      <c r="D2144" s="2">
        <v>42001</v>
      </c>
      <c r="E2144" s="1" t="s">
        <v>38</v>
      </c>
      <c r="F2144" s="1" t="s">
        <v>481</v>
      </c>
      <c r="G2144" s="1">
        <v>18</v>
      </c>
      <c r="H2144" s="1">
        <v>4.9800000000000004</v>
      </c>
      <c r="I2144" s="1">
        <f t="shared" si="99"/>
        <v>89.640000000000015</v>
      </c>
      <c r="J2144" t="str">
        <f t="shared" si="100"/>
        <v>Low</v>
      </c>
      <c r="K2144" s="1"/>
      <c r="L2144" s="1">
        <v>0.03</v>
      </c>
      <c r="M2144" s="1">
        <v>4.62</v>
      </c>
      <c r="N2144" s="1" t="s">
        <v>25</v>
      </c>
      <c r="O2144" s="1" t="s">
        <v>84</v>
      </c>
      <c r="P2144" s="2">
        <v>42002</v>
      </c>
      <c r="Q2144" s="2" t="b">
        <f t="shared" si="101"/>
        <v>0</v>
      </c>
      <c r="V2144" s="2"/>
      <c r="W2144" s="2"/>
      <c r="X2144" s="2"/>
      <c r="Y2144" s="2"/>
      <c r="Z2144" s="2"/>
      <c r="AA2144" s="2"/>
      <c r="AB2144" s="2"/>
      <c r="AC2144" s="2"/>
      <c r="AD2144" s="2"/>
      <c r="AE2144" s="2"/>
      <c r="AF2144" s="2"/>
      <c r="AG2144" s="2"/>
      <c r="AH2144" s="2"/>
      <c r="AI2144" s="2"/>
    </row>
    <row r="2145" spans="1:35" ht="14.25" customHeight="1" x14ac:dyDescent="0.2">
      <c r="A2145" s="1">
        <v>57378</v>
      </c>
      <c r="B2145" s="1" t="s">
        <v>1656</v>
      </c>
      <c r="C2145" s="1" t="s">
        <v>21</v>
      </c>
      <c r="D2145" s="2">
        <v>42001</v>
      </c>
      <c r="E2145" s="1" t="s">
        <v>22</v>
      </c>
      <c r="F2145" s="1" t="s">
        <v>379</v>
      </c>
      <c r="G2145" s="1">
        <v>9</v>
      </c>
      <c r="H2145" s="1">
        <v>29.89</v>
      </c>
      <c r="I2145" s="1">
        <f t="shared" si="99"/>
        <v>269.01</v>
      </c>
      <c r="J2145" t="str">
        <f t="shared" si="100"/>
        <v>Low</v>
      </c>
      <c r="K2145" s="1"/>
      <c r="L2145" s="1">
        <v>0.02</v>
      </c>
      <c r="M2145" s="1">
        <v>1.99</v>
      </c>
      <c r="N2145" s="1" t="s">
        <v>33</v>
      </c>
      <c r="O2145" s="1" t="s">
        <v>84</v>
      </c>
      <c r="P2145" s="2">
        <v>42002</v>
      </c>
      <c r="Q2145" s="2" t="b">
        <f t="shared" si="101"/>
        <v>0</v>
      </c>
      <c r="V2145" s="2"/>
      <c r="W2145" s="2"/>
      <c r="X2145" s="2"/>
      <c r="Y2145" s="2"/>
      <c r="Z2145" s="2"/>
      <c r="AA2145" s="2"/>
      <c r="AB2145" s="2"/>
      <c r="AC2145" s="2"/>
      <c r="AD2145" s="2"/>
      <c r="AE2145" s="2"/>
      <c r="AF2145" s="2"/>
      <c r="AG2145" s="2"/>
      <c r="AH2145" s="2"/>
      <c r="AI2145" s="2"/>
    </row>
    <row r="2146" spans="1:35" ht="14.25" customHeight="1" x14ac:dyDescent="0.2">
      <c r="A2146" s="1">
        <v>57378</v>
      </c>
      <c r="B2146" s="1" t="s">
        <v>1656</v>
      </c>
      <c r="C2146" s="1" t="s">
        <v>30</v>
      </c>
      <c r="D2146" s="2">
        <v>42001</v>
      </c>
      <c r="E2146" s="1" t="s">
        <v>22</v>
      </c>
      <c r="F2146" s="1" t="s">
        <v>158</v>
      </c>
      <c r="G2146" s="1">
        <v>10</v>
      </c>
      <c r="H2146" s="1">
        <v>3.28</v>
      </c>
      <c r="I2146" s="1">
        <f t="shared" si="99"/>
        <v>32.799999999999997</v>
      </c>
      <c r="J2146" t="str">
        <f t="shared" si="100"/>
        <v>Low</v>
      </c>
      <c r="K2146" s="1"/>
      <c r="L2146" s="1">
        <v>0.01</v>
      </c>
      <c r="M2146" s="1">
        <v>3.97</v>
      </c>
      <c r="N2146" s="1" t="s">
        <v>25</v>
      </c>
      <c r="O2146" s="1" t="s">
        <v>55</v>
      </c>
      <c r="P2146" s="2">
        <v>42001</v>
      </c>
      <c r="Q2146" s="2" t="b">
        <f t="shared" si="101"/>
        <v>0</v>
      </c>
      <c r="V2146" s="2"/>
      <c r="W2146" s="2"/>
      <c r="X2146" s="2"/>
      <c r="Y2146" s="2"/>
      <c r="Z2146" s="2"/>
      <c r="AA2146" s="2"/>
      <c r="AB2146" s="2"/>
      <c r="AC2146" s="2"/>
      <c r="AD2146" s="2"/>
      <c r="AE2146" s="2"/>
      <c r="AF2146" s="2"/>
      <c r="AG2146" s="2"/>
      <c r="AH2146" s="2"/>
      <c r="AI2146" s="2"/>
    </row>
    <row r="2147" spans="1:35" ht="14.25" customHeight="1" x14ac:dyDescent="0.2">
      <c r="A2147" s="1">
        <v>6241</v>
      </c>
      <c r="B2147" s="1" t="s">
        <v>1547</v>
      </c>
      <c r="C2147" s="1" t="s">
        <v>30</v>
      </c>
      <c r="D2147" s="2">
        <v>42002</v>
      </c>
      <c r="E2147" s="1" t="s">
        <v>43</v>
      </c>
      <c r="F2147" s="1" t="s">
        <v>1657</v>
      </c>
      <c r="G2147" s="1">
        <v>24</v>
      </c>
      <c r="H2147" s="1">
        <v>5.84</v>
      </c>
      <c r="I2147" s="1">
        <f t="shared" si="99"/>
        <v>140.16</v>
      </c>
      <c r="J2147" t="str">
        <f t="shared" si="100"/>
        <v>Low</v>
      </c>
      <c r="K2147" s="1"/>
      <c r="L2147" s="1">
        <v>0.08</v>
      </c>
      <c r="M2147" s="1">
        <v>1</v>
      </c>
      <c r="N2147" s="1" t="s">
        <v>25</v>
      </c>
      <c r="O2147" s="1" t="s">
        <v>55</v>
      </c>
      <c r="P2147" s="2">
        <v>42007</v>
      </c>
      <c r="Q2147" s="2" t="b">
        <f t="shared" si="101"/>
        <v>0</v>
      </c>
      <c r="V2147" s="2"/>
      <c r="W2147" s="2"/>
      <c r="X2147" s="2"/>
      <c r="Y2147" s="2"/>
      <c r="Z2147" s="2"/>
      <c r="AA2147" s="2"/>
      <c r="AB2147" s="2"/>
      <c r="AC2147" s="2"/>
      <c r="AD2147" s="2"/>
      <c r="AE2147" s="2"/>
      <c r="AF2147" s="2"/>
      <c r="AG2147" s="2"/>
      <c r="AH2147" s="2"/>
      <c r="AI2147" s="2"/>
    </row>
    <row r="2148" spans="1:35" ht="14.25" customHeight="1" x14ac:dyDescent="0.2">
      <c r="A2148" s="1">
        <v>6241</v>
      </c>
      <c r="B2148" s="1" t="s">
        <v>1547</v>
      </c>
      <c r="C2148" s="1" t="s">
        <v>30</v>
      </c>
      <c r="D2148" s="2">
        <v>42002</v>
      </c>
      <c r="E2148" s="1" t="s">
        <v>43</v>
      </c>
      <c r="F2148" s="1" t="s">
        <v>413</v>
      </c>
      <c r="G2148" s="1">
        <v>29</v>
      </c>
      <c r="H2148" s="1">
        <v>205.99</v>
      </c>
      <c r="I2148" s="1">
        <f t="shared" si="99"/>
        <v>5973.71</v>
      </c>
      <c r="J2148" t="str">
        <f t="shared" si="100"/>
        <v>High</v>
      </c>
      <c r="K2148" s="1"/>
      <c r="L2148" s="1">
        <v>0</v>
      </c>
      <c r="M2148" s="1">
        <v>8.99</v>
      </c>
      <c r="N2148" s="1" t="s">
        <v>33</v>
      </c>
      <c r="O2148" s="1" t="s">
        <v>34</v>
      </c>
      <c r="P2148" s="2">
        <v>42006</v>
      </c>
      <c r="Q2148" s="2" t="b">
        <f t="shared" si="101"/>
        <v>0</v>
      </c>
      <c r="V2148" s="2"/>
      <c r="W2148" s="2"/>
      <c r="X2148" s="2"/>
      <c r="Y2148" s="2"/>
      <c r="Z2148" s="2"/>
      <c r="AA2148" s="2"/>
      <c r="AB2148" s="2"/>
      <c r="AC2148" s="2"/>
      <c r="AD2148" s="2"/>
      <c r="AE2148" s="2"/>
      <c r="AF2148" s="2"/>
      <c r="AG2148" s="2"/>
      <c r="AH2148" s="2"/>
      <c r="AI2148" s="2"/>
    </row>
    <row r="2149" spans="1:35" ht="14.25" customHeight="1" x14ac:dyDescent="0.2">
      <c r="A2149" s="1">
        <v>26432</v>
      </c>
      <c r="B2149" s="1" t="s">
        <v>1159</v>
      </c>
      <c r="C2149" s="1" t="s">
        <v>21</v>
      </c>
      <c r="D2149" s="2">
        <v>42003</v>
      </c>
      <c r="E2149" s="1" t="s">
        <v>43</v>
      </c>
      <c r="F2149" s="1" t="s">
        <v>1658</v>
      </c>
      <c r="G2149" s="1">
        <v>37</v>
      </c>
      <c r="H2149" s="1">
        <v>38.06</v>
      </c>
      <c r="I2149" s="1">
        <f t="shared" si="99"/>
        <v>1408.22</v>
      </c>
      <c r="J2149" t="str">
        <f t="shared" si="100"/>
        <v>High</v>
      </c>
      <c r="K2149" s="1"/>
      <c r="L2149" s="1">
        <v>0.06</v>
      </c>
      <c r="M2149" s="1">
        <v>4.5</v>
      </c>
      <c r="N2149" s="1" t="s">
        <v>33</v>
      </c>
      <c r="O2149" s="1" t="s">
        <v>34</v>
      </c>
      <c r="P2149" s="2">
        <v>42010</v>
      </c>
      <c r="Q2149" s="2" t="b">
        <f t="shared" si="101"/>
        <v>0</v>
      </c>
      <c r="V2149" s="2"/>
      <c r="W2149" s="2"/>
      <c r="X2149" s="2"/>
      <c r="Y2149" s="2"/>
      <c r="Z2149" s="2"/>
      <c r="AA2149" s="2"/>
      <c r="AB2149" s="2"/>
      <c r="AC2149" s="2"/>
      <c r="AD2149" s="2"/>
      <c r="AE2149" s="2"/>
      <c r="AF2149" s="2"/>
      <c r="AG2149" s="2"/>
      <c r="AH2149" s="2"/>
      <c r="AI2149" s="2"/>
    </row>
    <row r="2150" spans="1:35" ht="14.25" customHeight="1" x14ac:dyDescent="0.2">
      <c r="A2150" s="1">
        <v>26432</v>
      </c>
      <c r="B2150" s="1" t="s">
        <v>1159</v>
      </c>
      <c r="C2150" s="1" t="s">
        <v>21</v>
      </c>
      <c r="D2150" s="2">
        <v>42003</v>
      </c>
      <c r="E2150" s="1" t="s">
        <v>43</v>
      </c>
      <c r="F2150" s="1" t="s">
        <v>1659</v>
      </c>
      <c r="G2150" s="1">
        <v>48</v>
      </c>
      <c r="H2150" s="1">
        <v>599.99</v>
      </c>
      <c r="I2150" s="1">
        <f t="shared" si="99"/>
        <v>28799.52</v>
      </c>
      <c r="J2150" t="str">
        <f t="shared" si="100"/>
        <v>High</v>
      </c>
      <c r="K2150" s="1"/>
      <c r="L2150" s="1">
        <v>0.08</v>
      </c>
      <c r="M2150" s="1">
        <v>24.49</v>
      </c>
      <c r="N2150" s="1" t="s">
        <v>33</v>
      </c>
      <c r="O2150" s="1" t="s">
        <v>26</v>
      </c>
      <c r="P2150" s="2">
        <v>42012</v>
      </c>
      <c r="Q2150" s="2" t="b">
        <f t="shared" si="101"/>
        <v>0</v>
      </c>
      <c r="V2150" s="2"/>
      <c r="W2150" s="2"/>
      <c r="X2150" s="2"/>
      <c r="Y2150" s="2"/>
      <c r="Z2150" s="2"/>
      <c r="AA2150" s="2"/>
      <c r="AB2150" s="2"/>
      <c r="AC2150" s="2"/>
      <c r="AD2150" s="2"/>
      <c r="AE2150" s="2"/>
      <c r="AF2150" s="2"/>
      <c r="AG2150" s="2"/>
      <c r="AH2150" s="2"/>
      <c r="AI2150" s="2"/>
    </row>
    <row r="2151" spans="1:35" ht="14.25" customHeight="1" x14ac:dyDescent="0.2">
      <c r="A2151" s="1">
        <v>26432</v>
      </c>
      <c r="B2151" s="1" t="s">
        <v>1159</v>
      </c>
      <c r="C2151" s="1" t="s">
        <v>51</v>
      </c>
      <c r="D2151" s="2">
        <v>42003</v>
      </c>
      <c r="E2151" s="1" t="s">
        <v>43</v>
      </c>
      <c r="F2151" s="1" t="s">
        <v>1660</v>
      </c>
      <c r="G2151" s="1">
        <v>11</v>
      </c>
      <c r="H2151" s="1">
        <v>3.98</v>
      </c>
      <c r="I2151" s="1">
        <f t="shared" si="99"/>
        <v>43.78</v>
      </c>
      <c r="J2151" t="str">
        <f t="shared" si="100"/>
        <v>Low</v>
      </c>
      <c r="K2151" s="1"/>
      <c r="L2151" s="1">
        <v>0.1</v>
      </c>
      <c r="M2151" s="1">
        <v>2.97</v>
      </c>
      <c r="N2151" s="1" t="s">
        <v>25</v>
      </c>
      <c r="O2151" s="1" t="s">
        <v>55</v>
      </c>
      <c r="P2151" s="2">
        <v>42008</v>
      </c>
      <c r="Q2151" s="2" t="b">
        <f t="shared" si="101"/>
        <v>0</v>
      </c>
      <c r="V2151" s="2"/>
      <c r="W2151" s="2"/>
      <c r="X2151" s="2"/>
      <c r="Y2151" s="2"/>
      <c r="Z2151" s="2"/>
      <c r="AA2151" s="2"/>
      <c r="AB2151" s="2"/>
      <c r="AC2151" s="2"/>
      <c r="AD2151" s="2"/>
      <c r="AE2151" s="2"/>
      <c r="AF2151" s="2"/>
      <c r="AG2151" s="2"/>
      <c r="AH2151" s="2"/>
      <c r="AI2151" s="2"/>
    </row>
    <row r="2152" spans="1:35" ht="14.25" customHeight="1" x14ac:dyDescent="0.2">
      <c r="A2152" s="1">
        <v>46597</v>
      </c>
      <c r="B2152" s="1" t="s">
        <v>1661</v>
      </c>
      <c r="C2152" s="1" t="s">
        <v>21</v>
      </c>
      <c r="D2152" s="2">
        <v>42004</v>
      </c>
      <c r="E2152" s="1" t="s">
        <v>22</v>
      </c>
      <c r="F2152" s="1" t="s">
        <v>536</v>
      </c>
      <c r="G2152" s="1">
        <v>47</v>
      </c>
      <c r="H2152" s="1">
        <v>195.99</v>
      </c>
      <c r="I2152" s="1">
        <f t="shared" si="99"/>
        <v>9211.5300000000007</v>
      </c>
      <c r="J2152" t="str">
        <f t="shared" si="100"/>
        <v>High</v>
      </c>
      <c r="K2152" s="1"/>
      <c r="L2152" s="1">
        <v>0.01</v>
      </c>
      <c r="M2152" s="1">
        <v>8.99</v>
      </c>
      <c r="N2152" s="1" t="s">
        <v>33</v>
      </c>
      <c r="O2152" s="1" t="s">
        <v>34</v>
      </c>
      <c r="P2152" s="2">
        <v>42004</v>
      </c>
      <c r="Q2152" s="2" t="b">
        <f t="shared" si="101"/>
        <v>0</v>
      </c>
      <c r="V2152" s="2"/>
      <c r="W2152" s="2"/>
      <c r="X2152" s="2"/>
      <c r="Y2152" s="2"/>
      <c r="Z2152" s="2"/>
      <c r="AA2152" s="2"/>
      <c r="AB2152" s="2"/>
      <c r="AC2152" s="2"/>
      <c r="AD2152" s="2"/>
      <c r="AE2152" s="2"/>
      <c r="AF2152" s="2"/>
      <c r="AG2152" s="2"/>
      <c r="AH2152" s="2"/>
      <c r="AI2152" s="2"/>
    </row>
    <row r="2153" spans="1:35" ht="14.25" customHeight="1" x14ac:dyDescent="0.2">
      <c r="A2153" s="1">
        <v>46597</v>
      </c>
      <c r="B2153" s="1" t="s">
        <v>1661</v>
      </c>
      <c r="C2153" s="1" t="s">
        <v>51</v>
      </c>
      <c r="D2153" s="2">
        <v>42004</v>
      </c>
      <c r="E2153" s="1" t="s">
        <v>22</v>
      </c>
      <c r="F2153" s="1" t="s">
        <v>1597</v>
      </c>
      <c r="G2153" s="1">
        <v>10</v>
      </c>
      <c r="H2153" s="1">
        <v>12.95</v>
      </c>
      <c r="I2153" s="1">
        <f t="shared" si="99"/>
        <v>129.5</v>
      </c>
      <c r="J2153" t="str">
        <f t="shared" si="100"/>
        <v>Low</v>
      </c>
      <c r="K2153" s="1"/>
      <c r="L2153" s="1">
        <v>0.06</v>
      </c>
      <c r="M2153" s="1">
        <v>4.9800000000000004</v>
      </c>
      <c r="N2153" s="1" t="s">
        <v>33</v>
      </c>
      <c r="O2153" s="1" t="s">
        <v>34</v>
      </c>
      <c r="P2153" s="2">
        <v>42006</v>
      </c>
      <c r="Q2153" s="2" t="b">
        <f t="shared" si="101"/>
        <v>0</v>
      </c>
      <c r="V2153" s="2"/>
      <c r="W2153" s="2"/>
      <c r="X2153" s="2"/>
      <c r="Y2153" s="2"/>
      <c r="Z2153" s="2"/>
      <c r="AA2153" s="2"/>
      <c r="AB2153" s="2"/>
      <c r="AC2153" s="2"/>
      <c r="AD2153" s="2"/>
      <c r="AE2153" s="2"/>
      <c r="AF2153" s="2"/>
      <c r="AG2153" s="2"/>
      <c r="AH2153" s="2"/>
      <c r="AI2153" s="2"/>
    </row>
    <row r="2154" spans="1:35" ht="14.25" customHeight="1" x14ac:dyDescent="0.2">
      <c r="A2154" s="1">
        <v>46597</v>
      </c>
      <c r="B2154" s="1" t="s">
        <v>1661</v>
      </c>
      <c r="C2154" s="1" t="s">
        <v>51</v>
      </c>
      <c r="D2154" s="2">
        <v>42004</v>
      </c>
      <c r="E2154" s="1" t="s">
        <v>22</v>
      </c>
      <c r="F2154" s="1" t="s">
        <v>375</v>
      </c>
      <c r="G2154" s="1">
        <v>1</v>
      </c>
      <c r="H2154" s="1">
        <v>122.99</v>
      </c>
      <c r="I2154" s="1">
        <f t="shared" si="99"/>
        <v>122.99</v>
      </c>
      <c r="J2154" t="str">
        <f t="shared" si="100"/>
        <v>Low</v>
      </c>
      <c r="K2154" s="1"/>
      <c r="L2154" s="1">
        <v>0</v>
      </c>
      <c r="M2154" s="1">
        <v>70.2</v>
      </c>
      <c r="N2154" s="1" t="s">
        <v>45</v>
      </c>
      <c r="O2154" s="1" t="s">
        <v>46</v>
      </c>
      <c r="P2154" s="2">
        <v>42006</v>
      </c>
      <c r="Q2154" s="2" t="b">
        <f t="shared" si="101"/>
        <v>0</v>
      </c>
      <c r="V2154" s="2"/>
      <c r="W2154" s="2"/>
      <c r="X2154" s="2"/>
      <c r="Y2154" s="2"/>
      <c r="Z2154" s="2"/>
      <c r="AA2154" s="2"/>
      <c r="AB2154" s="2"/>
      <c r="AC2154" s="2"/>
      <c r="AD2154" s="2"/>
      <c r="AE2154" s="2"/>
      <c r="AF2154" s="2"/>
      <c r="AG2154" s="2"/>
      <c r="AH2154" s="2"/>
      <c r="AI215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baseColWidth="10" defaultColWidth="8.6640625" defaultRowHeight="15" x14ac:dyDescent="0.2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1"/>
  <sheetViews>
    <sheetView zoomScaleNormal="100" workbookViewId="0">
      <selection activeCell="A20" sqref="A20"/>
    </sheetView>
  </sheetViews>
  <sheetFormatPr baseColWidth="10" defaultColWidth="8.6640625" defaultRowHeight="15" x14ac:dyDescent="0.2"/>
  <sheetData>
    <row r="1" spans="1:1" ht="14.25" customHeight="1" x14ac:dyDescent="0.2">
      <c r="A1" t="s">
        <v>1662</v>
      </c>
    </row>
    <row r="2" spans="1:1" ht="14.25" customHeight="1" x14ac:dyDescent="0.2">
      <c r="A2" t="s">
        <v>1663</v>
      </c>
    </row>
    <row r="3" spans="1:1" ht="14.25" customHeight="1" x14ac:dyDescent="0.2">
      <c r="A3" t="s">
        <v>1664</v>
      </c>
    </row>
    <row r="4" spans="1:1" ht="14.25" customHeight="1" x14ac:dyDescent="0.2">
      <c r="A4" t="s">
        <v>1665</v>
      </c>
    </row>
    <row r="5" spans="1:1" ht="14.25" customHeight="1" x14ac:dyDescent="0.2">
      <c r="A5" t="s">
        <v>1666</v>
      </c>
    </row>
    <row r="6" spans="1:1" ht="14.25" customHeight="1" x14ac:dyDescent="0.2">
      <c r="A6" t="s">
        <v>1667</v>
      </c>
    </row>
    <row r="7" spans="1:1" ht="14.25" customHeight="1" x14ac:dyDescent="0.2">
      <c r="A7" t="s">
        <v>1668</v>
      </c>
    </row>
    <row r="8" spans="1:1" ht="14.25" customHeight="1" x14ac:dyDescent="0.2">
      <c r="A8" t="s">
        <v>1669</v>
      </c>
    </row>
    <row r="9" spans="1:1" ht="14.25" customHeight="1" x14ac:dyDescent="0.2">
      <c r="A9" t="s">
        <v>1670</v>
      </c>
    </row>
    <row r="10" spans="1:1" ht="14.25" customHeight="1" x14ac:dyDescent="0.2">
      <c r="A10" t="s">
        <v>1671</v>
      </c>
    </row>
    <row r="11" spans="1:1" ht="14.25" customHeight="1" x14ac:dyDescent="0.2">
      <c r="A11" t="s">
        <v>1672</v>
      </c>
    </row>
    <row r="12" spans="1:1" ht="14.25" customHeight="1" x14ac:dyDescent="0.2">
      <c r="A12" t="s">
        <v>1673</v>
      </c>
    </row>
    <row r="13" spans="1:1" ht="14.25" customHeight="1" x14ac:dyDescent="0.2">
      <c r="A13" t="s">
        <v>1674</v>
      </c>
    </row>
    <row r="14" spans="1:1" ht="14.25" customHeight="1" x14ac:dyDescent="0.2">
      <c r="A14" t="s">
        <v>1675</v>
      </c>
    </row>
    <row r="15" spans="1:1" ht="14.25" customHeight="1" x14ac:dyDescent="0.2">
      <c r="A15" t="s">
        <v>1676</v>
      </c>
    </row>
    <row r="16" spans="1:1" ht="14.25" customHeight="1" x14ac:dyDescent="0.2">
      <c r="A16" t="s">
        <v>1677</v>
      </c>
    </row>
    <row r="17" spans="1:1" ht="14.25" customHeight="1" x14ac:dyDescent="0.2">
      <c r="A17" t="s">
        <v>1678</v>
      </c>
    </row>
    <row r="18" spans="1:1" ht="14.25" customHeight="1" x14ac:dyDescent="0.2">
      <c r="A18" t="s">
        <v>1679</v>
      </c>
    </row>
    <row r="19" spans="1:1" ht="14.25" customHeight="1" x14ac:dyDescent="0.2">
      <c r="A19" t="s">
        <v>1680</v>
      </c>
    </row>
    <row r="20" spans="1:1" ht="14.25" customHeight="1" x14ac:dyDescent="0.2">
      <c r="A20" t="s">
        <v>1681</v>
      </c>
    </row>
    <row r="21" spans="1:1" ht="14.25" customHeight="1" x14ac:dyDescent="0.2">
      <c r="A21" t="s">
        <v>1682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3"/>
  <sheetViews>
    <sheetView tabSelected="1" zoomScaleNormal="100" workbookViewId="0">
      <pane ySplit="2" topLeftCell="A29" activePane="bottomLeft" state="frozen"/>
      <selection pane="bottomLeft" activeCell="E34" sqref="E34"/>
    </sheetView>
  </sheetViews>
  <sheetFormatPr baseColWidth="10" defaultColWidth="8.6640625" defaultRowHeight="15" x14ac:dyDescent="0.2"/>
  <cols>
    <col min="1" max="1" width="28.83203125" customWidth="1"/>
    <col min="2" max="2" width="38" customWidth="1"/>
    <col min="3" max="3" width="52" customWidth="1"/>
    <col min="4" max="4" width="22" customWidth="1"/>
  </cols>
  <sheetData>
    <row r="1" spans="1:4" ht="27.75" customHeight="1" x14ac:dyDescent="0.2">
      <c r="A1" s="3" t="s">
        <v>1736</v>
      </c>
      <c r="B1" s="3" t="s">
        <v>1746</v>
      </c>
      <c r="C1" s="3" t="s">
        <v>1747</v>
      </c>
      <c r="D1" s="3" t="s">
        <v>1748</v>
      </c>
    </row>
    <row r="2" spans="1:4" ht="19.5" customHeight="1" x14ac:dyDescent="0.2">
      <c r="A2" s="4" t="s">
        <v>1683</v>
      </c>
      <c r="B2" s="4" t="s">
        <v>1684</v>
      </c>
      <c r="C2" s="4" t="s">
        <v>1685</v>
      </c>
      <c r="D2" s="4" t="s">
        <v>17</v>
      </c>
    </row>
    <row r="3" spans="1:4" ht="18" customHeight="1" x14ac:dyDescent="0.2">
      <c r="A3" s="13" t="s">
        <v>1737</v>
      </c>
      <c r="B3" s="13"/>
      <c r="C3" s="13"/>
      <c r="D3" s="13"/>
    </row>
    <row r="4" spans="1:4" ht="30" customHeight="1" x14ac:dyDescent="0.2">
      <c r="A4" s="6" t="s">
        <v>1662</v>
      </c>
      <c r="B4" s="7" t="s">
        <v>1686</v>
      </c>
      <c r="C4" s="8">
        <f>SUM(sales_2014!I2:I2154)</f>
        <v>4355149.5900000064</v>
      </c>
      <c r="D4" s="9">
        <f>SUM(sales_2014!I2:I2154)</f>
        <v>4355149.5900000064</v>
      </c>
    </row>
    <row r="5" spans="1:4" ht="30" customHeight="1" x14ac:dyDescent="0.2">
      <c r="A5" s="6" t="s">
        <v>1663</v>
      </c>
      <c r="B5" s="7" t="s">
        <v>1687</v>
      </c>
      <c r="C5" s="8">
        <f>AVERAGE(sales_2014!H2:H2154)</f>
        <v>108.11594519275478</v>
      </c>
      <c r="D5" s="9">
        <f>AVERAGE(sales_2014!H2:H2154)</f>
        <v>108.11594519275478</v>
      </c>
    </row>
    <row r="6" spans="1:4" ht="30" customHeight="1" x14ac:dyDescent="0.2">
      <c r="A6" s="6" t="s">
        <v>1665</v>
      </c>
      <c r="B6" s="7" t="s">
        <v>1688</v>
      </c>
      <c r="C6" s="8">
        <f>MIN(sales_2014!G2:G2154)</f>
        <v>1</v>
      </c>
      <c r="D6" s="10">
        <f>MIN(sales_2014!G2:G2154)</f>
        <v>1</v>
      </c>
    </row>
    <row r="7" spans="1:4" ht="30" customHeight="1" x14ac:dyDescent="0.2">
      <c r="A7" s="6" t="s">
        <v>1666</v>
      </c>
      <c r="B7" s="7" t="s">
        <v>1689</v>
      </c>
      <c r="C7" s="8">
        <f>MAX(sales_2014!G2:G2154)</f>
        <v>50</v>
      </c>
      <c r="D7" s="10">
        <f>MAX(sales_2014!G2:G2154)</f>
        <v>50</v>
      </c>
    </row>
    <row r="8" spans="1:4" ht="30" customHeight="1" x14ac:dyDescent="0.2">
      <c r="A8" s="6" t="s">
        <v>1690</v>
      </c>
      <c r="B8" s="7" t="s">
        <v>1691</v>
      </c>
      <c r="C8" s="8">
        <f>STDEV(sales_2014!I2:I2154)</f>
        <v>4262.5403978891054</v>
      </c>
      <c r="D8" s="9">
        <f>STDEV(sales_2014!I2:I2154)</f>
        <v>4262.5403978891054</v>
      </c>
    </row>
    <row r="9" spans="1:4" ht="30" customHeight="1" x14ac:dyDescent="0.2">
      <c r="A9" s="6" t="s">
        <v>1692</v>
      </c>
      <c r="B9" s="7" t="s">
        <v>1693</v>
      </c>
      <c r="C9" s="8">
        <f>VAR(sales_2014!I2:I2154)</f>
        <v>18169250.643636614</v>
      </c>
      <c r="D9" s="9">
        <f>VAR(sales_2014!I2:I2154)</f>
        <v>18169250.643636614</v>
      </c>
    </row>
    <row r="10" spans="1:4" ht="18" customHeight="1" x14ac:dyDescent="0.2">
      <c r="A10" s="5" t="s">
        <v>1739</v>
      </c>
      <c r="B10" s="5"/>
      <c r="C10" s="5"/>
      <c r="D10" s="5"/>
    </row>
    <row r="11" spans="1:4" ht="30" customHeight="1" x14ac:dyDescent="0.2">
      <c r="A11" s="6" t="s">
        <v>1668</v>
      </c>
      <c r="B11" s="12" t="s">
        <v>1738</v>
      </c>
      <c r="C11" s="8">
        <f>SUMIF(sales_2014!N2:N2154,"Express Air",sales_2014!I2:I2154)</f>
        <v>353885.70000000013</v>
      </c>
      <c r="D11" s="9">
        <f>SUMIF(sales_2014!N2:N2154,"Express Air",sales_2014!I2:I2154)</f>
        <v>353885.70000000013</v>
      </c>
    </row>
    <row r="12" spans="1:4" ht="30" customHeight="1" x14ac:dyDescent="0.2">
      <c r="A12" s="6" t="s">
        <v>1671</v>
      </c>
      <c r="B12" s="7" t="s">
        <v>1694</v>
      </c>
      <c r="C12" s="8">
        <f>SUMIFS(sales_2014!I2:I2154,sales_2014!N2:N2154,"Express Air",sales_2014!O2:O2154,"Large Box")</f>
        <v>82918.959999999992</v>
      </c>
      <c r="D12" s="9">
        <f>SUMIFS(sales_2014!I2:I2154,sales_2014!N2:N2154,"Express Air",sales_2014!O2:O2154,"Large Box")</f>
        <v>82918.959999999992</v>
      </c>
    </row>
    <row r="13" spans="1:4" ht="18" customHeight="1" x14ac:dyDescent="0.2">
      <c r="A13" s="5" t="s">
        <v>1740</v>
      </c>
      <c r="B13" s="5"/>
      <c r="C13" s="5"/>
      <c r="D13" s="5"/>
    </row>
    <row r="14" spans="1:4" ht="30" customHeight="1" x14ac:dyDescent="0.2">
      <c r="A14" s="6" t="s">
        <v>1664</v>
      </c>
      <c r="B14" s="7" t="s">
        <v>1695</v>
      </c>
      <c r="C14" s="8">
        <f>COUNT(sales_2014!I2:I2154)</f>
        <v>2153</v>
      </c>
      <c r="D14" s="10">
        <f>COUNT(sales_2014!I2:I2154)</f>
        <v>2153</v>
      </c>
    </row>
    <row r="15" spans="1:4" ht="30" customHeight="1" x14ac:dyDescent="0.2">
      <c r="A15" s="6" t="s">
        <v>1696</v>
      </c>
      <c r="B15" s="7" t="s">
        <v>1697</v>
      </c>
      <c r="C15" s="8">
        <f>COUNTA(sales_2014!C2:C2154)</f>
        <v>2153</v>
      </c>
      <c r="D15" s="10">
        <f>COUNTA(sales_2014!C2:C2154)</f>
        <v>2153</v>
      </c>
    </row>
    <row r="16" spans="1:4" ht="30" customHeight="1" x14ac:dyDescent="0.2">
      <c r="A16" s="6" t="s">
        <v>1669</v>
      </c>
      <c r="B16" s="7" t="s">
        <v>1698</v>
      </c>
      <c r="C16" s="8">
        <f>COUNTIF(sales_2014!E2:E2154,"Critical")</f>
        <v>443</v>
      </c>
      <c r="D16" s="10">
        <f>COUNTIF(sales_2014!E2:E2154,"Critical")</f>
        <v>443</v>
      </c>
    </row>
    <row r="17" spans="1:4" ht="30" customHeight="1" x14ac:dyDescent="0.2">
      <c r="A17" s="6" t="s">
        <v>1672</v>
      </c>
      <c r="B17" s="7" t="s">
        <v>1699</v>
      </c>
      <c r="C17" s="8">
        <f>COUNTIFS(sales_2014!E2:E2154,"Critical",sales_2014!C2:C2154,"Bob")</f>
        <v>146</v>
      </c>
      <c r="D17" s="10">
        <f>COUNTIFS(sales_2014!E2:E2154,"Critical",sales_2014!C2:C2154,"Bob")</f>
        <v>146</v>
      </c>
    </row>
    <row r="18" spans="1:4" ht="18" customHeight="1" x14ac:dyDescent="0.2">
      <c r="A18" s="5" t="s">
        <v>1741</v>
      </c>
      <c r="B18" s="5"/>
      <c r="C18" s="5"/>
      <c r="D18" s="5"/>
    </row>
    <row r="19" spans="1:4" ht="30" customHeight="1" x14ac:dyDescent="0.2">
      <c r="A19" s="6" t="s">
        <v>1667</v>
      </c>
      <c r="B19" s="7" t="s">
        <v>1700</v>
      </c>
      <c r="C19" s="8" t="str">
        <f>IF(sales_2014!I2&gt;=1000,"High Value","Low Value")</f>
        <v>Low Value</v>
      </c>
      <c r="D19" s="10" t="str">
        <f>IF(sales_2014!I2&gt;=1000,"High Value","Low Value")</f>
        <v>Low Value</v>
      </c>
    </row>
    <row r="20" spans="1:4" ht="30" customHeight="1" x14ac:dyDescent="0.2">
      <c r="A20" s="6" t="s">
        <v>1701</v>
      </c>
      <c r="B20" s="7" t="s">
        <v>1702</v>
      </c>
      <c r="C20" s="8" t="str">
        <f>IF(sales_2014!E2="Critical","Critical",IF(sales_2014!E2="High","High",IF(sales_2014!E2="Medium","Medium",IF(sales_2014!E2="Low","Low","Other"))))</f>
        <v>Other</v>
      </c>
      <c r="D20" s="10" t="str">
        <f>IF(sales_2014!E2="Critical","Critical",IF(sales_2014!E2="High","High",IF(sales_2014!E2="Medium","Medium",IF(sales_2014!E2="Low","Low","Other"))))</f>
        <v>Other</v>
      </c>
    </row>
    <row r="21" spans="1:4" ht="30" customHeight="1" x14ac:dyDescent="0.2">
      <c r="A21" s="6" t="s">
        <v>1681</v>
      </c>
      <c r="B21" s="7" t="s">
        <v>1703</v>
      </c>
      <c r="C21" s="8" t="b">
        <f>AND(sales_2014!I2&gt;500,sales_2014!L2&gt;0.05)</f>
        <v>1</v>
      </c>
      <c r="D21" s="10" t="b">
        <f>AND(sales_2014!I2&gt;500,sales_2014!L2&gt;0.05)</f>
        <v>1</v>
      </c>
    </row>
    <row r="22" spans="1:4" ht="30" customHeight="1" x14ac:dyDescent="0.2">
      <c r="A22" s="6" t="s">
        <v>1682</v>
      </c>
      <c r="B22" s="7" t="s">
        <v>1704</v>
      </c>
      <c r="C22" s="8" t="b">
        <f>OR(sales_2014!N2="Express Air",sales_2014!N2="Delivery Truck")</f>
        <v>1</v>
      </c>
      <c r="D22" s="10" t="b">
        <f>OR(sales_2014!N2="Express Air",sales_2014!N2="Delivery Truck")</f>
        <v>1</v>
      </c>
    </row>
    <row r="23" spans="1:4" ht="18" customHeight="1" x14ac:dyDescent="0.2">
      <c r="A23" s="5" t="s">
        <v>1742</v>
      </c>
      <c r="B23" s="5"/>
      <c r="C23" s="5"/>
      <c r="D23" s="5"/>
    </row>
    <row r="24" spans="1:4" ht="30" customHeight="1" x14ac:dyDescent="0.2">
      <c r="A24" s="6" t="s">
        <v>1705</v>
      </c>
      <c r="B24" s="7" t="s">
        <v>1706</v>
      </c>
      <c r="C24" s="8">
        <f>RANK(sales_2014!I2,sales_2014!I2:I2154,0)</f>
        <v>842</v>
      </c>
      <c r="D24" s="10">
        <f>RANK(sales_2014!I2,sales_2014!I2:I2154,0)</f>
        <v>842</v>
      </c>
    </row>
    <row r="25" spans="1:4" ht="30" customHeight="1" x14ac:dyDescent="0.2">
      <c r="A25" s="6" t="s">
        <v>1707</v>
      </c>
      <c r="B25" s="7" t="s">
        <v>1708</v>
      </c>
      <c r="C25" s="8">
        <f>LARGE(sales_2014!I2:I2154,3)</f>
        <v>28799.52</v>
      </c>
      <c r="D25" s="9">
        <f>LARGE(sales_2014!I2:I2154,3)</f>
        <v>28799.52</v>
      </c>
    </row>
    <row r="26" spans="1:4" ht="30" customHeight="1" x14ac:dyDescent="0.2">
      <c r="A26" s="6" t="s">
        <v>1709</v>
      </c>
      <c r="B26" s="7" t="s">
        <v>1710</v>
      </c>
      <c r="C26" s="8">
        <f>SMALL(sales_2014!I2:I2154,3)</f>
        <v>2.88</v>
      </c>
      <c r="D26" s="9">
        <f>SMALL(sales_2014!I2:I2154,3)</f>
        <v>2.88</v>
      </c>
    </row>
    <row r="27" spans="1:4" ht="18" customHeight="1" x14ac:dyDescent="0.2">
      <c r="A27" s="5" t="s">
        <v>1743</v>
      </c>
      <c r="B27" s="5"/>
      <c r="C27" s="5"/>
      <c r="D27" s="5"/>
    </row>
    <row r="28" spans="1:4" ht="30" customHeight="1" x14ac:dyDescent="0.2">
      <c r="A28" s="6" t="s">
        <v>1678</v>
      </c>
      <c r="B28" s="12" t="s">
        <v>1744</v>
      </c>
      <c r="C28" s="8" t="str">
        <f>LEFT(sales_2014!F2,3)</f>
        <v>SKU</v>
      </c>
      <c r="D28" s="10" t="str">
        <f>LEFT(sales_2014!F2,3)</f>
        <v>SKU</v>
      </c>
    </row>
    <row r="29" spans="1:4" ht="30" customHeight="1" x14ac:dyDescent="0.2">
      <c r="A29" s="6" t="s">
        <v>1679</v>
      </c>
      <c r="B29" s="12" t="s">
        <v>1745</v>
      </c>
      <c r="C29" s="8" t="str">
        <f>RIGHT(sales_2014!F2,3)</f>
        <v>947</v>
      </c>
      <c r="D29" s="10" t="str">
        <f>RIGHT(sales_2014!F2,3)</f>
        <v>947</v>
      </c>
    </row>
    <row r="30" spans="1:4" ht="30" customHeight="1" x14ac:dyDescent="0.2">
      <c r="A30" s="6" t="s">
        <v>1711</v>
      </c>
      <c r="B30" s="7" t="s">
        <v>1712</v>
      </c>
      <c r="C30" s="8" t="str">
        <f>MID(sales_2014!F2,4,LEN(sales_2014!F2)-3)</f>
        <v>947</v>
      </c>
      <c r="D30" s="10" t="str">
        <f>MID(sales_2014!F2,4,LEN(sales_2014!F2)-3)</f>
        <v>947</v>
      </c>
    </row>
    <row r="31" spans="1:4" ht="30" customHeight="1" x14ac:dyDescent="0.2">
      <c r="A31" s="6" t="s">
        <v>1713</v>
      </c>
      <c r="B31" s="7" t="s">
        <v>1714</v>
      </c>
      <c r="C31" s="8" t="str">
        <f>sales_2014!C2&amp;" | "&amp;sales_2014!N2</f>
        <v>Bob | Express Air</v>
      </c>
      <c r="D31" s="10" t="str">
        <f>sales_2014!C2&amp;" | "&amp;sales_2014!N2</f>
        <v>Bob | Express Air</v>
      </c>
    </row>
    <row r="32" spans="1:4" ht="30" customHeight="1" x14ac:dyDescent="0.2">
      <c r="A32" s="6" t="s">
        <v>1715</v>
      </c>
      <c r="B32" s="7" t="s">
        <v>1716</v>
      </c>
      <c r="C32" s="8" t="str">
        <f>TEXT(sales_2014!D2,"DD-MMM-YYYY")</f>
        <v>01-Jan-2014</v>
      </c>
      <c r="D32" s="10" t="str">
        <f>TEXT(sales_2014!D2,"DD-MMM-YYYY")</f>
        <v>01-Jan-2014</v>
      </c>
    </row>
    <row r="33" spans="1:4" ht="30" customHeight="1" x14ac:dyDescent="0.2">
      <c r="A33" s="6" t="s">
        <v>1717</v>
      </c>
      <c r="B33" s="7" t="s">
        <v>1718</v>
      </c>
      <c r="C33" s="8" t="str">
        <f>TEXT(sales_2014!I2,"$#,##0.00")</f>
        <v>$863.91</v>
      </c>
      <c r="D33" s="10" t="str">
        <f>TEXT(sales_2014!I2,"$#,##0.00")</f>
        <v>$863.91</v>
      </c>
    </row>
    <row r="34" spans="1:4" ht="30" customHeight="1" x14ac:dyDescent="0.2">
      <c r="A34" s="6" t="s">
        <v>1719</v>
      </c>
      <c r="B34" s="7" t="s">
        <v>1720</v>
      </c>
      <c r="C34" s="8" t="str">
        <f>UPPER(sales_2014!C2)</f>
        <v>BOB</v>
      </c>
      <c r="D34" s="10" t="str">
        <f>UPPER(sales_2014!C2)</f>
        <v>BOB</v>
      </c>
    </row>
    <row r="35" spans="1:4" ht="30" customHeight="1" x14ac:dyDescent="0.2">
      <c r="A35" s="6" t="s">
        <v>1721</v>
      </c>
      <c r="B35" s="7" t="s">
        <v>1722</v>
      </c>
      <c r="C35" s="8" t="str">
        <f>LOWER(sales_2014!E2)</f>
        <v>not specified</v>
      </c>
      <c r="D35" s="10" t="str">
        <f>LOWER(sales_2014!E2)</f>
        <v>not specified</v>
      </c>
    </row>
    <row r="36" spans="1:4" ht="30" customHeight="1" x14ac:dyDescent="0.2">
      <c r="A36" s="6" t="s">
        <v>1723</v>
      </c>
      <c r="B36" s="7" t="s">
        <v>1724</v>
      </c>
      <c r="C36" s="8" t="str">
        <f>PROPER(sales_2014!N2)</f>
        <v>Express Air</v>
      </c>
      <c r="D36" s="10" t="str">
        <f>PROPER(sales_2014!N2)</f>
        <v>Express Air</v>
      </c>
    </row>
    <row r="37" spans="1:4" ht="30" customHeight="1" x14ac:dyDescent="0.2">
      <c r="A37" s="6" t="s">
        <v>1680</v>
      </c>
      <c r="B37" s="7" t="s">
        <v>1725</v>
      </c>
      <c r="C37" s="8">
        <f>LEN(sales_2014!F2)</f>
        <v>6</v>
      </c>
      <c r="D37" s="10">
        <f>LEN(sales_2014!F2)</f>
        <v>6</v>
      </c>
    </row>
    <row r="38" spans="1:4" ht="30" customHeight="1" x14ac:dyDescent="0.2">
      <c r="A38" s="6" t="s">
        <v>1677</v>
      </c>
      <c r="B38" s="7" t="s">
        <v>1726</v>
      </c>
      <c r="C38" s="8" t="str">
        <f>TRIM(sales_2014!C2)</f>
        <v>Bob</v>
      </c>
      <c r="D38" s="10" t="str">
        <f>TRIM(sales_2014!C2)</f>
        <v>Bob</v>
      </c>
    </row>
    <row r="39" spans="1:4" ht="18" customHeight="1" x14ac:dyDescent="0.2">
      <c r="A39" s="5" t="s">
        <v>1727</v>
      </c>
      <c r="B39" s="5"/>
      <c r="C39" s="5"/>
      <c r="D39" s="5"/>
    </row>
    <row r="40" spans="1:4" ht="30" customHeight="1" x14ac:dyDescent="0.2">
      <c r="A40" s="6" t="s">
        <v>1728</v>
      </c>
      <c r="B40" s="7" t="s">
        <v>1729</v>
      </c>
      <c r="C40" s="8">
        <f>SUMPRODUCT((sales_2014!I2:I2154)*(MONTH(sales_2014!D2:D2154)=1)*(YEAR(sales_2014!D2:D2154)=2014))</f>
        <v>528302.43000000017</v>
      </c>
      <c r="D40" s="9">
        <f>SUMPRODUCT((sales_2014!I2:I2154)*(MONTH(sales_2014!D2:D2154)=1)*(YEAR(sales_2014!D2:D2154)=2014))</f>
        <v>528302.43000000017</v>
      </c>
    </row>
    <row r="41" spans="1:4" ht="30" customHeight="1" x14ac:dyDescent="0.2">
      <c r="A41" s="6" t="s">
        <v>1730</v>
      </c>
      <c r="B41" s="7" t="s">
        <v>1731</v>
      </c>
      <c r="C41" s="8" t="str">
        <f>IF(AND(sales_2014!E2="Critical",sales_2014!N2="Express Air"),"Priority Express","Standard")</f>
        <v>Standard</v>
      </c>
      <c r="D41" s="10" t="str">
        <f>IF(AND(sales_2014!E2="Critical",sales_2014!N2="Express Air"),"Priority Express","Standard")</f>
        <v>Standard</v>
      </c>
    </row>
    <row r="42" spans="1:4" ht="30" customHeight="1" x14ac:dyDescent="0.2">
      <c r="A42" s="6" t="s">
        <v>1732</v>
      </c>
      <c r="B42" s="7" t="s">
        <v>1733</v>
      </c>
      <c r="C42" s="8">
        <f>COUNTIF(sales_2014!E2:E2154,"High")/COUNTA(sales_2014!E2:E2154)</f>
        <v>0.19368323269856014</v>
      </c>
      <c r="D42" s="11">
        <f>COUNTIF(sales_2014!E2:E2154,"High")/COUNTA(sales_2014!E2:E2154)</f>
        <v>0.19368323269856014</v>
      </c>
    </row>
    <row r="43" spans="1:4" ht="30" customHeight="1" x14ac:dyDescent="0.2">
      <c r="A43" s="14" t="s">
        <v>1734</v>
      </c>
      <c r="B43" s="15" t="s">
        <v>1735</v>
      </c>
      <c r="C43" s="16" t="str">
        <f>"ORDER: "&amp;sales_2014!A2&amp;" | SALESPERSON: "&amp;UPPER(sales_2014!C2)</f>
        <v>ORDER: 13729 | SALESPERSON: BOB</v>
      </c>
      <c r="D43" s="17" t="str">
        <f>"ORDER: "&amp;sales_2014!A2&amp;" | SALESPERSON: "&amp;UPPER(sales_2014!C2)</f>
        <v>ORDER: 13729 | SALESPERSON: BOB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sales_2014</vt:lpstr>
      <vt:lpstr>Sheet2</vt:lpstr>
      <vt:lpstr>Sheet1</vt:lpstr>
      <vt:lpstr>Formula Practice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MD. Mehedi Hasan Shibli</cp:lastModifiedBy>
  <cp:revision>0</cp:revision>
  <dcterms:created xsi:type="dcterms:W3CDTF">2024-02-11T04:27:39Z</dcterms:created>
  <dcterms:modified xsi:type="dcterms:W3CDTF">2026-06-08T15:30:28Z</dcterms:modified>
  <dc:language>en-US</dc:language>
</cp:coreProperties>
</file>